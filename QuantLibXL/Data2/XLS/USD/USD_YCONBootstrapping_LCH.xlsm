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45" windowWidth="19260" windowHeight="11370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SwapFromBasis" sheetId="12" r:id="rId6"/>
    <sheet name="LCH Analysis" sheetId="11" r:id="rId7"/>
  </sheets>
  <externalReferences>
    <externalReference r:id="rId8"/>
  </externalReferences>
  <definedNames>
    <definedName name="Accuracy">'General Settings'!$D$20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Settings'!$J$17</definedName>
    <definedName name="Discounting2">'General Settings'!$J$18</definedName>
    <definedName name="DiscountingSTD">'General Settings'!$J$19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JoinCalendar">'General Settings'!$J$27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RateHelpers!$F$2:$F$36</definedName>
    <definedName name="MoneyMarketDayCounter">'General Settings'!$J$16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_xlnm.Print_Area" localSheetId="2">Selected!$D$1:$K$50</definedName>
    <definedName name="QuoteSuffix">'General Settings'!$J$12</definedName>
    <definedName name="RateHelperPrefix">'General Settings'!$D$9</definedName>
    <definedName name="RateHelpers">RateHelpers!$A$2:$A$36</definedName>
    <definedName name="RateHelpersIncluded">RateHelpers!$D$2:$D$36</definedName>
    <definedName name="RateHelpersPriority">RateHelpers!$E$2:$E$36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C3" i="11" l="1" a="1"/>
  <c r="C3" i="11" s="1"/>
  <c r="C10" i="11"/>
  <c r="B3" i="11" a="1"/>
  <c r="B3" i="11" s="1"/>
  <c r="A3" i="11" a="1"/>
  <c r="A7" i="11" s="1"/>
  <c r="E5" i="7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F7" i="6"/>
  <c r="D5" i="7"/>
  <c r="E18" i="3"/>
  <c r="D18" i="3"/>
  <c r="J27" i="3"/>
  <c r="L9" i="12"/>
  <c r="L12" i="12"/>
  <c r="L16" i="12"/>
  <c r="L5" i="12"/>
  <c r="L8" i="12"/>
  <c r="L4" i="12"/>
  <c r="L19" i="12"/>
  <c r="L15" i="12"/>
  <c r="L3" i="12"/>
  <c r="L11" i="12"/>
  <c r="L7" i="12"/>
  <c r="G4" i="6"/>
  <c r="L18" i="12"/>
  <c r="G7" i="6"/>
  <c r="L10" i="12"/>
  <c r="H7" i="6"/>
  <c r="L13" i="12"/>
  <c r="F5" i="7"/>
  <c r="L14" i="12"/>
  <c r="L6" i="12"/>
  <c r="L17" i="12"/>
  <c r="A6" i="2" l="1"/>
  <c r="C34" i="11"/>
  <c r="C26" i="11"/>
  <c r="C18" i="11"/>
  <c r="A37" i="11"/>
  <c r="A26" i="11"/>
  <c r="A12" i="11"/>
  <c r="B17" i="11"/>
  <c r="C33" i="11"/>
  <c r="C25" i="11"/>
  <c r="C17" i="11"/>
  <c r="C9" i="11"/>
  <c r="A36" i="11"/>
  <c r="A22" i="11"/>
  <c r="A11" i="11"/>
  <c r="B10" i="11"/>
  <c r="C32" i="11"/>
  <c r="C24" i="11"/>
  <c r="C16" i="11"/>
  <c r="C8" i="11"/>
  <c r="A35" i="11"/>
  <c r="A21" i="11"/>
  <c r="A10" i="11"/>
  <c r="B9" i="11"/>
  <c r="C31" i="11"/>
  <c r="C23" i="11"/>
  <c r="C15" i="11"/>
  <c r="C7" i="11"/>
  <c r="A20" i="11"/>
  <c r="C30" i="11"/>
  <c r="C6" i="11"/>
  <c r="C5" i="11"/>
  <c r="A27" i="11"/>
  <c r="A13" i="11"/>
  <c r="A34" i="11"/>
  <c r="A6" i="11"/>
  <c r="C14" i="11"/>
  <c r="A19" i="11"/>
  <c r="C37" i="11"/>
  <c r="C13" i="11"/>
  <c r="A29" i="11"/>
  <c r="A18" i="11"/>
  <c r="A4" i="11"/>
  <c r="C36" i="11"/>
  <c r="C28" i="11"/>
  <c r="C20" i="11"/>
  <c r="C12" i="11"/>
  <c r="C4" i="11"/>
  <c r="C22" i="11"/>
  <c r="A30" i="11"/>
  <c r="A5" i="11"/>
  <c r="C29" i="11"/>
  <c r="C21" i="11"/>
  <c r="A28" i="11"/>
  <c r="A14" i="11"/>
  <c r="A3" i="11"/>
  <c r="C35" i="11"/>
  <c r="C27" i="11"/>
  <c r="C19" i="11"/>
  <c r="C11" i="11"/>
  <c r="A22" i="2"/>
  <c r="A29" i="2"/>
  <c r="A30" i="2"/>
  <c r="A23" i="2"/>
  <c r="A31" i="2"/>
  <c r="A24" i="2"/>
  <c r="A32" i="2"/>
  <c r="A25" i="2"/>
  <c r="A33" i="2"/>
  <c r="A26" i="2"/>
  <c r="A34" i="2"/>
  <c r="A27" i="2"/>
  <c r="A35" i="2"/>
  <c r="A28" i="2"/>
  <c r="A36" i="2"/>
  <c r="A33" i="11"/>
  <c r="A25" i="11"/>
  <c r="A17" i="11"/>
  <c r="A9" i="11"/>
  <c r="B34" i="11"/>
  <c r="A32" i="11"/>
  <c r="A24" i="11"/>
  <c r="A16" i="11"/>
  <c r="A8" i="11"/>
  <c r="B26" i="11"/>
  <c r="A31" i="11"/>
  <c r="A23" i="11"/>
  <c r="A15" i="11"/>
  <c r="B18" i="11"/>
  <c r="B33" i="11"/>
  <c r="B25" i="11"/>
  <c r="B32" i="11"/>
  <c r="B24" i="11"/>
  <c r="B16" i="11"/>
  <c r="B8" i="11"/>
  <c r="B31" i="11"/>
  <c r="B23" i="11"/>
  <c r="B15" i="11"/>
  <c r="B7" i="11"/>
  <c r="B30" i="11"/>
  <c r="B22" i="11"/>
  <c r="B14" i="11"/>
  <c r="B6" i="11"/>
  <c r="B37" i="11"/>
  <c r="B29" i="11"/>
  <c r="B21" i="11"/>
  <c r="B13" i="11"/>
  <c r="B5" i="11"/>
  <c r="B36" i="11"/>
  <c r="B28" i="11"/>
  <c r="B20" i="11"/>
  <c r="B12" i="11"/>
  <c r="B4" i="11"/>
  <c r="B35" i="11"/>
  <c r="B27" i="11"/>
  <c r="B19" i="11"/>
  <c r="B11" i="11"/>
  <c r="A3" i="2"/>
  <c r="B6" i="2"/>
  <c r="C6" i="2"/>
  <c r="G6" i="2"/>
  <c r="H6" i="2"/>
  <c r="C22" i="2"/>
  <c r="C29" i="2"/>
  <c r="C30" i="2"/>
  <c r="H23" i="2"/>
  <c r="H31" i="2"/>
  <c r="C24" i="2"/>
  <c r="C32" i="2"/>
  <c r="C25" i="2"/>
  <c r="B22" i="2"/>
  <c r="B29" i="2"/>
  <c r="B30" i="2"/>
  <c r="G23" i="2"/>
  <c r="G31" i="2"/>
  <c r="B24" i="2"/>
  <c r="B32" i="2"/>
  <c r="B25" i="2"/>
  <c r="H33" i="2"/>
  <c r="G26" i="2"/>
  <c r="G34" i="2"/>
  <c r="H27" i="2"/>
  <c r="H35" i="2"/>
  <c r="B28" i="2"/>
  <c r="B36" i="2"/>
  <c r="G3" i="2"/>
  <c r="G33" i="2"/>
  <c r="C26" i="2"/>
  <c r="C34" i="2"/>
  <c r="G27" i="2"/>
  <c r="G35" i="2"/>
  <c r="H28" i="2"/>
  <c r="H36" i="2"/>
  <c r="C33" i="2"/>
  <c r="B26" i="2"/>
  <c r="B34" i="2"/>
  <c r="C27" i="2"/>
  <c r="C35" i="2"/>
  <c r="G36" i="2"/>
  <c r="B33" i="2"/>
  <c r="H26" i="2"/>
  <c r="H34" i="2"/>
  <c r="B27" i="2"/>
  <c r="C28" i="2"/>
  <c r="C36" i="2"/>
  <c r="B3" i="2"/>
  <c r="H22" i="2"/>
  <c r="G29" i="2"/>
  <c r="H30" i="2"/>
  <c r="C23" i="2"/>
  <c r="C31" i="2"/>
  <c r="H24" i="2"/>
  <c r="H32" i="2"/>
  <c r="H25" i="2"/>
  <c r="G22" i="2"/>
  <c r="H29" i="2"/>
  <c r="B23" i="2"/>
  <c r="B31" i="2"/>
  <c r="G32" i="2"/>
  <c r="C3" i="2"/>
  <c r="G28" i="2"/>
  <c r="H3" i="2"/>
  <c r="B35" i="2"/>
  <c r="G30" i="2"/>
  <c r="G24" i="2"/>
  <c r="G25" i="2"/>
  <c r="J19" i="3" l="1"/>
  <c r="E4" i="7" l="1"/>
  <c r="F4" i="7"/>
  <c r="K19" i="12" l="1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K4" i="12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6" i="6"/>
  <c r="F5" i="6"/>
  <c r="E27" i="3"/>
  <c r="D27" i="3"/>
  <c r="E16" i="3" l="1"/>
  <c r="D16" i="3"/>
  <c r="J18" i="3" l="1"/>
  <c r="J17" i="3"/>
  <c r="E20" i="3" l="1"/>
  <c r="J19" i="12" l="1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22" i="11"/>
  <c r="T29" i="11"/>
  <c r="T31" i="11"/>
  <c r="J32" i="11"/>
  <c r="T7" i="11"/>
  <c r="J14" i="11"/>
  <c r="J8" i="11"/>
  <c r="T34" i="11"/>
  <c r="T17" i="11"/>
  <c r="T30" i="11"/>
  <c r="T5" i="11"/>
  <c r="J19" i="11"/>
  <c r="J13" i="11"/>
  <c r="T12" i="11"/>
  <c r="J10" i="11"/>
  <c r="T19" i="11"/>
  <c r="J6" i="11"/>
  <c r="T24" i="11"/>
  <c r="T21" i="11"/>
  <c r="T37" i="11"/>
  <c r="T25" i="11"/>
  <c r="J24" i="11"/>
  <c r="T14" i="11"/>
  <c r="J34" i="11"/>
  <c r="T15" i="11"/>
  <c r="J15" i="11"/>
  <c r="J38" i="11"/>
  <c r="J37" i="11"/>
  <c r="J29" i="11"/>
  <c r="J36" i="11"/>
  <c r="J33" i="11"/>
  <c r="J30" i="11"/>
  <c r="T33" i="11"/>
  <c r="J18" i="11"/>
  <c r="T9" i="11"/>
  <c r="J25" i="11"/>
  <c r="J27" i="11"/>
  <c r="J5" i="11"/>
  <c r="T8" i="11"/>
  <c r="T23" i="11"/>
  <c r="J12" i="11"/>
  <c r="J20" i="11"/>
  <c r="J17" i="11"/>
  <c r="T16" i="11"/>
  <c r="T10" i="11"/>
  <c r="J3" i="11"/>
  <c r="T13" i="11"/>
  <c r="T27" i="11"/>
  <c r="T3" i="11"/>
  <c r="J39" i="11"/>
  <c r="J21" i="11"/>
  <c r="T22" i="11"/>
  <c r="T32" i="11"/>
  <c r="T11" i="11"/>
  <c r="T28" i="11"/>
  <c r="J11" i="11"/>
  <c r="J4" i="11"/>
  <c r="J35" i="11"/>
  <c r="T35" i="11"/>
  <c r="T26" i="11"/>
  <c r="J26" i="11"/>
  <c r="T20" i="11"/>
  <c r="J16" i="11"/>
  <c r="J28" i="11"/>
  <c r="J9" i="11"/>
  <c r="J23" i="11"/>
  <c r="J7" i="11"/>
  <c r="T6" i="11"/>
  <c r="T4" i="11"/>
  <c r="J31" i="11"/>
  <c r="T18" i="11"/>
  <c r="T36" i="11"/>
  <c r="A21" i="2" l="1"/>
  <c r="D4" i="7"/>
  <c r="F2" i="7"/>
  <c r="D1" i="7"/>
  <c r="F1" i="7" s="1"/>
  <c r="M11" i="12"/>
  <c r="G19" i="6"/>
  <c r="M4" i="12"/>
  <c r="G18" i="6"/>
  <c r="M14" i="12"/>
  <c r="M8" i="12"/>
  <c r="G17" i="6"/>
  <c r="G8" i="6"/>
  <c r="M10" i="12"/>
  <c r="G11" i="6"/>
  <c r="M12" i="12"/>
  <c r="G15" i="6"/>
  <c r="M17" i="12"/>
  <c r="M5" i="12"/>
  <c r="G5" i="6"/>
  <c r="G16" i="6"/>
  <c r="M6" i="12"/>
  <c r="B21" i="2"/>
  <c r="G9" i="6"/>
  <c r="M9" i="12"/>
  <c r="G21" i="6"/>
  <c r="G21" i="2"/>
  <c r="M18" i="12"/>
  <c r="M7" i="12"/>
  <c r="G20" i="6"/>
  <c r="G12" i="6"/>
  <c r="C21" i="2"/>
  <c r="M19" i="12"/>
  <c r="M16" i="12"/>
  <c r="G10" i="6"/>
  <c r="G6" i="6"/>
  <c r="H21" i="2"/>
  <c r="G14" i="6"/>
  <c r="M13" i="12"/>
  <c r="M15" i="12"/>
  <c r="A13" i="2" l="1"/>
  <c r="A5" i="2"/>
  <c r="A9" i="2"/>
  <c r="A11" i="2"/>
  <c r="A19" i="2"/>
  <c r="A20" i="2"/>
  <c r="A8" i="2"/>
  <c r="A15" i="2"/>
  <c r="A14" i="2"/>
  <c r="A10" i="2"/>
  <c r="A7" i="2"/>
  <c r="A16" i="2"/>
  <c r="A17" i="2"/>
  <c r="A18" i="2"/>
  <c r="A2" i="2"/>
  <c r="H13" i="2"/>
  <c r="C13" i="2"/>
  <c r="B13" i="2"/>
  <c r="G13" i="2"/>
  <c r="B14" i="2"/>
  <c r="G14" i="2"/>
  <c r="H14" i="2"/>
  <c r="C14" i="2"/>
  <c r="H19" i="6"/>
  <c r="H20" i="6"/>
  <c r="B5" i="2"/>
  <c r="H5" i="2"/>
  <c r="C5" i="2"/>
  <c r="G5" i="2"/>
  <c r="G10" i="2"/>
  <c r="B10" i="2"/>
  <c r="H10" i="2"/>
  <c r="C10" i="2"/>
  <c r="H9" i="6"/>
  <c r="H15" i="6"/>
  <c r="C9" i="2"/>
  <c r="H9" i="2"/>
  <c r="G9" i="2"/>
  <c r="B9" i="2"/>
  <c r="H7" i="2"/>
  <c r="C7" i="2"/>
  <c r="B7" i="2"/>
  <c r="G7" i="2"/>
  <c r="H10" i="6"/>
  <c r="H17" i="6"/>
  <c r="B11" i="2"/>
  <c r="H11" i="2"/>
  <c r="C11" i="2"/>
  <c r="G11" i="2"/>
  <c r="B16" i="2"/>
  <c r="G16" i="2"/>
  <c r="C16" i="2"/>
  <c r="H16" i="2"/>
  <c r="H16" i="6"/>
  <c r="H12" i="6"/>
  <c r="G19" i="2"/>
  <c r="H19" i="2"/>
  <c r="B19" i="2"/>
  <c r="C19" i="2"/>
  <c r="G17" i="2"/>
  <c r="B17" i="2"/>
  <c r="C17" i="2"/>
  <c r="H17" i="2"/>
  <c r="H8" i="6"/>
  <c r="H5" i="6"/>
  <c r="C20" i="2"/>
  <c r="H20" i="2"/>
  <c r="G20" i="2"/>
  <c r="B20" i="2"/>
  <c r="G18" i="2"/>
  <c r="H18" i="2"/>
  <c r="C18" i="2"/>
  <c r="B18" i="2"/>
  <c r="H11" i="6"/>
  <c r="G13" i="6"/>
  <c r="G8" i="2"/>
  <c r="B8" i="2"/>
  <c r="H8" i="2"/>
  <c r="C8" i="2"/>
  <c r="H21" i="6"/>
  <c r="H18" i="6"/>
  <c r="H15" i="2"/>
  <c r="C15" i="2"/>
  <c r="B15" i="2"/>
  <c r="G15" i="2"/>
  <c r="H6" i="6"/>
  <c r="H2" i="2"/>
  <c r="H14" i="6"/>
  <c r="A12" i="2" l="1"/>
  <c r="E2" i="6"/>
  <c r="G2" i="6" s="1"/>
  <c r="G12" i="2"/>
  <c r="B12" i="2"/>
  <c r="C12" i="2"/>
  <c r="H12" i="2"/>
  <c r="H13" i="6"/>
  <c r="A4" i="2" l="1"/>
  <c r="H4" i="2"/>
  <c r="B4" i="2"/>
  <c r="B2" i="2"/>
  <c r="H4" i="6"/>
  <c r="G4" i="7"/>
  <c r="D9" i="3" l="1"/>
  <c r="D20" i="3"/>
  <c r="G3" i="6"/>
  <c r="G4" i="2"/>
  <c r="H3" i="6"/>
  <c r="D2" i="4" a="1"/>
  <c r="G2" i="2"/>
  <c r="C4" i="2"/>
  <c r="C2" i="2"/>
  <c r="B1" i="3"/>
  <c r="D61" i="4" l="1"/>
  <c r="D45" i="4"/>
  <c r="D72" i="4"/>
  <c r="D103" i="4"/>
  <c r="D101" i="4"/>
  <c r="D73" i="4"/>
  <c r="D84" i="4"/>
  <c r="D8" i="4"/>
  <c r="D3" i="4"/>
  <c r="D48" i="4"/>
  <c r="D108" i="4"/>
  <c r="D26" i="4"/>
  <c r="D31" i="4"/>
  <c r="D94" i="4"/>
  <c r="D58" i="4"/>
  <c r="D37" i="4"/>
  <c r="D105" i="4"/>
  <c r="D54" i="4"/>
  <c r="D30" i="4"/>
  <c r="D35" i="4"/>
  <c r="D46" i="4"/>
  <c r="D9" i="4"/>
  <c r="D98" i="4"/>
  <c r="D120" i="4"/>
  <c r="D113" i="4"/>
  <c r="D29" i="4"/>
  <c r="D27" i="4"/>
  <c r="D75" i="4"/>
  <c r="D126" i="4"/>
  <c r="D77" i="4"/>
  <c r="D116" i="4"/>
  <c r="D99" i="4"/>
  <c r="D11" i="4"/>
  <c r="D87" i="4"/>
  <c r="D88" i="4"/>
  <c r="D53" i="4"/>
  <c r="D49" i="4"/>
  <c r="D68" i="4"/>
  <c r="D117" i="4"/>
  <c r="D12" i="4"/>
  <c r="D13" i="4"/>
  <c r="D115" i="4"/>
  <c r="D44" i="4"/>
  <c r="D107" i="4"/>
  <c r="D109" i="4"/>
  <c r="D14" i="4"/>
  <c r="D57" i="4"/>
  <c r="D18" i="4"/>
  <c r="D32" i="4"/>
  <c r="D85" i="4"/>
  <c r="D43" i="4"/>
  <c r="D69" i="4"/>
  <c r="D36" i="4"/>
  <c r="D121" i="4"/>
  <c r="D22" i="4"/>
  <c r="D96" i="4"/>
  <c r="D100" i="4"/>
  <c r="D25" i="4"/>
  <c r="D83" i="4"/>
  <c r="D81" i="4"/>
  <c r="D17" i="4"/>
  <c r="D104" i="4"/>
  <c r="D19" i="4"/>
  <c r="D60" i="4"/>
  <c r="D33" i="4"/>
  <c r="D90" i="4"/>
  <c r="D106" i="4"/>
  <c r="D95" i="4"/>
  <c r="D34" i="4"/>
  <c r="D6" i="4"/>
  <c r="D47" i="4"/>
  <c r="D93" i="4"/>
  <c r="D97" i="4"/>
  <c r="D4" i="4"/>
  <c r="D124" i="4"/>
  <c r="D119" i="4"/>
  <c r="D112" i="4"/>
  <c r="D42" i="4"/>
  <c r="D64" i="4"/>
  <c r="D52" i="4"/>
  <c r="D62" i="4"/>
  <c r="D65" i="4"/>
  <c r="D59" i="4"/>
  <c r="D56" i="4"/>
  <c r="D21" i="4"/>
  <c r="D92" i="4"/>
  <c r="D89" i="4"/>
  <c r="D40" i="4"/>
  <c r="D125" i="4"/>
  <c r="D80" i="4"/>
  <c r="D2" i="4"/>
  <c r="D110" i="4"/>
  <c r="D86" i="4"/>
  <c r="D82" i="4"/>
  <c r="D41" i="4"/>
  <c r="D122" i="4"/>
  <c r="D7" i="4"/>
  <c r="D91" i="4"/>
  <c r="D5" i="4"/>
  <c r="D79" i="4"/>
  <c r="D71" i="4"/>
  <c r="D118" i="4"/>
  <c r="D111" i="4"/>
  <c r="D15" i="4"/>
  <c r="D78" i="4"/>
  <c r="D74" i="4"/>
  <c r="D102" i="4"/>
  <c r="D10" i="4"/>
  <c r="D38" i="4"/>
  <c r="D23" i="4"/>
  <c r="D66" i="4"/>
  <c r="D67" i="4"/>
  <c r="D16" i="4"/>
  <c r="D114" i="4"/>
  <c r="D50" i="4"/>
  <c r="D123" i="4"/>
  <c r="D20" i="4"/>
  <c r="D76" i="4"/>
  <c r="D28" i="4"/>
  <c r="D63" i="4"/>
  <c r="D39" i="4"/>
  <c r="D51" i="4"/>
  <c r="D55" i="4"/>
  <c r="D70" i="4"/>
  <c r="D24" i="4"/>
  <c r="J69" i="4"/>
  <c r="F48" i="4"/>
  <c r="H113" i="4"/>
  <c r="F78" i="4"/>
  <c r="E60" i="4"/>
  <c r="I69" i="4"/>
  <c r="G108" i="4"/>
  <c r="J5" i="4"/>
  <c r="F39" i="4"/>
  <c r="E113" i="4"/>
  <c r="E46" i="4"/>
  <c r="E57" i="4"/>
  <c r="F29" i="4"/>
  <c r="J117" i="4"/>
  <c r="H109" i="4"/>
  <c r="G27" i="4"/>
  <c r="J84" i="4"/>
  <c r="E59" i="4"/>
  <c r="J76" i="4"/>
  <c r="J35" i="4"/>
  <c r="E82" i="4"/>
  <c r="J23" i="4"/>
  <c r="H116" i="4"/>
  <c r="J50" i="4"/>
  <c r="J92" i="4"/>
  <c r="I31" i="4"/>
  <c r="I25" i="4"/>
  <c r="G24" i="4"/>
  <c r="F106" i="4"/>
  <c r="E55" i="4"/>
  <c r="H124" i="4"/>
  <c r="I92" i="4"/>
  <c r="I113" i="4"/>
  <c r="I120" i="4"/>
  <c r="G111" i="4"/>
  <c r="E2" i="4"/>
  <c r="J113" i="4"/>
  <c r="F21" i="4"/>
  <c r="J110" i="4"/>
  <c r="G77" i="4"/>
  <c r="I118" i="4"/>
  <c r="J67" i="4"/>
  <c r="F112" i="4"/>
  <c r="I7" i="4"/>
  <c r="F79" i="4"/>
  <c r="J58" i="4"/>
  <c r="G56" i="4"/>
  <c r="H80" i="4"/>
  <c r="G72" i="4"/>
  <c r="E109" i="4"/>
  <c r="I53" i="4"/>
  <c r="E122" i="4"/>
  <c r="H5" i="4"/>
  <c r="H69" i="4"/>
  <c r="G84" i="4"/>
  <c r="F65" i="4"/>
  <c r="I85" i="4"/>
  <c r="F120" i="4"/>
  <c r="H71" i="4"/>
  <c r="H43" i="4"/>
  <c r="J87" i="4"/>
  <c r="J86" i="4"/>
  <c r="F93" i="4"/>
  <c r="J52" i="4"/>
  <c r="G94" i="4"/>
  <c r="I96" i="4"/>
  <c r="H126" i="4"/>
  <c r="E45" i="4"/>
  <c r="H83" i="4"/>
  <c r="J70" i="4"/>
  <c r="G41" i="4"/>
  <c r="H63" i="4"/>
  <c r="H59" i="4"/>
  <c r="J26" i="4"/>
  <c r="F50" i="4"/>
  <c r="J120" i="4"/>
  <c r="G38" i="4"/>
  <c r="G121" i="4"/>
  <c r="E74" i="4"/>
  <c r="G122" i="4"/>
  <c r="G82" i="4"/>
  <c r="E40" i="4"/>
  <c r="J22" i="4"/>
  <c r="G57" i="4"/>
  <c r="G61" i="4"/>
  <c r="E126" i="4"/>
  <c r="E19" i="4"/>
  <c r="I72" i="4"/>
  <c r="H87" i="4"/>
  <c r="G59" i="4"/>
  <c r="H75" i="4"/>
  <c r="G28" i="4"/>
  <c r="G90" i="4"/>
  <c r="I82" i="4"/>
  <c r="G3" i="4"/>
  <c r="H57" i="4"/>
  <c r="H37" i="4"/>
  <c r="J124" i="4"/>
  <c r="I87" i="4"/>
  <c r="G19" i="4"/>
  <c r="H66" i="4"/>
  <c r="G67" i="4"/>
  <c r="F73" i="4"/>
  <c r="F95" i="4"/>
  <c r="I105" i="4"/>
  <c r="G45" i="4"/>
  <c r="E68" i="4"/>
  <c r="F126" i="4"/>
  <c r="H79" i="4"/>
  <c r="H84" i="4"/>
  <c r="G78" i="4"/>
  <c r="I79" i="4"/>
  <c r="F82" i="4"/>
  <c r="I91" i="4"/>
  <c r="F111" i="4"/>
  <c r="J49" i="4"/>
  <c r="F71" i="4"/>
  <c r="E84" i="4"/>
  <c r="F115" i="4"/>
  <c r="E112" i="4"/>
  <c r="I104" i="4"/>
  <c r="I26" i="4"/>
  <c r="H25" i="4"/>
  <c r="E83" i="4"/>
  <c r="F15" i="4"/>
  <c r="E119" i="4"/>
  <c r="H106" i="4"/>
  <c r="I94" i="4"/>
  <c r="J126" i="4"/>
  <c r="J4" i="4"/>
  <c r="I121" i="4"/>
  <c r="F90" i="4"/>
  <c r="I60" i="4"/>
  <c r="F62" i="4"/>
  <c r="G126" i="4"/>
  <c r="E117" i="4"/>
  <c r="E118" i="4"/>
  <c r="I34" i="4"/>
  <c r="E70" i="4"/>
  <c r="I67" i="4"/>
  <c r="J108" i="4"/>
  <c r="J111" i="4"/>
  <c r="E87" i="4"/>
  <c r="H96" i="4"/>
  <c r="H93" i="4"/>
  <c r="J57" i="4"/>
  <c r="I117" i="4"/>
  <c r="I3" i="4"/>
  <c r="F4" i="4"/>
  <c r="I71" i="4"/>
  <c r="J18" i="4"/>
  <c r="J81" i="4"/>
  <c r="E103" i="4"/>
  <c r="H35" i="4"/>
  <c r="E116" i="4"/>
  <c r="G31" i="4"/>
  <c r="I74" i="4"/>
  <c r="E14" i="3"/>
  <c r="I49" i="4"/>
  <c r="J123" i="4"/>
  <c r="I89" i="4"/>
  <c r="H2" i="4"/>
  <c r="E120" i="4"/>
  <c r="F14" i="4"/>
  <c r="E99" i="4"/>
  <c r="E32" i="4"/>
  <c r="V24" i="11"/>
  <c r="F117" i="4"/>
  <c r="J61" i="4"/>
  <c r="J27" i="4"/>
  <c r="J2" i="4"/>
  <c r="I78" i="4"/>
  <c r="J45" i="4"/>
  <c r="E34" i="4"/>
  <c r="F7" i="4"/>
  <c r="F31" i="4"/>
  <c r="H120" i="4"/>
  <c r="G51" i="4"/>
  <c r="E80" i="4"/>
  <c r="G107" i="4"/>
  <c r="F41" i="4"/>
  <c r="I4" i="4"/>
  <c r="G102" i="4"/>
  <c r="I45" i="4"/>
  <c r="F85" i="4"/>
  <c r="E35" i="4"/>
  <c r="I68" i="4"/>
  <c r="J97" i="4"/>
  <c r="I32" i="4"/>
  <c r="J62" i="4"/>
  <c r="G14" i="4"/>
  <c r="F91" i="4"/>
  <c r="G95" i="4"/>
  <c r="E96" i="4"/>
  <c r="J73" i="4"/>
  <c r="G39" i="4"/>
  <c r="E115" i="4"/>
  <c r="H98" i="4"/>
  <c r="I54" i="4"/>
  <c r="I42" i="4"/>
  <c r="F107" i="4"/>
  <c r="H47" i="4"/>
  <c r="J31" i="4"/>
  <c r="G71" i="4"/>
  <c r="G120" i="4"/>
  <c r="F58" i="4"/>
  <c r="J41" i="4"/>
  <c r="E30" i="4"/>
  <c r="F5" i="4"/>
  <c r="H45" i="4"/>
  <c r="H3" i="4"/>
  <c r="H92" i="4"/>
  <c r="H115" i="4"/>
  <c r="I5" i="4"/>
  <c r="H22" i="4"/>
  <c r="F92" i="4"/>
  <c r="J80" i="4"/>
  <c r="E69" i="4"/>
  <c r="H27" i="4"/>
  <c r="I97" i="4"/>
  <c r="J85" i="4"/>
  <c r="E14" i="4"/>
  <c r="G44" i="4"/>
  <c r="E27" i="4"/>
  <c r="H34" i="4"/>
  <c r="I64" i="4"/>
  <c r="G112" i="4"/>
  <c r="F110" i="4"/>
  <c r="J59" i="4"/>
  <c r="F13" i="4"/>
  <c r="H101" i="4"/>
  <c r="Y30" i="11"/>
  <c r="H103" i="4"/>
  <c r="G115" i="4"/>
  <c r="J96" i="4"/>
  <c r="J56" i="4"/>
  <c r="I108" i="4"/>
  <c r="F19" i="4"/>
  <c r="E64" i="4"/>
  <c r="H15" i="4"/>
  <c r="E33" i="4"/>
  <c r="J122" i="4"/>
  <c r="G88" i="4"/>
  <c r="J93" i="4"/>
  <c r="H51" i="4"/>
  <c r="G119" i="4"/>
  <c r="F114" i="4"/>
  <c r="H7" i="4"/>
  <c r="I48" i="4"/>
  <c r="E15" i="3"/>
  <c r="F81" i="4"/>
  <c r="H16" i="4"/>
  <c r="V29" i="11"/>
  <c r="V25" i="11"/>
  <c r="Y31" i="11"/>
  <c r="Y5" i="11"/>
  <c r="Y11" i="11"/>
  <c r="H119" i="4"/>
  <c r="H100" i="4"/>
  <c r="E22" i="4"/>
  <c r="F84" i="4"/>
  <c r="J66" i="4"/>
  <c r="F54" i="4"/>
  <c r="F94" i="4"/>
  <c r="E91" i="4"/>
  <c r="E28" i="4"/>
  <c r="J95" i="4"/>
  <c r="J11" i="4"/>
  <c r="J102" i="4"/>
  <c r="J77" i="4"/>
  <c r="G53" i="4"/>
  <c r="I17" i="4"/>
  <c r="J10" i="4"/>
  <c r="Y35" i="11"/>
  <c r="I70" i="4"/>
  <c r="J91" i="4"/>
  <c r="I99" i="4"/>
  <c r="H56" i="4"/>
  <c r="H102" i="4"/>
  <c r="E3" i="4"/>
  <c r="H81" i="4"/>
  <c r="F99" i="4"/>
  <c r="E125" i="4"/>
  <c r="G40" i="4"/>
  <c r="I10" i="4"/>
  <c r="F100" i="4"/>
  <c r="F102" i="4"/>
  <c r="E71" i="4"/>
  <c r="I90" i="4"/>
  <c r="H50" i="4"/>
  <c r="E73" i="4"/>
  <c r="F3" i="4"/>
  <c r="Y6" i="11"/>
  <c r="V22" i="11"/>
  <c r="V21" i="11"/>
  <c r="F2" i="4"/>
  <c r="H122" i="4"/>
  <c r="F51" i="4"/>
  <c r="F63" i="4"/>
  <c r="G34" i="4"/>
  <c r="G9" i="4"/>
  <c r="I98" i="4"/>
  <c r="H49" i="4"/>
  <c r="I9" i="4"/>
  <c r="I23" i="4"/>
  <c r="I101" i="4"/>
  <c r="I61" i="4"/>
  <c r="F36" i="4"/>
  <c r="F47" i="4"/>
  <c r="J17" i="4"/>
  <c r="E42" i="4"/>
  <c r="E106" i="4"/>
  <c r="E51" i="4"/>
  <c r="F27" i="4"/>
  <c r="F69" i="4"/>
  <c r="G70" i="4"/>
  <c r="E13" i="4"/>
  <c r="F10" i="4"/>
  <c r="F96" i="4"/>
  <c r="I126" i="4"/>
  <c r="G106" i="4"/>
  <c r="G6" i="4"/>
  <c r="J54" i="4"/>
  <c r="F121" i="4"/>
  <c r="J75" i="4"/>
  <c r="H110" i="4"/>
  <c r="V3" i="11"/>
  <c r="F45" i="4"/>
  <c r="J25" i="4"/>
  <c r="G105" i="4"/>
  <c r="I62" i="4"/>
  <c r="E58" i="4"/>
  <c r="J100" i="4"/>
  <c r="H17" i="4"/>
  <c r="I114" i="4"/>
  <c r="H72" i="4"/>
  <c r="J15" i="4"/>
  <c r="E89" i="4"/>
  <c r="H14" i="4"/>
  <c r="E28" i="3"/>
  <c r="G100" i="4"/>
  <c r="F9" i="4"/>
  <c r="H70" i="4"/>
  <c r="V13" i="11"/>
  <c r="H112" i="4"/>
  <c r="V15" i="11"/>
  <c r="Y3" i="11"/>
  <c r="V32" i="11"/>
  <c r="J13" i="4"/>
  <c r="G109" i="4"/>
  <c r="J32" i="4"/>
  <c r="I20" i="4"/>
  <c r="J28" i="4"/>
  <c r="H19" i="4"/>
  <c r="F64" i="4"/>
  <c r="F40" i="4"/>
  <c r="I123" i="4"/>
  <c r="J109" i="4"/>
  <c r="E26" i="4"/>
  <c r="G80" i="4"/>
  <c r="F123" i="4"/>
  <c r="H38" i="4"/>
  <c r="F24" i="4"/>
  <c r="F25" i="4"/>
  <c r="F67" i="4"/>
  <c r="F57" i="4"/>
  <c r="H77" i="4"/>
  <c r="G69" i="4"/>
  <c r="H31" i="4"/>
  <c r="G123" i="4"/>
  <c r="F97" i="4"/>
  <c r="E62" i="4"/>
  <c r="F52" i="4"/>
  <c r="G2" i="4"/>
  <c r="G48" i="4"/>
  <c r="E47" i="4"/>
  <c r="I73" i="4"/>
  <c r="I18" i="4"/>
  <c r="I43" i="4"/>
  <c r="G68" i="4"/>
  <c r="E95" i="4"/>
  <c r="J47" i="4"/>
  <c r="V23" i="11"/>
  <c r="F72" i="4"/>
  <c r="F12" i="4"/>
  <c r="I112" i="4"/>
  <c r="J48" i="4"/>
  <c r="H111" i="4"/>
  <c r="G85" i="4"/>
  <c r="F32" i="4"/>
  <c r="J125" i="4"/>
  <c r="V27" i="11"/>
  <c r="Y18" i="11"/>
  <c r="J99" i="4"/>
  <c r="J12" i="4"/>
  <c r="E25" i="4"/>
  <c r="J65" i="4"/>
  <c r="I27" i="4"/>
  <c r="I55" i="4"/>
  <c r="F30" i="4"/>
  <c r="G83" i="4"/>
  <c r="J104" i="4"/>
  <c r="H107" i="4"/>
  <c r="F124" i="4"/>
  <c r="E104" i="4"/>
  <c r="G35" i="4"/>
  <c r="E56" i="4"/>
  <c r="E105" i="4"/>
  <c r="E12" i="4"/>
  <c r="E6" i="4"/>
  <c r="J74" i="4"/>
  <c r="E50" i="4"/>
  <c r="E39" i="4"/>
  <c r="E49" i="4"/>
  <c r="G60" i="4"/>
  <c r="H26" i="4"/>
  <c r="G91" i="4"/>
  <c r="I2" i="4"/>
  <c r="E4" i="4"/>
  <c r="G64" i="4"/>
  <c r="J89" i="4"/>
  <c r="H85" i="4"/>
  <c r="E20" i="4"/>
  <c r="J40" i="4"/>
  <c r="I12" i="4"/>
  <c r="J63" i="4"/>
  <c r="F119" i="4"/>
  <c r="J43" i="4"/>
  <c r="H42" i="4"/>
  <c r="F23" i="4"/>
  <c r="G52" i="4"/>
  <c r="I110" i="4"/>
  <c r="H36" i="4"/>
  <c r="H40" i="4"/>
  <c r="F77" i="4"/>
  <c r="I106" i="4"/>
  <c r="G10" i="4"/>
  <c r="I52" i="4"/>
  <c r="E9" i="4"/>
  <c r="E21" i="4"/>
  <c r="G75" i="4"/>
  <c r="E88" i="4"/>
  <c r="V33" i="11"/>
  <c r="I76" i="4"/>
  <c r="I102" i="4"/>
  <c r="J29" i="4"/>
  <c r="H99" i="4"/>
  <c r="J101" i="4"/>
  <c r="J53" i="4"/>
  <c r="V35" i="11"/>
  <c r="G13" i="4"/>
  <c r="I56" i="4"/>
  <c r="E61" i="4"/>
  <c r="I44" i="4"/>
  <c r="Y22" i="11"/>
  <c r="Y13" i="11"/>
  <c r="F66" i="4"/>
  <c r="G87" i="4"/>
  <c r="G21" i="4"/>
  <c r="F89" i="4"/>
  <c r="H23" i="4"/>
  <c r="G29" i="4"/>
  <c r="J103" i="4"/>
  <c r="G55" i="4"/>
  <c r="F20" i="4"/>
  <c r="H94" i="4"/>
  <c r="I58" i="4"/>
  <c r="G104" i="4"/>
  <c r="Y4" i="11"/>
  <c r="Y12" i="11"/>
  <c r="G97" i="4"/>
  <c r="F98" i="4"/>
  <c r="I37" i="4"/>
  <c r="H32" i="4"/>
  <c r="J30" i="4"/>
  <c r="E100" i="4"/>
  <c r="G8" i="4"/>
  <c r="J64" i="4"/>
  <c r="H117" i="4"/>
  <c r="E31" i="4"/>
  <c r="G114" i="4"/>
  <c r="Y24" i="11"/>
  <c r="Y9" i="11"/>
  <c r="G86" i="4"/>
  <c r="I125" i="4"/>
  <c r="H61" i="4"/>
  <c r="E16" i="4"/>
  <c r="J116" i="4"/>
  <c r="J83" i="4"/>
  <c r="I116" i="4"/>
  <c r="J21" i="4"/>
  <c r="G93" i="4"/>
  <c r="G36" i="4"/>
  <c r="F87" i="4"/>
  <c r="J16" i="4"/>
  <c r="E108" i="4"/>
  <c r="H29" i="4"/>
  <c r="E107" i="4"/>
  <c r="F108" i="4"/>
  <c r="G79" i="4"/>
  <c r="G49" i="4"/>
  <c r="I65" i="4"/>
  <c r="G25" i="4"/>
  <c r="F6" i="4"/>
  <c r="H104" i="4"/>
  <c r="E8" i="4"/>
  <c r="J8" i="4"/>
  <c r="H48" i="4"/>
  <c r="E24" i="4"/>
  <c r="Y23" i="11"/>
  <c r="J36" i="4"/>
  <c r="H125" i="4"/>
  <c r="V4" i="11"/>
  <c r="V18" i="11"/>
  <c r="I22" i="4"/>
  <c r="E76" i="4"/>
  <c r="G65" i="4"/>
  <c r="J39" i="4"/>
  <c r="J118" i="4"/>
  <c r="G43" i="4"/>
  <c r="G89" i="4"/>
  <c r="F125" i="4"/>
  <c r="H108" i="4"/>
  <c r="H39" i="4"/>
  <c r="I103" i="4"/>
  <c r="J106" i="4"/>
  <c r="F46" i="4"/>
  <c r="H91" i="4"/>
  <c r="G124" i="4"/>
  <c r="I39" i="4"/>
  <c r="J72" i="4"/>
  <c r="J60" i="4"/>
  <c r="F17" i="4"/>
  <c r="F68" i="4"/>
  <c r="E48" i="4"/>
  <c r="I14" i="4"/>
  <c r="V20" i="11"/>
  <c r="J6" i="4"/>
  <c r="J78" i="4"/>
  <c r="V30" i="11"/>
  <c r="F38" i="4"/>
  <c r="G32" i="4"/>
  <c r="I107" i="4"/>
  <c r="F105" i="4"/>
  <c r="F86" i="4"/>
  <c r="E43" i="4"/>
  <c r="H8" i="4"/>
  <c r="G11" i="4"/>
  <c r="G17" i="4"/>
  <c r="J114" i="4"/>
  <c r="H13" i="4"/>
  <c r="I57" i="4"/>
  <c r="G7" i="4"/>
  <c r="H33" i="4"/>
  <c r="I115" i="4"/>
  <c r="E94" i="4"/>
  <c r="J119" i="4"/>
  <c r="I100" i="4"/>
  <c r="F59" i="4"/>
  <c r="E114" i="4"/>
  <c r="F18" i="4"/>
  <c r="G22" i="4"/>
  <c r="Y14" i="11"/>
  <c r="F122" i="4"/>
  <c r="E67" i="4"/>
  <c r="E111" i="4"/>
  <c r="I83" i="4"/>
  <c r="G76" i="4"/>
  <c r="I84" i="4"/>
  <c r="F42" i="4"/>
  <c r="Y36" i="11"/>
  <c r="Y16" i="11"/>
  <c r="V34" i="11"/>
  <c r="H67" i="4"/>
  <c r="E52" i="4"/>
  <c r="E90" i="4"/>
  <c r="H41" i="4"/>
  <c r="I35" i="4"/>
  <c r="H90" i="4"/>
  <c r="J115" i="4"/>
  <c r="J34" i="4"/>
  <c r="J14" i="4"/>
  <c r="E101" i="4"/>
  <c r="Y34" i="11"/>
  <c r="H89" i="4"/>
  <c r="I81" i="4"/>
  <c r="G66" i="4"/>
  <c r="I59" i="4"/>
  <c r="J3" i="4"/>
  <c r="H73" i="4"/>
  <c r="G117" i="4"/>
  <c r="F109" i="4"/>
  <c r="Y21" i="11"/>
  <c r="I50" i="4"/>
  <c r="F11" i="4"/>
  <c r="E79" i="4"/>
  <c r="G73" i="4"/>
  <c r="G26" i="4"/>
  <c r="J79" i="4"/>
  <c r="G23" i="4"/>
  <c r="I33" i="4"/>
  <c r="G125" i="4"/>
  <c r="G18" i="4"/>
  <c r="I111" i="4"/>
  <c r="H53" i="4"/>
  <c r="H60" i="4"/>
  <c r="J88" i="4"/>
  <c r="E72" i="4"/>
  <c r="F75" i="4"/>
  <c r="F116" i="4"/>
  <c r="E10" i="4"/>
  <c r="G58" i="4"/>
  <c r="L1" i="4" a="1"/>
  <c r="E124" i="4"/>
  <c r="E23" i="4"/>
  <c r="I13" i="4"/>
  <c r="G15" i="4"/>
  <c r="I75" i="4"/>
  <c r="F28" i="4"/>
  <c r="E36" i="4"/>
  <c r="G113" i="4"/>
  <c r="G42" i="4"/>
  <c r="E37" i="4"/>
  <c r="F49" i="4"/>
  <c r="E11" i="4"/>
  <c r="H46" i="4"/>
  <c r="H76" i="4"/>
  <c r="G50" i="4"/>
  <c r="F118" i="4"/>
  <c r="I29" i="4"/>
  <c r="V11" i="11"/>
  <c r="H64" i="4"/>
  <c r="V16" i="11"/>
  <c r="I80" i="4"/>
  <c r="G4" i="4"/>
  <c r="F55" i="4"/>
  <c r="H12" i="4"/>
  <c r="G103" i="4"/>
  <c r="H82" i="4"/>
  <c r="G116" i="4"/>
  <c r="H123" i="4"/>
  <c r="G46" i="4"/>
  <c r="J37" i="4"/>
  <c r="F16" i="4"/>
  <c r="J71" i="4"/>
  <c r="G110" i="4"/>
  <c r="I51" i="4"/>
  <c r="J7" i="4"/>
  <c r="J82" i="4"/>
  <c r="H10" i="4"/>
  <c r="J55" i="4"/>
  <c r="H20" i="4"/>
  <c r="Y20" i="11"/>
  <c r="J9" i="4"/>
  <c r="D14" i="3"/>
  <c r="E102" i="4"/>
  <c r="H21" i="4"/>
  <c r="G37" i="4"/>
  <c r="J33" i="4"/>
  <c r="I119" i="4"/>
  <c r="I28" i="4"/>
  <c r="G54" i="4"/>
  <c r="J112" i="4"/>
  <c r="E77" i="4"/>
  <c r="H105" i="4"/>
  <c r="I95" i="4"/>
  <c r="I21" i="4"/>
  <c r="Y10" i="11"/>
  <c r="H118" i="4"/>
  <c r="H97" i="4"/>
  <c r="H9" i="4"/>
  <c r="Y17" i="11"/>
  <c r="J42" i="4"/>
  <c r="J94" i="4"/>
  <c r="O35" i="11"/>
  <c r="F83" i="4"/>
  <c r="H86" i="4"/>
  <c r="H95" i="4"/>
  <c r="L21" i="11"/>
  <c r="F56" i="4"/>
  <c r="I19" i="4"/>
  <c r="G20" i="4"/>
  <c r="F103" i="4"/>
  <c r="H121" i="4"/>
  <c r="I41" i="4"/>
  <c r="O21" i="11"/>
  <c r="F34" i="4"/>
  <c r="V14" i="11"/>
  <c r="F26" i="4"/>
  <c r="H4" i="4"/>
  <c r="F61" i="4"/>
  <c r="E44" i="4"/>
  <c r="G98" i="4"/>
  <c r="E75" i="4"/>
  <c r="G118" i="4"/>
  <c r="H28" i="4"/>
  <c r="F113" i="4"/>
  <c r="F74" i="4"/>
  <c r="Y32" i="11"/>
  <c r="E66" i="4"/>
  <c r="F104" i="4"/>
  <c r="H44" i="4"/>
  <c r="E97" i="4"/>
  <c r="V9" i="11"/>
  <c r="I38" i="4"/>
  <c r="F33" i="4"/>
  <c r="E98" i="4"/>
  <c r="E121" i="4"/>
  <c r="F35" i="4"/>
  <c r="J51" i="4"/>
  <c r="I8" i="4"/>
  <c r="E15" i="4"/>
  <c r="J38" i="4"/>
  <c r="J107" i="4"/>
  <c r="E65" i="4"/>
  <c r="E53" i="4"/>
  <c r="E17" i="4"/>
  <c r="H55" i="4"/>
  <c r="V19" i="11"/>
  <c r="O29" i="11"/>
  <c r="H114" i="4"/>
  <c r="L22" i="11"/>
  <c r="G74" i="4"/>
  <c r="E18" i="4"/>
  <c r="L31" i="11"/>
  <c r="I47" i="4"/>
  <c r="E54" i="4"/>
  <c r="L29" i="11"/>
  <c r="F44" i="4"/>
  <c r="F60" i="4"/>
  <c r="I36" i="4"/>
  <c r="I15" i="4"/>
  <c r="J121" i="4"/>
  <c r="Y37" i="11"/>
  <c r="J19" i="4"/>
  <c r="O3" i="11"/>
  <c r="J105" i="4"/>
  <c r="L35" i="11"/>
  <c r="F88" i="4"/>
  <c r="F37" i="4"/>
  <c r="F80" i="4"/>
  <c r="J24" i="4"/>
  <c r="H18" i="4"/>
  <c r="I16" i="4"/>
  <c r="O27" i="11"/>
  <c r="F43" i="4"/>
  <c r="F101" i="4"/>
  <c r="V10" i="11"/>
  <c r="E92" i="4"/>
  <c r="V31" i="11"/>
  <c r="L18" i="11"/>
  <c r="J90" i="4"/>
  <c r="J98" i="4"/>
  <c r="E86" i="4"/>
  <c r="E123" i="4"/>
  <c r="I63" i="4"/>
  <c r="O11" i="11"/>
  <c r="I40" i="4"/>
  <c r="F53" i="4"/>
  <c r="J44" i="4"/>
  <c r="E41" i="4"/>
  <c r="G30" i="4"/>
  <c r="E93" i="4"/>
  <c r="O24" i="11"/>
  <c r="O5" i="11"/>
  <c r="Y33" i="11"/>
  <c r="I122" i="4"/>
  <c r="I24" i="4"/>
  <c r="F8" i="4"/>
  <c r="O38" i="11"/>
  <c r="E29" i="4"/>
  <c r="J68" i="4"/>
  <c r="H58" i="4"/>
  <c r="H68" i="4"/>
  <c r="G62" i="4"/>
  <c r="H6" i="4"/>
  <c r="H62" i="4"/>
  <c r="E7" i="4"/>
  <c r="V12" i="11"/>
  <c r="I46" i="4"/>
  <c r="G16" i="4"/>
  <c r="I109" i="4"/>
  <c r="V26" i="11"/>
  <c r="V36" i="11"/>
  <c r="G47" i="4"/>
  <c r="G101" i="4"/>
  <c r="F22" i="4"/>
  <c r="L37" i="11"/>
  <c r="E78" i="4"/>
  <c r="H65" i="4"/>
  <c r="G63" i="4"/>
  <c r="O18" i="11"/>
  <c r="E5" i="4"/>
  <c r="E63" i="4"/>
  <c r="G81" i="4"/>
  <c r="I66" i="4"/>
  <c r="Y29" i="11"/>
  <c r="H30" i="4"/>
  <c r="H52" i="4"/>
  <c r="E85" i="4"/>
  <c r="H11" i="4"/>
  <c r="H54" i="4"/>
  <c r="I86" i="4"/>
  <c r="G12" i="4"/>
  <c r="G5" i="4"/>
  <c r="I30" i="4"/>
  <c r="H24" i="4"/>
  <c r="F70" i="4"/>
  <c r="E81" i="4"/>
  <c r="I11" i="4"/>
  <c r="J20" i="4"/>
  <c r="H88" i="4"/>
  <c r="Y28" i="11"/>
  <c r="I124" i="4"/>
  <c r="G33" i="4"/>
  <c r="H74" i="4"/>
  <c r="F76" i="4"/>
  <c r="I77" i="4"/>
  <c r="G92" i="4"/>
  <c r="H78" i="4"/>
  <c r="E110" i="4"/>
  <c r="J46" i="4"/>
  <c r="I93" i="4"/>
  <c r="V28" i="11"/>
  <c r="I6" i="4"/>
  <c r="L25" i="11"/>
  <c r="I88" i="4"/>
  <c r="E38" i="4"/>
  <c r="G99" i="4"/>
  <c r="G96" i="4"/>
  <c r="V6" i="11"/>
  <c r="Y15" i="11"/>
  <c r="Y19" i="11"/>
  <c r="V17" i="11"/>
  <c r="Y27" i="11"/>
  <c r="V7" i="11"/>
  <c r="V8" i="11"/>
  <c r="V37" i="11"/>
  <c r="Y25" i="11"/>
  <c r="Y26" i="11"/>
  <c r="V5" i="11"/>
  <c r="Y8" i="11"/>
  <c r="Y7" i="11"/>
  <c r="L26" i="11"/>
  <c r="L24" i="11"/>
  <c r="O10" i="11"/>
  <c r="O16" i="11"/>
  <c r="L5" i="11"/>
  <c r="L27" i="11"/>
  <c r="L33" i="11"/>
  <c r="O15" i="11"/>
  <c r="L19" i="11"/>
  <c r="L15" i="11"/>
  <c r="K1" i="4" a="1"/>
  <c r="L7" i="11"/>
  <c r="O20" i="11"/>
  <c r="O19" i="11"/>
  <c r="L38" i="11"/>
  <c r="O25" i="11"/>
  <c r="L34" i="11"/>
  <c r="L10" i="11"/>
  <c r="L20" i="11"/>
  <c r="L4" i="11"/>
  <c r="O12" i="11"/>
  <c r="O37" i="11"/>
  <c r="O14" i="11"/>
  <c r="O26" i="11"/>
  <c r="L39" i="11"/>
  <c r="O23" i="11"/>
  <c r="O7" i="11"/>
  <c r="O33" i="11"/>
  <c r="O13" i="11"/>
  <c r="L14" i="11"/>
  <c r="L16" i="11"/>
  <c r="O6" i="11"/>
  <c r="L17" i="11"/>
  <c r="L12" i="11"/>
  <c r="L11" i="11"/>
  <c r="O22" i="11"/>
  <c r="O32" i="11"/>
  <c r="O4" i="11"/>
  <c r="L3" i="11"/>
  <c r="L13" i="11"/>
  <c r="O9" i="11"/>
  <c r="O34" i="11"/>
  <c r="L23" i="11"/>
  <c r="O39" i="11"/>
  <c r="D28" i="3"/>
  <c r="L8" i="11"/>
  <c r="L6" i="11"/>
  <c r="L28" i="11"/>
  <c r="L36" i="11"/>
  <c r="L9" i="11"/>
  <c r="O36" i="11"/>
  <c r="O28" i="11"/>
  <c r="O17" i="11"/>
  <c r="O30" i="11"/>
  <c r="O8" i="11"/>
  <c r="O31" i="11"/>
  <c r="L30" i="11"/>
  <c r="L32" i="11"/>
  <c r="Z17" i="11" l="1"/>
  <c r="Z30" i="11"/>
  <c r="W17" i="11"/>
  <c r="L75" i="4"/>
  <c r="L102" i="4"/>
  <c r="L118" i="4"/>
  <c r="L81" i="4"/>
  <c r="L83" i="4"/>
  <c r="L125" i="4"/>
  <c r="L31" i="4"/>
  <c r="L89" i="4"/>
  <c r="L91" i="4"/>
  <c r="L7" i="4"/>
  <c r="L55" i="4"/>
  <c r="L66" i="4"/>
  <c r="L62" i="4"/>
  <c r="L1" i="4"/>
  <c r="L8" i="4"/>
  <c r="L10" i="4"/>
  <c r="L6" i="4"/>
  <c r="L104" i="4"/>
  <c r="L46" i="4"/>
  <c r="L106" i="4"/>
  <c r="L103" i="4"/>
  <c r="L41" i="4"/>
  <c r="L60" i="4"/>
  <c r="L78" i="4"/>
  <c r="L122" i="4"/>
  <c r="L86" i="4"/>
  <c r="L57" i="4"/>
  <c r="L100" i="4"/>
  <c r="L119" i="4"/>
  <c r="L35" i="4"/>
  <c r="L15" i="4"/>
  <c r="L58" i="4"/>
  <c r="L39" i="4"/>
  <c r="L5" i="4"/>
  <c r="L48" i="4"/>
  <c r="L67" i="4"/>
  <c r="L70" i="4"/>
  <c r="L2" i="4"/>
  <c r="L107" i="4"/>
  <c r="L111" i="4"/>
  <c r="L61" i="4"/>
  <c r="L123" i="4"/>
  <c r="L43" i="4"/>
  <c r="L33" i="4"/>
  <c r="L12" i="4"/>
  <c r="L14" i="4"/>
  <c r="L16" i="4"/>
  <c r="L18" i="4"/>
  <c r="L20" i="4"/>
  <c r="L45" i="4"/>
  <c r="L24" i="4"/>
  <c r="L26" i="4"/>
  <c r="L28" i="4"/>
  <c r="L63" i="4"/>
  <c r="L32" i="4"/>
  <c r="L51" i="4"/>
  <c r="L69" i="4"/>
  <c r="L113" i="4"/>
  <c r="L72" i="4"/>
  <c r="L74" i="4"/>
  <c r="L64" i="4"/>
  <c r="L42" i="4"/>
  <c r="L117" i="4"/>
  <c r="L85" i="4"/>
  <c r="L56" i="4"/>
  <c r="L93" i="4"/>
  <c r="L38" i="4"/>
  <c r="L115" i="4"/>
  <c r="L50" i="4"/>
  <c r="L97" i="4"/>
  <c r="L44" i="4"/>
  <c r="L114" i="4"/>
  <c r="L109" i="4"/>
  <c r="L4" i="4"/>
  <c r="L13" i="4"/>
  <c r="L21" i="4"/>
  <c r="L29" i="4"/>
  <c r="L40" i="4"/>
  <c r="L37" i="4"/>
  <c r="L99" i="4"/>
  <c r="L34" i="4"/>
  <c r="L23" i="4"/>
  <c r="L79" i="4"/>
  <c r="L77" i="4"/>
  <c r="L110" i="4"/>
  <c r="L11" i="4"/>
  <c r="L68" i="4"/>
  <c r="L65" i="4"/>
  <c r="L30" i="4"/>
  <c r="L27" i="4"/>
  <c r="L59" i="4"/>
  <c r="L76" i="4"/>
  <c r="L80" i="4"/>
  <c r="L84" i="4"/>
  <c r="L88" i="4"/>
  <c r="L92" i="4"/>
  <c r="L120" i="4"/>
  <c r="L54" i="4"/>
  <c r="L9" i="4"/>
  <c r="L52" i="4"/>
  <c r="L49" i="4"/>
  <c r="L101" i="4"/>
  <c r="L108" i="4"/>
  <c r="L47" i="4"/>
  <c r="L17" i="4"/>
  <c r="L25" i="4"/>
  <c r="L105" i="4"/>
  <c r="L73" i="4"/>
  <c r="L96" i="4"/>
  <c r="L116" i="4"/>
  <c r="L87" i="4"/>
  <c r="L82" i="4"/>
  <c r="L90" i="4"/>
  <c r="L22" i="4"/>
  <c r="L36" i="4"/>
  <c r="L98" i="4"/>
  <c r="L95" i="4"/>
  <c r="L126" i="4"/>
  <c r="L3" i="4"/>
  <c r="L112" i="4"/>
  <c r="L121" i="4"/>
  <c r="L53" i="4"/>
  <c r="L19" i="4"/>
  <c r="L71" i="4"/>
  <c r="L94" i="4"/>
  <c r="L124" i="4"/>
  <c r="Z19" i="11"/>
  <c r="W31" i="11"/>
  <c r="Z10" i="11"/>
  <c r="W10" i="11"/>
  <c r="W26" i="11"/>
  <c r="Z7" i="11"/>
  <c r="Z5" i="11"/>
  <c r="Z14" i="11"/>
  <c r="Z3" i="11"/>
  <c r="Z32" i="11"/>
  <c r="W15" i="11"/>
  <c r="W14" i="11"/>
  <c r="Z36" i="11"/>
  <c r="Z13" i="11"/>
  <c r="W27" i="11"/>
  <c r="Z20" i="11"/>
  <c r="W3" i="11"/>
  <c r="Z35" i="11"/>
  <c r="Z31" i="11"/>
  <c r="W37" i="11"/>
  <c r="W19" i="11"/>
  <c r="P12" i="11"/>
  <c r="W13" i="11"/>
  <c r="D10" i="11"/>
  <c r="E10" i="11" s="1"/>
  <c r="M17" i="11"/>
  <c r="D3" i="11"/>
  <c r="E3" i="11" s="1"/>
  <c r="P39" i="11"/>
  <c r="M33" i="11"/>
  <c r="W12" i="11"/>
  <c r="W34" i="11"/>
  <c r="W8" i="11"/>
  <c r="Z6" i="11"/>
  <c r="M15" i="11"/>
  <c r="M7" i="11"/>
  <c r="D25" i="11"/>
  <c r="E25" i="11" s="1"/>
  <c r="Z8" i="11"/>
  <c r="W20" i="11"/>
  <c r="M11" i="11"/>
  <c r="D22" i="11"/>
  <c r="E22" i="11" s="1"/>
  <c r="Z34" i="11"/>
  <c r="Z25" i="11"/>
  <c r="Z21" i="11"/>
  <c r="Z12" i="11"/>
  <c r="M12" i="11"/>
  <c r="D4" i="11"/>
  <c r="E4" i="11" s="1"/>
  <c r="Z23" i="11"/>
  <c r="P29" i="11"/>
  <c r="P19" i="11"/>
  <c r="M26" i="11"/>
  <c r="F36" i="11"/>
  <c r="Z28" i="11"/>
  <c r="P23" i="11"/>
  <c r="W35" i="11"/>
  <c r="W23" i="11"/>
  <c r="P27" i="11"/>
  <c r="W30" i="11"/>
  <c r="M5" i="11"/>
  <c r="F19" i="11"/>
  <c r="F33" i="11"/>
  <c r="D16" i="11"/>
  <c r="E16" i="11" s="1"/>
  <c r="F28" i="11"/>
  <c r="W7" i="11"/>
  <c r="M28" i="11"/>
  <c r="M3" i="11"/>
  <c r="W33" i="11"/>
  <c r="F26" i="11"/>
  <c r="W21" i="11"/>
  <c r="Z22" i="11"/>
  <c r="W18" i="11"/>
  <c r="M18" i="11"/>
  <c r="M37" i="11"/>
  <c r="P10" i="11"/>
  <c r="Z16" i="11"/>
  <c r="Z24" i="11"/>
  <c r="F7" i="11"/>
  <c r="D19" i="11"/>
  <c r="E19" i="11" s="1"/>
  <c r="D6" i="11"/>
  <c r="E6" i="11" s="1"/>
  <c r="D18" i="11"/>
  <c r="E18" i="11" s="1"/>
  <c r="F37" i="11"/>
  <c r="Z27" i="11"/>
  <c r="P33" i="11"/>
  <c r="W36" i="11"/>
  <c r="Z9" i="11"/>
  <c r="P5" i="11"/>
  <c r="Z33" i="11"/>
  <c r="F32" i="11"/>
  <c r="D12" i="11"/>
  <c r="E12" i="11" s="1"/>
  <c r="D33" i="11"/>
  <c r="E33" i="11" s="1"/>
  <c r="Z37" i="11"/>
  <c r="M21" i="11"/>
  <c r="P7" i="11"/>
  <c r="P6" i="11"/>
  <c r="F31" i="11"/>
  <c r="D20" i="11"/>
  <c r="E20" i="11" s="1"/>
  <c r="F5" i="11"/>
  <c r="Z18" i="11"/>
  <c r="W32" i="11"/>
  <c r="P25" i="11"/>
  <c r="W16" i="11"/>
  <c r="F29" i="11"/>
  <c r="Z11" i="11"/>
  <c r="M29" i="11"/>
  <c r="P16" i="11"/>
  <c r="W25" i="11"/>
  <c r="F15" i="11"/>
  <c r="W4" i="11"/>
  <c r="W11" i="11"/>
  <c r="W22" i="11"/>
  <c r="P8" i="11"/>
  <c r="K17" i="4"/>
  <c r="K13" i="4"/>
  <c r="K81" i="4"/>
  <c r="K109" i="4"/>
  <c r="K18" i="4"/>
  <c r="K79" i="4"/>
  <c r="K82" i="4"/>
  <c r="K40" i="4"/>
  <c r="K63" i="4"/>
  <c r="K123" i="4"/>
  <c r="K126" i="4"/>
  <c r="K125" i="4"/>
  <c r="K16" i="4"/>
  <c r="K101" i="4"/>
  <c r="K91" i="4"/>
  <c r="K36" i="4"/>
  <c r="K15" i="4"/>
  <c r="K47" i="4"/>
  <c r="K107" i="4"/>
  <c r="K98" i="4"/>
  <c r="K51" i="4"/>
  <c r="K21" i="4"/>
  <c r="K11" i="4"/>
  <c r="K85" i="4"/>
  <c r="K115" i="4"/>
  <c r="K22" i="4"/>
  <c r="K68" i="4"/>
  <c r="K7" i="4"/>
  <c r="K37" i="4"/>
  <c r="K86" i="4"/>
  <c r="K105" i="4"/>
  <c r="K60" i="4"/>
  <c r="K14" i="4"/>
  <c r="K112" i="4"/>
  <c r="K102" i="4"/>
  <c r="K114" i="4"/>
  <c r="K2" i="4"/>
  <c r="K120" i="4"/>
  <c r="K30" i="4"/>
  <c r="K39" i="4"/>
  <c r="K32" i="4"/>
  <c r="K108" i="4"/>
  <c r="K50" i="4"/>
  <c r="K24" i="4"/>
  <c r="K100" i="4"/>
  <c r="K53" i="4"/>
  <c r="K34" i="4"/>
  <c r="K62" i="4"/>
  <c r="K121" i="4"/>
  <c r="K20" i="4"/>
  <c r="K48" i="4"/>
  <c r="K25" i="4"/>
  <c r="K118" i="4"/>
  <c r="K89" i="4"/>
  <c r="K73" i="4"/>
  <c r="K26" i="4"/>
  <c r="K58" i="4"/>
  <c r="K90" i="4"/>
  <c r="K43" i="4"/>
  <c r="K35" i="4"/>
  <c r="K46" i="4"/>
  <c r="K45" i="4"/>
  <c r="K84" i="4"/>
  <c r="K5" i="4"/>
  <c r="K4" i="4"/>
  <c r="K76" i="4"/>
  <c r="K87" i="4"/>
  <c r="K29" i="4"/>
  <c r="K93" i="4"/>
  <c r="K23" i="4"/>
  <c r="K31" i="4"/>
  <c r="K61" i="4"/>
  <c r="K41" i="4"/>
  <c r="K33" i="4"/>
  <c r="K97" i="4"/>
  <c r="K6" i="4"/>
  <c r="K52" i="4"/>
  <c r="K54" i="4"/>
  <c r="K67" i="4"/>
  <c r="K75" i="4"/>
  <c r="K70" i="4"/>
  <c r="K119" i="4"/>
  <c r="K42" i="4"/>
  <c r="K95" i="4"/>
  <c r="K111" i="4"/>
  <c r="K71" i="4"/>
  <c r="K113" i="4"/>
  <c r="K99" i="4"/>
  <c r="K80" i="4"/>
  <c r="K64" i="4"/>
  <c r="K124" i="4"/>
  <c r="K57" i="4"/>
  <c r="K83" i="4"/>
  <c r="K106" i="4"/>
  <c r="K104" i="4"/>
  <c r="K1" i="4"/>
  <c r="K10" i="4"/>
  <c r="K59" i="4"/>
  <c r="K110" i="4"/>
  <c r="K49" i="4"/>
  <c r="K74" i="4"/>
  <c r="K38" i="4"/>
  <c r="K88" i="4"/>
  <c r="K65" i="4"/>
  <c r="K96" i="4"/>
  <c r="K8" i="4"/>
  <c r="K77" i="4"/>
  <c r="K117" i="4"/>
  <c r="K66" i="4"/>
  <c r="K55" i="4"/>
  <c r="K69" i="4"/>
  <c r="K19" i="4"/>
  <c r="K56" i="4"/>
  <c r="K116" i="4"/>
  <c r="K122" i="4"/>
  <c r="K12" i="4"/>
  <c r="K28" i="4"/>
  <c r="K94" i="4"/>
  <c r="K3" i="4"/>
  <c r="K44" i="4"/>
  <c r="K72" i="4"/>
  <c r="K9" i="4"/>
  <c r="K92" i="4"/>
  <c r="K78" i="4"/>
  <c r="K103" i="4"/>
  <c r="K27" i="4"/>
  <c r="M24" i="11"/>
  <c r="P21" i="11"/>
  <c r="W28" i="11"/>
  <c r="Z4" i="11"/>
  <c r="D32" i="11"/>
  <c r="E32" i="11" s="1"/>
  <c r="M9" i="11"/>
  <c r="D15" i="11"/>
  <c r="E15" i="11" s="1"/>
  <c r="D37" i="11"/>
  <c r="E37" i="11" s="1"/>
  <c r="D24" i="11"/>
  <c r="E24" i="11" s="1"/>
  <c r="F4" i="11"/>
  <c r="F12" i="11"/>
  <c r="F11" i="11"/>
  <c r="D17" i="11"/>
  <c r="E17" i="11" s="1"/>
  <c r="D5" i="11"/>
  <c r="E5" i="11" s="1"/>
  <c r="D14" i="11"/>
  <c r="E14" i="11" s="1"/>
  <c r="F10" i="11"/>
  <c r="F17" i="11"/>
  <c r="F21" i="11"/>
  <c r="Z29" i="11"/>
  <c r="M22" i="11"/>
  <c r="M4" i="11"/>
  <c r="Z15" i="11"/>
  <c r="P32" i="11"/>
  <c r="F22" i="11"/>
  <c r="F20" i="11"/>
  <c r="W24" i="11"/>
  <c r="W5" i="11"/>
  <c r="W6" i="11"/>
  <c r="P26" i="11"/>
  <c r="M14" i="11"/>
  <c r="P3" i="11"/>
  <c r="P34" i="11"/>
  <c r="P35" i="11"/>
  <c r="M39" i="11"/>
  <c r="P14" i="11"/>
  <c r="W29" i="11"/>
  <c r="W9" i="11"/>
  <c r="Z26" i="11"/>
  <c r="M8" i="11"/>
  <c r="M16" i="11"/>
  <c r="M23" i="11"/>
  <c r="F3" i="11"/>
  <c r="F14" i="11"/>
  <c r="F34" i="11"/>
  <c r="D26" i="11"/>
  <c r="E26" i="11" s="1"/>
  <c r="D36" i="11"/>
  <c r="E36" i="11" s="1"/>
  <c r="F30" i="11"/>
  <c r="F18" i="11"/>
  <c r="D35" i="11"/>
  <c r="E35" i="11" s="1"/>
  <c r="D11" i="11"/>
  <c r="E11" i="11" s="1"/>
  <c r="D9" i="11"/>
  <c r="E9" i="11" s="1"/>
  <c r="M36" i="11"/>
  <c r="M10" i="11"/>
  <c r="P4" i="11"/>
  <c r="P31" i="11"/>
  <c r="M20" i="11"/>
  <c r="M19" i="11"/>
  <c r="P37" i="11"/>
  <c r="M6" i="11"/>
  <c r="P22" i="11"/>
  <c r="M25" i="11"/>
  <c r="M13" i="11"/>
  <c r="P24" i="11"/>
  <c r="M30" i="11"/>
  <c r="D27" i="11"/>
  <c r="E27" i="11" s="1"/>
  <c r="P11" i="11"/>
  <c r="F25" i="11"/>
  <c r="M38" i="11"/>
  <c r="F8" i="11"/>
  <c r="F13" i="11"/>
  <c r="D31" i="11"/>
  <c r="E31" i="11" s="1"/>
  <c r="F24" i="11"/>
  <c r="D30" i="11"/>
  <c r="E30" i="11" s="1"/>
  <c r="F16" i="11"/>
  <c r="F35" i="11"/>
  <c r="D29" i="11"/>
  <c r="E29" i="11" s="1"/>
  <c r="M32" i="11"/>
  <c r="M35" i="11"/>
  <c r="P18" i="11"/>
  <c r="P17" i="11"/>
  <c r="F27" i="11"/>
  <c r="P36" i="11"/>
  <c r="M34" i="11"/>
  <c r="F9" i="11"/>
  <c r="M31" i="11"/>
  <c r="P20" i="11"/>
  <c r="M27" i="11"/>
  <c r="P13" i="11"/>
  <c r="P28" i="11"/>
  <c r="P30" i="11"/>
  <c r="P15" i="11"/>
  <c r="P38" i="11"/>
  <c r="D23" i="11"/>
  <c r="E23" i="11" s="1"/>
  <c r="F6" i="11"/>
  <c r="P9" i="11"/>
  <c r="D28" i="11"/>
  <c r="E28" i="11" s="1"/>
  <c r="D13" i="11"/>
  <c r="E13" i="11" s="1"/>
  <c r="D21" i="11"/>
  <c r="E21" i="11" s="1"/>
  <c r="D34" i="11"/>
  <c r="E34" i="11" s="1"/>
  <c r="D7" i="11"/>
  <c r="E7" i="11" s="1"/>
  <c r="D8" i="11"/>
  <c r="E8" i="11" s="1"/>
  <c r="F23" i="11"/>
  <c r="D15" i="3"/>
  <c r="D26" i="3"/>
  <c r="E26" i="3"/>
  <c r="C24" i="3"/>
  <c r="D24" i="3" l="1"/>
  <c r="E24" i="3"/>
  <c r="C25" i="3"/>
  <c r="D25" i="3"/>
  <c r="E25" i="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<sst xmlns="http://schemas.openxmlformats.org/spreadsheetml/2006/main" count="344" uniqueCount="140">
  <si>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</si>
  <si>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</si>
  <si>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</si>
  <si>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</si>
  <si>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</si>
  <si>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</si>
  <si>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</si>
  <si>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</si>
  <si>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</si>
  <si>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</si>
  <si>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</si>
  <si>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</si>
  <si>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</si>
  <si>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</si>
  <si>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</si>
  <si>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</si>
  <si>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</si>
  <si>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</si>
  <si>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</si>
  <si>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</si>
  <si>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</si>
  <si>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</si>
  <si>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</si>
  <si>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</si>
  <si>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</si>
  <si>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</si>
  <si>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</si>
  <si>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</si>
  <si>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</si>
  <si>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</si>
  <si>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</si>
  <si>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</si>
  <si>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</si>
  <si>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</si>
  <si>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</si>
  <si>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</si>
  <si>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</si>
  <si>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</si>
  <si>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12Y</t>
  </si>
  <si>
    <t>25Y</t>
  </si>
  <si>
    <t>ObjectOverwrite</t>
  </si>
  <si>
    <t>nIMMFutures</t>
  </si>
  <si>
    <t>nSerialFutures</t>
  </si>
  <si>
    <t>IndexTenor</t>
  </si>
  <si>
    <t>Months</t>
  </si>
  <si>
    <t>IborType</t>
  </si>
  <si>
    <t>SwapFixedFreq</t>
  </si>
  <si>
    <t>Min Distance</t>
  </si>
  <si>
    <t>Rate</t>
  </si>
  <si>
    <t>ON</t>
  </si>
  <si>
    <t/>
  </si>
  <si>
    <t>2W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</si>
  <si>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</si>
  <si>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</si>
  <si>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</si>
  <si>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</si>
  <si>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</si>
  <si>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</si>
  <si>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</si>
  <si>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</si>
  <si>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</si>
  <si>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</si>
  <si>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</si>
  <si>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</si>
  <si>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Discounting2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</si>
  <si>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</si>
  <si>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</si>
  <si>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</si>
  <si>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</si>
  <si>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</si>
  <si>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</si>
  <si>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</si>
  <si>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</si>
  <si>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</si>
  <si>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1W</t>
  </si>
  <si>
    <t>Quote Object ID</t>
  </si>
  <si>
    <t>Length</t>
  </si>
  <si>
    <t>Extrapolation</t>
  </si>
  <si>
    <t>MoneyMarketDayCounter</t>
  </si>
  <si>
    <t>Actual/365 (Fixed)</t>
  </si>
  <si>
    <t>Index</t>
  </si>
  <si>
    <t>Instruemnts Selected</t>
  </si>
  <si>
    <t>Instruments</t>
  </si>
  <si>
    <t>40Y</t>
  </si>
  <si>
    <t>50Y</t>
  </si>
  <si>
    <t>60Y</t>
  </si>
  <si>
    <t>Settl Days</t>
  </si>
  <si>
    <t>LCH Quote Overwrite</t>
  </si>
  <si>
    <t>Fwd start</t>
  </si>
  <si>
    <t>Freq</t>
  </si>
  <si>
    <t>Business Day Convention</t>
  </si>
  <si>
    <t>Day Count Convention</t>
  </si>
  <si>
    <t>Spread</t>
  </si>
  <si>
    <t>0D</t>
  </si>
  <si>
    <t>Modified Following</t>
  </si>
  <si>
    <t>Linear</t>
  </si>
  <si>
    <t>ZeroYield</t>
  </si>
  <si>
    <t>Instruments = REP00078</t>
  </si>
  <si>
    <t>LCH Maturity Date</t>
  </si>
  <si>
    <t>LCH Quote</t>
  </si>
  <si>
    <t>QL Quote</t>
  </si>
  <si>
    <t>QL Maturity</t>
  </si>
  <si>
    <t>Curve</t>
  </si>
  <si>
    <t>Maturity Date</t>
  </si>
  <si>
    <t>LCH Zero</t>
  </si>
  <si>
    <t>QL Zero</t>
  </si>
  <si>
    <t>LCH Discount</t>
  </si>
  <si>
    <t>QL Discount</t>
  </si>
  <si>
    <t>Curve (Linear on Zero) Analysis = REP00079</t>
  </si>
  <si>
    <t>Curve (Cubic on Log Disocunt) Analysis = REP00101</t>
  </si>
  <si>
    <t>Discount</t>
  </si>
  <si>
    <t>LogCubicNaturalSpline</t>
  </si>
  <si>
    <t>ReLink</t>
  </si>
  <si>
    <t>DiscountingSTD</t>
  </si>
  <si>
    <t>Discounting1</t>
  </si>
  <si>
    <t>LCHlinear</t>
  </si>
  <si>
    <t>LCHcubic</t>
  </si>
  <si>
    <t>_linearLCH</t>
  </si>
  <si>
    <t>_cubicLCH</t>
  </si>
  <si>
    <t>LCHQuoteSuffix</t>
  </si>
  <si>
    <t>_LCHQuote</t>
  </si>
  <si>
    <t>3L</t>
  </si>
  <si>
    <t>Pillar Date</t>
  </si>
  <si>
    <t>USD</t>
  </si>
  <si>
    <t>JOIN CALENDAR</t>
  </si>
  <si>
    <t>JoinCalendar Rule</t>
  </si>
  <si>
    <t>GB Calendar</t>
  </si>
  <si>
    <t>US Calendar</t>
  </si>
  <si>
    <t>JoinCalendar</t>
  </si>
  <si>
    <t>JoinHolidays</t>
  </si>
  <si>
    <t>NullCalendar</t>
  </si>
  <si>
    <t>UnitedStates::Settlement</t>
  </si>
  <si>
    <t>UsdFedFunds</t>
  </si>
  <si>
    <t>TN</t>
  </si>
  <si>
    <t>3W</t>
  </si>
  <si>
    <t>3FF</t>
  </si>
  <si>
    <t>*for the moment in the market sheet there are not basis swap FedFunds vs 3L</t>
  </si>
  <si>
    <t>Annual</t>
  </si>
  <si>
    <t>USD_FEDFUND_EOD</t>
  </si>
  <si>
    <t>Actual/360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</si>
</sst>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  <numFmt numFmtId="176" formatCode="_-* #,##0.00_-;\-* #,##0.00_-;_-* &quot;-&quot;??_-;_-@_-"/>
    <numFmt numFmtId="177" formatCode="0.E+00"/>
    <numFmt numFmtId="178" formatCode="0.0000"/>
    <numFmt numFmtId="179" formatCode="0.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sz val="7"/>
      <name val="Courier New"/>
      <family val="3"/>
    </font>
    <font>
      <sz val="10"/>
      <name val="Arial"/>
      <family val="2"/>
    </font>
    <font>
      <sz val="8"/>
      <color theme="1"/>
      <name val="Courier New"/>
      <family val="3"/>
    </font>
    <font>
      <sz val="8"/>
      <color rgb="FFFF0000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1" fontId="13" fillId="0" borderId="0"/>
    <xf numFmtId="172" fontId="14" fillId="5" borderId="0">
      <alignment horizontal="center" vertical="center"/>
    </xf>
    <xf numFmtId="173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3" fillId="0" borderId="0"/>
    <xf numFmtId="0" fontId="19" fillId="0" borderId="0"/>
    <xf numFmtId="0" fontId="2" fillId="0" borderId="0"/>
    <xf numFmtId="9" fontId="2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4" fillId="0" borderId="0"/>
  </cellStyleXfs>
  <cellXfs count="251">
    <xf numFmtId="0" fontId="0" fillId="0" borderId="0" xfId="0"/>
    <xf numFmtId="0" fontId="5" fillId="4" borderId="0" xfId="1" applyFont="1" applyFill="1" applyBorder="1"/>
    <xf numFmtId="0" fontId="10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5" fillId="4" borderId="9" xfId="0" applyFont="1" applyFill="1" applyBorder="1"/>
    <xf numFmtId="0" fontId="10" fillId="4" borderId="8" xfId="0" applyFont="1" applyFill="1" applyBorder="1" applyAlignment="1">
      <alignment horizontal="center"/>
    </xf>
    <xf numFmtId="0" fontId="10" fillId="4" borderId="0" xfId="0" applyFont="1" applyFill="1" applyBorder="1" applyAlignment="1"/>
    <xf numFmtId="0" fontId="10" fillId="4" borderId="0" xfId="0" applyFont="1" applyFill="1" applyBorder="1"/>
    <xf numFmtId="0" fontId="10" fillId="4" borderId="8" xfId="0" applyFont="1" applyFill="1" applyBorder="1"/>
    <xf numFmtId="0" fontId="10" fillId="4" borderId="22" xfId="0" applyFont="1" applyFill="1" applyBorder="1"/>
    <xf numFmtId="0" fontId="17" fillId="4" borderId="22" xfId="0" applyFont="1" applyFill="1" applyBorder="1" applyAlignment="1">
      <alignment horizontal="left" vertical="center"/>
    </xf>
    <xf numFmtId="0" fontId="15" fillId="4" borderId="13" xfId="0" applyFont="1" applyFill="1" applyBorder="1"/>
    <xf numFmtId="0" fontId="10" fillId="4" borderId="31" xfId="0" applyFont="1" applyFill="1" applyBorder="1"/>
    <xf numFmtId="0" fontId="10" fillId="4" borderId="12" xfId="0" applyFont="1" applyFill="1" applyBorder="1" applyAlignment="1">
      <alignment horizontal="center"/>
    </xf>
    <xf numFmtId="0" fontId="10" fillId="4" borderId="0" xfId="9" applyFont="1" applyFill="1" applyBorder="1" applyAlignment="1">
      <alignment horizontal="center"/>
    </xf>
    <xf numFmtId="0" fontId="10" fillId="0" borderId="0" xfId="9" applyFont="1"/>
    <xf numFmtId="0" fontId="10" fillId="4" borderId="9" xfId="9" applyFont="1" applyFill="1" applyBorder="1"/>
    <xf numFmtId="0" fontId="10" fillId="4" borderId="8" xfId="9" applyFont="1" applyFill="1" applyBorder="1" applyAlignment="1">
      <alignment horizontal="center"/>
    </xf>
    <xf numFmtId="0" fontId="10" fillId="4" borderId="16" xfId="9" applyFont="1" applyFill="1" applyBorder="1"/>
    <xf numFmtId="0" fontId="10" fillId="4" borderId="21" xfId="9" applyFont="1" applyFill="1" applyBorder="1"/>
    <xf numFmtId="0" fontId="10" fillId="4" borderId="17" xfId="9" applyFont="1" applyFill="1" applyBorder="1"/>
    <xf numFmtId="0" fontId="10" fillId="4" borderId="10" xfId="0" applyNumberFormat="1" applyFont="1" applyFill="1" applyBorder="1" applyAlignment="1">
      <alignment horizontal="center"/>
    </xf>
    <xf numFmtId="0" fontId="10" fillId="4" borderId="10" xfId="0" applyNumberFormat="1" applyFont="1" applyFill="1" applyBorder="1" applyAlignment="1">
      <alignment horizontal="right"/>
    </xf>
    <xf numFmtId="0" fontId="10" fillId="4" borderId="14" xfId="0" applyNumberFormat="1" applyFont="1" applyFill="1" applyBorder="1" applyAlignment="1">
      <alignment horizontal="center"/>
    </xf>
    <xf numFmtId="0" fontId="10" fillId="4" borderId="14" xfId="0" applyNumberFormat="1" applyFont="1" applyFill="1" applyBorder="1" applyAlignment="1">
      <alignment horizontal="right"/>
    </xf>
    <xf numFmtId="0" fontId="10" fillId="4" borderId="18" xfId="0" applyNumberFormat="1" applyFont="1" applyFill="1" applyBorder="1" applyAlignment="1">
      <alignment horizontal="center"/>
    </xf>
    <xf numFmtId="0" fontId="10" fillId="4" borderId="18" xfId="0" applyNumberFormat="1" applyFont="1" applyFill="1" applyBorder="1" applyAlignment="1">
      <alignment horizontal="right"/>
    </xf>
    <xf numFmtId="0" fontId="20" fillId="0" borderId="0" xfId="0" applyFont="1" applyFill="1"/>
    <xf numFmtId="0" fontId="20" fillId="0" borderId="16" xfId="0" applyFont="1" applyBorder="1"/>
    <xf numFmtId="0" fontId="20" fillId="0" borderId="21" xfId="0" applyFont="1" applyBorder="1"/>
    <xf numFmtId="0" fontId="20" fillId="0" borderId="17" xfId="0" applyFont="1" applyBorder="1"/>
    <xf numFmtId="0" fontId="10" fillId="4" borderId="21" xfId="9" applyFont="1" applyFill="1" applyBorder="1" applyAlignment="1">
      <alignment horizontal="center" vertical="center"/>
    </xf>
    <xf numFmtId="0" fontId="10" fillId="4" borderId="34" xfId="0" applyFont="1" applyFill="1" applyBorder="1" applyAlignment="1"/>
    <xf numFmtId="0" fontId="10" fillId="4" borderId="20" xfId="0" applyFont="1" applyFill="1" applyBorder="1" applyAlignment="1"/>
    <xf numFmtId="0" fontId="10" fillId="4" borderId="33" xfId="0" applyFont="1" applyFill="1" applyBorder="1" applyAlignment="1"/>
    <xf numFmtId="0" fontId="10" fillId="4" borderId="11" xfId="0" applyNumberFormat="1" applyFont="1" applyFill="1" applyBorder="1" applyAlignment="1"/>
    <xf numFmtId="0" fontId="10" fillId="4" borderId="15" xfId="0" applyNumberFormat="1" applyFont="1" applyFill="1" applyBorder="1" applyAlignment="1"/>
    <xf numFmtId="0" fontId="10" fillId="4" borderId="19" xfId="0" applyNumberFormat="1" applyFont="1" applyFill="1" applyBorder="1" applyAlignment="1"/>
    <xf numFmtId="0" fontId="20" fillId="6" borderId="12" xfId="0" applyFont="1" applyFill="1" applyBorder="1"/>
    <xf numFmtId="0" fontId="20" fillId="6" borderId="31" xfId="0" applyFont="1" applyFill="1" applyBorder="1"/>
    <xf numFmtId="0" fontId="20" fillId="6" borderId="13" xfId="0" applyFont="1" applyFill="1" applyBorder="1"/>
    <xf numFmtId="0" fontId="20" fillId="6" borderId="8" xfId="0" applyFont="1" applyFill="1" applyBorder="1"/>
    <xf numFmtId="0" fontId="20" fillId="6" borderId="9" xfId="0" applyFont="1" applyFill="1" applyBorder="1"/>
    <xf numFmtId="0" fontId="20" fillId="6" borderId="0" xfId="0" applyFont="1" applyFill="1" applyBorder="1"/>
    <xf numFmtId="0" fontId="20" fillId="6" borderId="10" xfId="0" applyFont="1" applyFill="1" applyBorder="1"/>
    <xf numFmtId="164" fontId="20" fillId="6" borderId="10" xfId="2" applyNumberFormat="1" applyFont="1" applyFill="1" applyBorder="1"/>
    <xf numFmtId="0" fontId="20" fillId="6" borderId="23" xfId="0" applyFont="1" applyFill="1" applyBorder="1"/>
    <xf numFmtId="0" fontId="20" fillId="6" borderId="11" xfId="0" applyFont="1" applyFill="1" applyBorder="1"/>
    <xf numFmtId="0" fontId="20" fillId="6" borderId="14" xfId="0" applyFont="1" applyFill="1" applyBorder="1"/>
    <xf numFmtId="164" fontId="20" fillId="6" borderId="14" xfId="2" applyNumberFormat="1" applyFont="1" applyFill="1" applyBorder="1"/>
    <xf numFmtId="0" fontId="20" fillId="6" borderId="15" xfId="0" applyFont="1" applyFill="1" applyBorder="1"/>
    <xf numFmtId="0" fontId="20" fillId="6" borderId="18" xfId="0" applyFont="1" applyFill="1" applyBorder="1"/>
    <xf numFmtId="164" fontId="20" fillId="6" borderId="18" xfId="2" applyNumberFormat="1" applyFont="1" applyFill="1" applyBorder="1"/>
    <xf numFmtId="0" fontId="20" fillId="6" borderId="19" xfId="0" applyFont="1" applyFill="1" applyBorder="1"/>
    <xf numFmtId="0" fontId="11" fillId="4" borderId="24" xfId="9" applyFont="1" applyFill="1" applyBorder="1" applyAlignment="1">
      <alignment horizontal="center" vertical="center" wrapText="1"/>
    </xf>
    <xf numFmtId="0" fontId="20" fillId="8" borderId="3" xfId="0" applyFont="1" applyFill="1" applyBorder="1"/>
    <xf numFmtId="0" fontId="20" fillId="8" borderId="22" xfId="0" applyFont="1" applyFill="1" applyBorder="1"/>
    <xf numFmtId="0" fontId="20" fillId="0" borderId="37" xfId="0" applyFont="1" applyFill="1" applyBorder="1"/>
    <xf numFmtId="166" fontId="10" fillId="0" borderId="14" xfId="9" applyNumberFormat="1" applyFont="1" applyFill="1" applyBorder="1" applyAlignment="1"/>
    <xf numFmtId="164" fontId="20" fillId="0" borderId="14" xfId="0" applyNumberFormat="1" applyFont="1" applyFill="1" applyBorder="1"/>
    <xf numFmtId="177" fontId="20" fillId="9" borderId="14" xfId="0" applyNumberFormat="1" applyFont="1" applyFill="1" applyBorder="1"/>
    <xf numFmtId="0" fontId="20" fillId="0" borderId="5" xfId="0" applyFont="1" applyFill="1" applyBorder="1"/>
    <xf numFmtId="166" fontId="10" fillId="0" borderId="18" xfId="9" applyNumberFormat="1" applyFont="1" applyFill="1" applyBorder="1" applyAlignment="1"/>
    <xf numFmtId="164" fontId="20" fillId="0" borderId="18" xfId="0" applyNumberFormat="1" applyFont="1" applyFill="1" applyBorder="1"/>
    <xf numFmtId="177" fontId="20" fillId="9" borderId="18" xfId="0" applyNumberFormat="1" applyFont="1" applyFill="1" applyBorder="1"/>
    <xf numFmtId="0" fontId="20" fillId="0" borderId="14" xfId="0" applyFont="1" applyFill="1" applyBorder="1"/>
    <xf numFmtId="178" fontId="20" fillId="0" borderId="14" xfId="0" applyNumberFormat="1" applyFont="1" applyFill="1" applyBorder="1"/>
    <xf numFmtId="167" fontId="10" fillId="0" borderId="14" xfId="9" applyNumberFormat="1" applyFont="1" applyFill="1" applyBorder="1" applyAlignment="1"/>
    <xf numFmtId="11" fontId="20" fillId="6" borderId="0" xfId="0" applyNumberFormat="1" applyFont="1" applyFill="1" applyBorder="1"/>
    <xf numFmtId="0" fontId="20" fillId="6" borderId="16" xfId="0" applyFont="1" applyFill="1" applyBorder="1"/>
    <xf numFmtId="170" fontId="10" fillId="6" borderId="21" xfId="9" applyNumberFormat="1" applyFont="1" applyFill="1" applyBorder="1" applyAlignment="1">
      <alignment horizontal="right"/>
    </xf>
    <xf numFmtId="0" fontId="20" fillId="6" borderId="21" xfId="0" applyFont="1" applyFill="1" applyBorder="1"/>
    <xf numFmtId="0" fontId="20" fillId="6" borderId="39" xfId="0" applyFont="1" applyFill="1" applyBorder="1"/>
    <xf numFmtId="0" fontId="20" fillId="6" borderId="17" xfId="0" applyFont="1" applyFill="1" applyBorder="1"/>
    <xf numFmtId="0" fontId="20" fillId="10" borderId="0" xfId="0" applyFont="1" applyFill="1"/>
    <xf numFmtId="170" fontId="10" fillId="10" borderId="0" xfId="9" applyNumberFormat="1" applyFont="1" applyFill="1" applyBorder="1" applyAlignment="1">
      <alignment horizontal="right"/>
    </xf>
    <xf numFmtId="0" fontId="0" fillId="10" borderId="0" xfId="0" applyFill="1" applyBorder="1"/>
    <xf numFmtId="0" fontId="20" fillId="10" borderId="0" xfId="0" applyFont="1" applyFill="1" applyBorder="1"/>
    <xf numFmtId="0" fontId="0" fillId="10" borderId="0" xfId="0" applyFill="1"/>
    <xf numFmtId="0" fontId="10" fillId="8" borderId="24" xfId="9" applyFont="1" applyFill="1" applyBorder="1" applyAlignment="1">
      <alignment horizontal="centerContinuous" vertical="center" wrapText="1"/>
    </xf>
    <xf numFmtId="0" fontId="16" fillId="11" borderId="22" xfId="9" applyNumberFormat="1" applyFont="1" applyFill="1" applyBorder="1" applyAlignment="1" applyProtection="1">
      <alignment horizontal="left" vertical="center"/>
    </xf>
    <xf numFmtId="0" fontId="16" fillId="11" borderId="10" xfId="9" applyNumberFormat="1" applyFont="1" applyFill="1" applyBorder="1" applyAlignment="1" applyProtection="1">
      <alignment horizontal="left" vertical="center"/>
    </xf>
    <xf numFmtId="0" fontId="16" fillId="11" borderId="14" xfId="9" applyNumberFormat="1" applyFont="1" applyFill="1" applyBorder="1" applyAlignment="1" applyProtection="1">
      <alignment horizontal="left" vertical="center"/>
    </xf>
    <xf numFmtId="0" fontId="16" fillId="11" borderId="18" xfId="9" applyNumberFormat="1" applyFont="1" applyFill="1" applyBorder="1" applyAlignment="1" applyProtection="1">
      <alignment horizontal="left" vertical="center"/>
    </xf>
    <xf numFmtId="0" fontId="10" fillId="6" borderId="0" xfId="9" applyNumberFormat="1" applyFont="1" applyFill="1" applyBorder="1" applyAlignment="1" applyProtection="1">
      <alignment horizontal="left" vertical="center"/>
    </xf>
    <xf numFmtId="0" fontId="21" fillId="6" borderId="0" xfId="0" applyFont="1" applyFill="1" applyBorder="1"/>
    <xf numFmtId="0" fontId="21" fillId="6" borderId="10" xfId="0" applyFont="1" applyFill="1" applyBorder="1"/>
    <xf numFmtId="0" fontId="21" fillId="6" borderId="14" xfId="0" applyFont="1" applyFill="1" applyBorder="1"/>
    <xf numFmtId="0" fontId="21" fillId="6" borderId="18" xfId="0" applyFont="1" applyFill="1" applyBorder="1"/>
    <xf numFmtId="0" fontId="11" fillId="8" borderId="22" xfId="11" applyFont="1" applyFill="1" applyBorder="1" applyAlignment="1">
      <alignment horizontal="center" vertical="center" wrapText="1"/>
    </xf>
    <xf numFmtId="0" fontId="10" fillId="11" borderId="22" xfId="11" applyNumberFormat="1" applyFont="1" applyFill="1" applyBorder="1" applyAlignment="1" applyProtection="1">
      <alignment horizontal="center" vertical="center"/>
    </xf>
    <xf numFmtId="0" fontId="16" fillId="11" borderId="22" xfId="11" applyNumberFormat="1" applyFont="1" applyFill="1" applyBorder="1" applyAlignment="1" applyProtection="1">
      <alignment horizontal="left" vertical="center"/>
    </xf>
    <xf numFmtId="0" fontId="16" fillId="11" borderId="10" xfId="11" applyNumberFormat="1" applyFont="1" applyFill="1" applyBorder="1" applyAlignment="1" applyProtection="1">
      <alignment horizontal="left" vertical="center"/>
    </xf>
    <xf numFmtId="0" fontId="16" fillId="11" borderId="14" xfId="11" applyNumberFormat="1" applyFont="1" applyFill="1" applyBorder="1" applyAlignment="1" applyProtection="1">
      <alignment horizontal="left" vertical="center"/>
    </xf>
    <xf numFmtId="0" fontId="10" fillId="10" borderId="31" xfId="0" applyFont="1" applyFill="1" applyBorder="1"/>
    <xf numFmtId="0" fontId="10" fillId="10" borderId="31" xfId="0" applyFont="1" applyFill="1" applyBorder="1" applyAlignment="1">
      <alignment horizontal="left"/>
    </xf>
    <xf numFmtId="0" fontId="10" fillId="10" borderId="0" xfId="0" applyFont="1" applyFill="1"/>
    <xf numFmtId="0" fontId="10" fillId="10" borderId="0" xfId="0" applyFont="1" applyFill="1" applyAlignment="1">
      <alignment horizontal="left"/>
    </xf>
    <xf numFmtId="0" fontId="10" fillId="6" borderId="8" xfId="9" applyFont="1" applyFill="1" applyBorder="1" applyAlignment="1">
      <alignment horizontal="center"/>
    </xf>
    <xf numFmtId="0" fontId="10" fillId="6" borderId="9" xfId="9" applyFont="1" applyFill="1" applyBorder="1"/>
    <xf numFmtId="175" fontId="10" fillId="0" borderId="22" xfId="9" applyNumberFormat="1" applyFont="1" applyFill="1" applyBorder="1" applyAlignment="1">
      <alignment horizontal="left"/>
    </xf>
    <xf numFmtId="0" fontId="10" fillId="11" borderId="10" xfId="11" applyNumberFormat="1" applyFont="1" applyFill="1" applyBorder="1" applyAlignment="1" applyProtection="1">
      <alignment horizontal="center" vertical="center"/>
    </xf>
    <xf numFmtId="0" fontId="10" fillId="6" borderId="25" xfId="11" applyFont="1" applyFill="1" applyBorder="1" applyAlignment="1">
      <alignment vertical="center" wrapText="1"/>
    </xf>
    <xf numFmtId="0" fontId="10" fillId="4" borderId="22" xfId="11" applyNumberFormat="1" applyFont="1" applyFill="1" applyBorder="1" applyAlignment="1">
      <alignment horizontal="left"/>
    </xf>
    <xf numFmtId="174" fontId="16" fillId="11" borderId="22" xfId="11" applyNumberFormat="1" applyFont="1" applyFill="1" applyBorder="1" applyAlignment="1" applyProtection="1">
      <alignment horizontal="left"/>
    </xf>
    <xf numFmtId="0" fontId="10" fillId="8" borderId="34" xfId="9" applyFont="1" applyFill="1" applyBorder="1" applyAlignment="1">
      <alignment horizontal="centerContinuous" vertical="center" wrapText="1"/>
    </xf>
    <xf numFmtId="0" fontId="10" fillId="4" borderId="22" xfId="9" applyFont="1" applyFill="1" applyBorder="1" applyAlignment="1">
      <alignment horizontal="center" vertical="center" wrapText="1"/>
    </xf>
    <xf numFmtId="0" fontId="10" fillId="6" borderId="25" xfId="11" applyFont="1" applyFill="1" applyBorder="1"/>
    <xf numFmtId="0" fontId="10" fillId="12" borderId="0" xfId="9" applyFont="1" applyFill="1"/>
    <xf numFmtId="0" fontId="10" fillId="12" borderId="0" xfId="9" applyFont="1" applyFill="1" applyAlignment="1">
      <alignment horizontal="center" vertical="center"/>
    </xf>
    <xf numFmtId="0" fontId="10" fillId="12" borderId="0" xfId="0" applyFont="1" applyFill="1"/>
    <xf numFmtId="0" fontId="10" fillId="4" borderId="12" xfId="9" applyFont="1" applyFill="1" applyBorder="1"/>
    <xf numFmtId="0" fontId="10" fillId="4" borderId="31" xfId="9" applyFont="1" applyFill="1" applyBorder="1"/>
    <xf numFmtId="0" fontId="10" fillId="4" borderId="31" xfId="9" applyFont="1" applyFill="1" applyBorder="1" applyAlignment="1">
      <alignment horizontal="center"/>
    </xf>
    <xf numFmtId="0" fontId="10" fillId="0" borderId="31" xfId="9" applyFont="1" applyBorder="1" applyAlignment="1">
      <alignment horizontal="center"/>
    </xf>
    <xf numFmtId="0" fontId="10" fillId="0" borderId="31" xfId="9" applyFont="1" applyBorder="1" applyAlignment="1">
      <alignment horizontal="center" vertical="center"/>
    </xf>
    <xf numFmtId="0" fontId="17" fillId="4" borderId="40" xfId="9" applyFont="1" applyFill="1" applyBorder="1" applyAlignment="1">
      <alignment horizontal="center" vertical="center"/>
    </xf>
    <xf numFmtId="0" fontId="10" fillId="0" borderId="31" xfId="9" applyFont="1" applyBorder="1"/>
    <xf numFmtId="0" fontId="10" fillId="4" borderId="13" xfId="9" applyFont="1" applyFill="1" applyBorder="1"/>
    <xf numFmtId="0" fontId="11" fillId="8" borderId="27" xfId="9" applyFont="1" applyFill="1" applyBorder="1" applyAlignment="1">
      <alignment horizontal="center" vertical="center" wrapText="1"/>
    </xf>
    <xf numFmtId="0" fontId="11" fillId="8" borderId="7" xfId="9" applyFont="1" applyFill="1" applyBorder="1" applyAlignment="1">
      <alignment horizontal="center" vertical="center" wrapText="1"/>
    </xf>
    <xf numFmtId="0" fontId="11" fillId="8" borderId="1" xfId="9" applyFont="1" applyFill="1" applyBorder="1" applyAlignment="1">
      <alignment horizontal="center" vertical="center" wrapText="1"/>
    </xf>
    <xf numFmtId="0" fontId="11" fillId="8" borderId="2" xfId="9" applyFont="1" applyFill="1" applyBorder="1" applyAlignment="1">
      <alignment horizontal="center" vertical="center" wrapText="1"/>
    </xf>
    <xf numFmtId="167" fontId="10" fillId="0" borderId="0" xfId="19" applyNumberFormat="1" applyFont="1"/>
    <xf numFmtId="0" fontId="10" fillId="0" borderId="0" xfId="9" applyFont="1" applyFill="1"/>
    <xf numFmtId="0" fontId="11" fillId="2" borderId="5" xfId="9" applyFont="1" applyFill="1" applyBorder="1" applyAlignment="1">
      <alignment horizontal="right"/>
    </xf>
    <xf numFmtId="3" fontId="10" fillId="3" borderId="6" xfId="9" applyNumberFormat="1" applyFont="1" applyFill="1" applyBorder="1" applyAlignment="1">
      <alignment horizontal="center"/>
    </xf>
    <xf numFmtId="0" fontId="18" fillId="0" borderId="0" xfId="9" applyFont="1"/>
    <xf numFmtId="0" fontId="10" fillId="4" borderId="8" xfId="9" applyFont="1" applyFill="1" applyBorder="1" applyAlignment="1"/>
    <xf numFmtId="164" fontId="10" fillId="4" borderId="0" xfId="9" applyNumberFormat="1" applyFont="1" applyFill="1" applyBorder="1" applyAlignment="1"/>
    <xf numFmtId="166" fontId="10" fillId="4" borderId="0" xfId="9" applyNumberFormat="1" applyFont="1" applyFill="1" applyBorder="1" applyAlignment="1"/>
    <xf numFmtId="166" fontId="10" fillId="4" borderId="9" xfId="9" applyNumberFormat="1" applyFont="1" applyFill="1" applyBorder="1" applyAlignment="1"/>
    <xf numFmtId="179" fontId="20" fillId="0" borderId="0" xfId="0" applyNumberFormat="1" applyFont="1" applyFill="1"/>
    <xf numFmtId="11" fontId="10" fillId="0" borderId="0" xfId="9" applyNumberFormat="1" applyFont="1" applyFill="1"/>
    <xf numFmtId="14" fontId="20" fillId="0" borderId="0" xfId="0" applyNumberFormat="1" applyFont="1" applyFill="1"/>
    <xf numFmtId="0" fontId="11" fillId="2" borderId="3" xfId="9" applyFont="1" applyFill="1" applyBorder="1" applyAlignment="1">
      <alignment horizontal="right"/>
    </xf>
    <xf numFmtId="3" fontId="10" fillId="3" borderId="4" xfId="9" applyNumberFormat="1" applyFont="1" applyFill="1" applyBorder="1" applyAlignment="1">
      <alignment horizontal="center"/>
    </xf>
    <xf numFmtId="0" fontId="11" fillId="2" borderId="41" xfId="9" applyFont="1" applyFill="1" applyBorder="1" applyAlignment="1">
      <alignment horizontal="right"/>
    </xf>
    <xf numFmtId="0" fontId="10" fillId="3" borderId="42" xfId="9" applyFont="1" applyFill="1" applyBorder="1" applyAlignment="1">
      <alignment horizontal="center"/>
    </xf>
    <xf numFmtId="164" fontId="10" fillId="0" borderId="0" xfId="9" applyNumberFormat="1" applyFont="1"/>
    <xf numFmtId="11" fontId="10" fillId="0" borderId="0" xfId="9" applyNumberFormat="1" applyFont="1"/>
    <xf numFmtId="0" fontId="10" fillId="4" borderId="16" xfId="9" applyFont="1" applyFill="1" applyBorder="1" applyAlignment="1"/>
    <xf numFmtId="164" fontId="10" fillId="4" borderId="21" xfId="9" applyNumberFormat="1" applyFont="1" applyFill="1" applyBorder="1" applyAlignment="1"/>
    <xf numFmtId="166" fontId="10" fillId="4" borderId="21" xfId="9" applyNumberFormat="1" applyFont="1" applyFill="1" applyBorder="1" applyAlignment="1"/>
    <xf numFmtId="166" fontId="10" fillId="4" borderId="17" xfId="9" applyNumberFormat="1" applyFont="1" applyFill="1" applyBorder="1" applyAlignment="1"/>
    <xf numFmtId="0" fontId="10" fillId="0" borderId="0" xfId="9" applyFont="1" applyAlignment="1">
      <alignment horizontal="left"/>
    </xf>
    <xf numFmtId="0" fontId="11" fillId="8" borderId="43" xfId="9" applyFont="1" applyFill="1" applyBorder="1" applyAlignment="1">
      <alignment horizontal="center" vertical="center" wrapText="1"/>
    </xf>
    <xf numFmtId="0" fontId="11" fillId="8" borderId="40" xfId="9" applyFont="1" applyFill="1" applyBorder="1" applyAlignment="1">
      <alignment horizontal="center" vertical="center" wrapText="1"/>
    </xf>
    <xf numFmtId="0" fontId="10" fillId="6" borderId="13" xfId="9" applyFont="1" applyFill="1" applyBorder="1"/>
    <xf numFmtId="0" fontId="10" fillId="10" borderId="0" xfId="9" applyFont="1" applyFill="1"/>
    <xf numFmtId="0" fontId="10" fillId="4" borderId="0" xfId="9" applyFont="1" applyFill="1" applyBorder="1" applyAlignment="1">
      <alignment horizontal="left"/>
    </xf>
    <xf numFmtId="164" fontId="10" fillId="4" borderId="0" xfId="19" applyNumberFormat="1" applyFont="1" applyFill="1" applyBorder="1" applyAlignment="1">
      <alignment horizontal="right"/>
    </xf>
    <xf numFmtId="166" fontId="10" fillId="4" borderId="0" xfId="9" applyNumberFormat="1" applyFont="1" applyFill="1" applyBorder="1" applyAlignment="1">
      <alignment horizontal="right"/>
    </xf>
    <xf numFmtId="166" fontId="10" fillId="4" borderId="15" xfId="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left"/>
    </xf>
    <xf numFmtId="164" fontId="10" fillId="4" borderId="23" xfId="1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center"/>
    </xf>
    <xf numFmtId="166" fontId="10" fillId="4" borderId="23" xfId="9" applyNumberFormat="1" applyFont="1" applyFill="1" applyBorder="1" applyAlignment="1">
      <alignment horizontal="right"/>
    </xf>
    <xf numFmtId="166" fontId="10" fillId="4" borderId="11" xfId="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left"/>
    </xf>
    <xf numFmtId="164" fontId="10" fillId="4" borderId="35" xfId="1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center"/>
    </xf>
    <xf numFmtId="166" fontId="10" fillId="4" borderId="35" xfId="9" applyNumberFormat="1" applyFont="1" applyFill="1" applyBorder="1" applyAlignment="1">
      <alignment horizontal="right"/>
    </xf>
    <xf numFmtId="166" fontId="10" fillId="4" borderId="19" xfId="9" applyNumberFormat="1" applyFont="1" applyFill="1" applyBorder="1" applyAlignment="1">
      <alignment horizontal="right"/>
    </xf>
    <xf numFmtId="0" fontId="10" fillId="6" borderId="16" xfId="9" applyFont="1" applyFill="1" applyBorder="1"/>
    <xf numFmtId="0" fontId="10" fillId="6" borderId="21" xfId="9" applyFont="1" applyFill="1" applyBorder="1" applyAlignment="1">
      <alignment horizontal="left"/>
    </xf>
    <xf numFmtId="0" fontId="10" fillId="6" borderId="17" xfId="9" applyFont="1" applyFill="1" applyBorder="1"/>
    <xf numFmtId="0" fontId="10" fillId="10" borderId="0" xfId="9" applyFont="1" applyFill="1" applyBorder="1"/>
    <xf numFmtId="0" fontId="10" fillId="10" borderId="0" xfId="9" applyFont="1" applyFill="1" applyAlignment="1">
      <alignment horizontal="left"/>
    </xf>
    <xf numFmtId="0" fontId="10" fillId="4" borderId="34" xfId="9" applyFont="1" applyFill="1" applyBorder="1" applyAlignment="1">
      <alignment horizontal="left"/>
    </xf>
    <xf numFmtId="0" fontId="10" fillId="4" borderId="20" xfId="9" applyFont="1" applyFill="1" applyBorder="1" applyAlignment="1">
      <alignment horizontal="left"/>
    </xf>
    <xf numFmtId="0" fontId="10" fillId="6" borderId="20" xfId="9" applyFont="1" applyFill="1" applyBorder="1"/>
    <xf numFmtId="0" fontId="10" fillId="6" borderId="33" xfId="9" applyFont="1" applyFill="1" applyBorder="1"/>
    <xf numFmtId="0" fontId="4" fillId="13" borderId="0" xfId="1" applyFont="1" applyFill="1"/>
    <xf numFmtId="0" fontId="4" fillId="4" borderId="8" xfId="1" applyFont="1" applyFill="1" applyBorder="1"/>
    <xf numFmtId="0" fontId="4" fillId="4" borderId="0" xfId="1" applyFont="1" applyFill="1" applyBorder="1"/>
    <xf numFmtId="0" fontId="4" fillId="4" borderId="9" xfId="1" applyFont="1" applyFill="1" applyBorder="1"/>
    <xf numFmtId="0" fontId="22" fillId="4" borderId="8" xfId="11" applyFont="1" applyFill="1" applyBorder="1"/>
    <xf numFmtId="0" fontId="22" fillId="4" borderId="0" xfId="11" applyFont="1" applyFill="1" applyBorder="1"/>
    <xf numFmtId="0" fontId="22" fillId="4" borderId="9" xfId="11" applyFont="1" applyFill="1" applyBorder="1"/>
    <xf numFmtId="0" fontId="4" fillId="2" borderId="10" xfId="1" applyFont="1" applyFill="1" applyBorder="1"/>
    <xf numFmtId="0" fontId="4" fillId="4" borderId="11" xfId="1" applyFont="1" applyFill="1" applyBorder="1" applyAlignment="1">
      <alignment horizontal="center"/>
    </xf>
    <xf numFmtId="0" fontId="22" fillId="2" borderId="22" xfId="11" applyNumberFormat="1" applyFont="1" applyFill="1" applyBorder="1"/>
    <xf numFmtId="169" fontId="22" fillId="11" borderId="26" xfId="11" applyNumberFormat="1" applyFont="1" applyFill="1" applyBorder="1" applyAlignment="1" applyProtection="1">
      <alignment horizontal="center"/>
    </xf>
    <xf numFmtId="15" fontId="22" fillId="4" borderId="9" xfId="11" applyNumberFormat="1" applyFont="1" applyFill="1" applyBorder="1"/>
    <xf numFmtId="0" fontId="4" fillId="2" borderId="14" xfId="1" applyFont="1" applyFill="1" applyBorder="1"/>
    <xf numFmtId="0" fontId="4" fillId="4" borderId="15" xfId="9" applyFont="1" applyFill="1" applyBorder="1" applyAlignment="1">
      <alignment horizontal="center"/>
    </xf>
    <xf numFmtId="169" fontId="22" fillId="11" borderId="26" xfId="11" quotePrefix="1" applyNumberFormat="1" applyFont="1" applyFill="1" applyBorder="1" applyAlignment="1" applyProtection="1">
      <alignment horizontal="left"/>
    </xf>
    <xf numFmtId="169" fontId="22" fillId="11" borderId="26" xfId="11" quotePrefix="1" applyNumberFormat="1" applyFont="1" applyFill="1" applyBorder="1" applyAlignment="1" applyProtection="1">
      <alignment horizontal="center"/>
    </xf>
    <xf numFmtId="0" fontId="22" fillId="4" borderId="16" xfId="11" applyFont="1" applyFill="1" applyBorder="1"/>
    <xf numFmtId="0" fontId="22" fillId="4" borderId="21" xfId="11" applyFont="1" applyFill="1" applyBorder="1"/>
    <xf numFmtId="0" fontId="22" fillId="4" borderId="17" xfId="11" applyFont="1" applyFill="1" applyBorder="1"/>
    <xf numFmtId="0" fontId="4" fillId="4" borderId="15" xfId="9" quotePrefix="1" applyFont="1" applyFill="1" applyBorder="1" applyAlignment="1">
      <alignment horizontal="center"/>
    </xf>
    <xf numFmtId="0" fontId="4" fillId="13" borderId="0" xfId="21" applyFill="1"/>
    <xf numFmtId="0" fontId="4" fillId="2" borderId="14" xfId="9" applyFont="1" applyFill="1" applyBorder="1"/>
    <xf numFmtId="0" fontId="23" fillId="4" borderId="8" xfId="11" applyFont="1" applyFill="1" applyBorder="1"/>
    <xf numFmtId="0" fontId="23" fillId="4" borderId="0" xfId="11" applyFont="1" applyFill="1" applyBorder="1"/>
    <xf numFmtId="0" fontId="23" fillId="4" borderId="9" xfId="11" applyFont="1" applyFill="1" applyBorder="1"/>
    <xf numFmtId="169" fontId="4" fillId="4" borderId="15" xfId="9" applyNumberFormat="1" applyFont="1" applyFill="1" applyBorder="1" applyAlignment="1">
      <alignment horizontal="center"/>
    </xf>
    <xf numFmtId="0" fontId="24" fillId="2" borderId="22" xfId="11" applyFont="1" applyFill="1" applyBorder="1"/>
    <xf numFmtId="0" fontId="4" fillId="2" borderId="18" xfId="9" applyFont="1" applyFill="1" applyBorder="1"/>
    <xf numFmtId="0" fontId="4" fillId="4" borderId="19" xfId="9" applyFont="1" applyFill="1" applyBorder="1" applyAlignment="1">
      <alignment horizontal="center"/>
    </xf>
    <xf numFmtId="168" fontId="4" fillId="4" borderId="0" xfId="1" applyNumberFormat="1" applyFont="1" applyFill="1" applyBorder="1" applyAlignment="1">
      <alignment horizontal="center"/>
    </xf>
    <xf numFmtId="0" fontId="5" fillId="2" borderId="10" xfId="9" applyFont="1" applyFill="1" applyBorder="1" applyAlignment="1">
      <alignment horizontal="right"/>
    </xf>
    <xf numFmtId="165" fontId="4" fillId="11" borderId="11" xfId="9" quotePrefix="1" applyNumberFormat="1" applyFont="1" applyFill="1" applyBorder="1" applyAlignment="1">
      <alignment horizontal="center"/>
    </xf>
    <xf numFmtId="0" fontId="5" fillId="2" borderId="18" xfId="9" applyFont="1" applyFill="1" applyBorder="1" applyAlignment="1">
      <alignment horizontal="right"/>
    </xf>
    <xf numFmtId="1" fontId="7" fillId="11" borderId="19" xfId="9" applyNumberFormat="1" applyFont="1" applyFill="1" applyBorder="1" applyAlignment="1">
      <alignment horizontal="left"/>
    </xf>
    <xf numFmtId="165" fontId="4" fillId="3" borderId="11" xfId="9" applyNumberFormat="1" applyFont="1" applyFill="1" applyBorder="1" applyAlignment="1">
      <alignment horizontal="center"/>
    </xf>
    <xf numFmtId="0" fontId="2" fillId="4" borderId="16" xfId="11" applyFill="1" applyBorder="1"/>
    <xf numFmtId="0" fontId="2" fillId="4" borderId="21" xfId="11" applyFill="1" applyBorder="1"/>
    <xf numFmtId="0" fontId="2" fillId="4" borderId="17" xfId="11" applyFill="1" applyBorder="1"/>
    <xf numFmtId="0" fontId="5" fillId="2" borderId="14" xfId="9" applyFont="1" applyFill="1" applyBorder="1" applyAlignment="1">
      <alignment horizontal="right"/>
    </xf>
    <xf numFmtId="3" fontId="4" fillId="3" borderId="15" xfId="9" applyNumberFormat="1" applyFont="1" applyFill="1" applyBorder="1" applyAlignment="1">
      <alignment horizontal="center"/>
    </xf>
    <xf numFmtId="0" fontId="4" fillId="4" borderId="15" xfId="1" applyFont="1" applyFill="1" applyBorder="1" applyAlignment="1">
      <alignment horizontal="center"/>
    </xf>
    <xf numFmtId="11" fontId="4" fillId="3" borderId="15" xfId="9" applyNumberFormat="1" applyFont="1" applyFill="1" applyBorder="1" applyAlignment="1">
      <alignment horizontal="center"/>
    </xf>
    <xf numFmtId="0" fontId="4" fillId="3" borderId="15" xfId="9" applyFont="1" applyFill="1" applyBorder="1" applyAlignment="1">
      <alignment horizontal="center"/>
    </xf>
    <xf numFmtId="0" fontId="4" fillId="3" borderId="19" xfId="9" applyFont="1" applyFill="1" applyBorder="1" applyAlignment="1">
      <alignment horizontal="center"/>
    </xf>
    <xf numFmtId="170" fontId="4" fillId="4" borderId="10" xfId="9" applyNumberFormat="1" applyFont="1" applyFill="1" applyBorder="1" applyAlignment="1">
      <alignment horizontal="right"/>
    </xf>
    <xf numFmtId="167" fontId="4" fillId="4" borderId="11" xfId="9" applyNumberFormat="1" applyFont="1" applyFill="1" applyBorder="1" applyAlignment="1">
      <alignment horizontal="center"/>
    </xf>
    <xf numFmtId="170" fontId="4" fillId="4" borderId="14" xfId="9" applyNumberFormat="1" applyFont="1" applyFill="1" applyBorder="1" applyAlignment="1">
      <alignment horizontal="right"/>
    </xf>
    <xf numFmtId="166" fontId="4" fillId="4" borderId="14" xfId="9" applyNumberFormat="1" applyFont="1" applyFill="1" applyBorder="1" applyAlignment="1">
      <alignment horizontal="right"/>
    </xf>
    <xf numFmtId="0" fontId="4" fillId="4" borderId="15" xfId="9" applyFont="1" applyFill="1" applyBorder="1" applyAlignment="1">
      <alignment horizontal="left"/>
    </xf>
    <xf numFmtId="15" fontId="4" fillId="4" borderId="14" xfId="1" applyNumberFormat="1" applyFont="1" applyFill="1" applyBorder="1" applyAlignment="1">
      <alignment horizontal="right" vertical="center"/>
    </xf>
    <xf numFmtId="0" fontId="4" fillId="4" borderId="15" xfId="1" applyFont="1" applyFill="1" applyBorder="1" applyAlignment="1">
      <alignment horizontal="center" vertical="center"/>
    </xf>
    <xf numFmtId="15" fontId="4" fillId="4" borderId="18" xfId="1" applyNumberFormat="1" applyFont="1" applyFill="1" applyBorder="1" applyAlignment="1">
      <alignment horizontal="right" vertical="center"/>
    </xf>
    <xf numFmtId="0" fontId="4" fillId="4" borderId="16" xfId="1" applyFont="1" applyFill="1" applyBorder="1"/>
    <xf numFmtId="0" fontId="4" fillId="4" borderId="21" xfId="1" applyFont="1" applyFill="1" applyBorder="1" applyAlignment="1">
      <alignment horizontal="center" vertical="center"/>
    </xf>
    <xf numFmtId="0" fontId="4" fillId="4" borderId="21" xfId="1" applyFont="1" applyFill="1" applyBorder="1"/>
    <xf numFmtId="0" fontId="4" fillId="4" borderId="17" xfId="1" applyFont="1" applyFill="1" applyBorder="1"/>
    <xf numFmtId="15" fontId="4" fillId="4" borderId="25" xfId="1" applyNumberFormat="1" applyFont="1" applyFill="1" applyBorder="1" applyAlignment="1">
      <alignment horizontal="right" vertical="center"/>
    </xf>
    <xf numFmtId="0" fontId="4" fillId="4" borderId="25" xfId="1" applyFont="1" applyFill="1" applyBorder="1" applyAlignment="1">
      <alignment horizontal="center" vertical="center"/>
    </xf>
    <xf numFmtId="0" fontId="10" fillId="6" borderId="10" xfId="0" applyFont="1" applyFill="1" applyBorder="1"/>
    <xf numFmtId="0" fontId="10" fillId="6" borderId="14" xfId="0" applyFont="1" applyFill="1" applyBorder="1"/>
    <xf numFmtId="0" fontId="10" fillId="6" borderId="18" xfId="0" applyFont="1" applyFill="1" applyBorder="1"/>
    <xf numFmtId="15" fontId="25" fillId="4" borderId="21" xfId="1" applyNumberFormat="1" applyFont="1" applyFill="1" applyBorder="1" applyAlignment="1">
      <alignment horizontal="left" vertical="center"/>
    </xf>
    <xf numFmtId="0" fontId="11" fillId="8" borderId="44" xfId="9" applyFont="1" applyFill="1" applyBorder="1" applyAlignment="1">
      <alignment horizontal="center" vertical="center" wrapText="1"/>
    </xf>
    <xf numFmtId="0" fontId="10" fillId="6" borderId="22" xfId="11" applyFont="1" applyFill="1" applyBorder="1"/>
    <xf numFmtId="0" fontId="10" fillId="6" borderId="22" xfId="11" applyFont="1" applyFill="1" applyBorder="1" applyAlignment="1">
      <alignment vertical="center" wrapText="1"/>
    </xf>
    <xf numFmtId="0" fontId="20" fillId="6" borderId="22" xfId="0" applyFont="1" applyFill="1" applyBorder="1"/>
    <xf numFmtId="0" fontId="4" fillId="4" borderId="19" xfId="1" applyFont="1" applyFill="1" applyBorder="1" applyAlignment="1">
      <alignment horizontal="center" vertical="center"/>
    </xf>
    <xf numFmtId="0" fontId="10" fillId="4" borderId="33" xfId="9" applyFont="1" applyFill="1" applyBorder="1" applyAlignment="1">
      <alignment horizontal="left"/>
    </xf>
    <xf numFmtId="0" fontId="9" fillId="8" borderId="27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8" borderId="28" xfId="9" applyFont="1" applyFill="1" applyBorder="1" applyAlignment="1"/>
    <xf numFmtId="0" fontId="9" fillId="8" borderId="28" xfId="1" applyFont="1" applyFill="1" applyBorder="1" applyAlignment="1">
      <alignment horizontal="center"/>
    </xf>
    <xf numFmtId="0" fontId="11" fillId="8" borderId="27" xfId="9" applyFont="1" applyFill="1" applyBorder="1" applyAlignment="1">
      <alignment horizontal="center" vertical="center" wrapText="1"/>
    </xf>
    <xf numFmtId="0" fontId="11" fillId="8" borderId="28" xfId="9" applyFont="1" applyFill="1" applyBorder="1" applyAlignment="1">
      <alignment horizontal="center" vertical="center" wrapText="1"/>
    </xf>
    <xf numFmtId="0" fontId="10" fillId="7" borderId="30" xfId="9" applyNumberFormat="1" applyFont="1" applyFill="1" applyBorder="1" applyAlignment="1" applyProtection="1">
      <alignment horizontal="center" vertical="center"/>
    </xf>
    <xf numFmtId="0" fontId="10" fillId="7" borderId="29" xfId="9" applyNumberFormat="1" applyFont="1" applyFill="1" applyBorder="1" applyAlignment="1" applyProtection="1">
      <alignment horizontal="center" vertical="center"/>
    </xf>
    <xf numFmtId="0" fontId="10" fillId="7" borderId="36" xfId="9" applyNumberFormat="1" applyFont="1" applyFill="1" applyBorder="1" applyAlignment="1" applyProtection="1">
      <alignment horizontal="center" vertical="center"/>
    </xf>
    <xf numFmtId="0" fontId="10" fillId="7" borderId="38" xfId="9" applyNumberFormat="1" applyFont="1" applyFill="1" applyBorder="1" applyAlignment="1" applyProtection="1">
      <alignment horizontal="center" vertical="center"/>
    </xf>
  </cellXfs>
  <cellStyles count="22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 3 2" xfId="17"/>
    <cellStyle name="Normal 4" xfId="14"/>
    <cellStyle name="Normal_SwaptionATMVols" xfId="1"/>
    <cellStyle name="Normal_SwaptionATMVols 2" xfId="21"/>
    <cellStyle name="Normale_AZIONI" xfId="5"/>
    <cellStyle name="Percent" xfId="2" builtinId="5"/>
    <cellStyle name="Percent 2" xfId="12"/>
    <cellStyle name="Percent 2 2" xfId="13"/>
    <cellStyle name="Percent 2 2 2" xfId="19"/>
    <cellStyle name="Percent 2 2 3" xfId="18"/>
    <cellStyle name="Percent 2 3" xfId="15"/>
    <cellStyle name="Percent 3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1M"/>
      <sheetName val="3M"/>
      <sheetName val="6M"/>
      <sheetName val="1Y"/>
      <sheetName val="ON"/>
      <sheetName val="STD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3" t="str">
            <v>USD1DOIS</v>
          </cell>
          <cell r="C3">
            <v>42193</v>
          </cell>
          <cell r="E3">
            <v>1.2999999999999999E-3</v>
          </cell>
        </row>
        <row r="4">
          <cell r="B4" t="str">
            <v>USD2DOIS</v>
          </cell>
          <cell r="C4">
            <v>42194</v>
          </cell>
          <cell r="E4">
            <v>1.2999999999999999E-3</v>
          </cell>
        </row>
        <row r="5">
          <cell r="B5" t="str">
            <v>USD1WOIS</v>
          </cell>
          <cell r="C5">
            <v>42201</v>
          </cell>
          <cell r="E5">
            <v>1.3125000000000001E-3</v>
          </cell>
        </row>
        <row r="6">
          <cell r="B6" t="str">
            <v>USD2WOIS</v>
          </cell>
          <cell r="C6">
            <v>42208</v>
          </cell>
          <cell r="E6">
            <v>1.2539999999999999E-3</v>
          </cell>
        </row>
        <row r="7">
          <cell r="B7" t="str">
            <v>USD3WOIS</v>
          </cell>
          <cell r="C7">
            <v>42215</v>
          </cell>
          <cell r="E7">
            <v>1.315E-3</v>
          </cell>
        </row>
        <row r="8">
          <cell r="B8" t="str">
            <v>USD1MOIS</v>
          </cell>
          <cell r="C8">
            <v>42226</v>
          </cell>
          <cell r="E8">
            <v>1.305E-3</v>
          </cell>
        </row>
        <row r="9">
          <cell r="B9" t="str">
            <v>USD2MOIS</v>
          </cell>
          <cell r="C9">
            <v>42256</v>
          </cell>
          <cell r="E9">
            <v>1.3282857E-3</v>
          </cell>
        </row>
        <row r="10">
          <cell r="B10" t="str">
            <v>USD3MOIS</v>
          </cell>
          <cell r="C10">
            <v>42286</v>
          </cell>
          <cell r="E10">
            <v>1.4647E-3</v>
          </cell>
        </row>
        <row r="11">
          <cell r="B11" t="str">
            <v>USD4MOIS</v>
          </cell>
          <cell r="C11">
            <v>42317</v>
          </cell>
          <cell r="E11">
            <v>1.523E-3</v>
          </cell>
        </row>
        <row r="12">
          <cell r="B12" t="str">
            <v>USD5MOIS</v>
          </cell>
          <cell r="C12">
            <v>42347</v>
          </cell>
          <cell r="E12">
            <v>1.6214999999999999E-3</v>
          </cell>
        </row>
        <row r="13">
          <cell r="B13" t="str">
            <v>USD6MOIS</v>
          </cell>
          <cell r="C13">
            <v>42380</v>
          </cell>
          <cell r="E13">
            <v>1.8831E-3</v>
          </cell>
        </row>
        <row r="14">
          <cell r="B14" t="str">
            <v>USD7MOIS</v>
          </cell>
          <cell r="C14">
            <v>42409</v>
          </cell>
          <cell r="E14">
            <v>2.0175000000000002E-3</v>
          </cell>
        </row>
        <row r="15">
          <cell r="B15" t="str">
            <v>USD8MOIS</v>
          </cell>
          <cell r="C15">
            <v>42438</v>
          </cell>
          <cell r="E15">
            <v>2.1887500000000002E-3</v>
          </cell>
        </row>
        <row r="16">
          <cell r="B16" t="str">
            <v>USD9MOIS</v>
          </cell>
          <cell r="C16">
            <v>42471</v>
          </cell>
          <cell r="E16">
            <v>2.4358333000000002E-3</v>
          </cell>
        </row>
        <row r="17">
          <cell r="B17" t="str">
            <v>USD10MOIS</v>
          </cell>
          <cell r="C17">
            <v>42499</v>
          </cell>
          <cell r="E17">
            <v>2.5999999999999999E-3</v>
          </cell>
        </row>
        <row r="18">
          <cell r="B18" t="str">
            <v>USD11MOIS</v>
          </cell>
          <cell r="C18">
            <v>42530</v>
          </cell>
          <cell r="E18">
            <v>2.8167999999999999E-3</v>
          </cell>
        </row>
        <row r="19">
          <cell r="B19" t="str">
            <v>USD1YOIS</v>
          </cell>
          <cell r="C19">
            <v>42562</v>
          </cell>
          <cell r="E19">
            <v>3.0401667000000002E-3</v>
          </cell>
        </row>
        <row r="20">
          <cell r="B20" t="str">
            <v>USD18MOIS</v>
          </cell>
          <cell r="C20">
            <v>42744</v>
          </cell>
          <cell r="E20">
            <v>4.5676249999999996E-3</v>
          </cell>
        </row>
        <row r="21">
          <cell r="B21" t="str">
            <v>USD2YOIS</v>
          </cell>
          <cell r="C21">
            <v>42926</v>
          </cell>
          <cell r="E21">
            <v>6.2043749999999998E-3</v>
          </cell>
        </row>
        <row r="22">
          <cell r="B22" t="str">
            <v>USD3FF3L3Y</v>
          </cell>
          <cell r="C22">
            <v>43290</v>
          </cell>
          <cell r="E22">
            <v>9.3283749999999999E-3</v>
          </cell>
        </row>
        <row r="23">
          <cell r="B23" t="str">
            <v>USD3FF3L4Y</v>
          </cell>
          <cell r="C23">
            <v>43655</v>
          </cell>
          <cell r="E23">
            <v>1.2035000000000001E-2</v>
          </cell>
        </row>
        <row r="24">
          <cell r="B24" t="str">
            <v>USD3FF3L5Y</v>
          </cell>
          <cell r="C24">
            <v>44021</v>
          </cell>
          <cell r="E24">
            <v>1.43225E-2</v>
          </cell>
        </row>
        <row r="25">
          <cell r="B25" t="str">
            <v>USD3FF3L6Y</v>
          </cell>
          <cell r="C25">
            <v>44386</v>
          </cell>
          <cell r="E25">
            <v>1.6249699999999999E-2</v>
          </cell>
        </row>
        <row r="26">
          <cell r="B26" t="str">
            <v>USD3FF3L7Y</v>
          </cell>
          <cell r="C26">
            <v>44753</v>
          </cell>
          <cell r="E26">
            <v>1.7824E-2</v>
          </cell>
        </row>
        <row r="27">
          <cell r="B27" t="str">
            <v>USD3FF3L8Y</v>
          </cell>
          <cell r="C27">
            <v>45117</v>
          </cell>
          <cell r="E27">
            <v>1.9099674300000001E-2</v>
          </cell>
        </row>
        <row r="28">
          <cell r="B28" t="str">
            <v>USD3FF3L9Y</v>
          </cell>
          <cell r="C28">
            <v>45482</v>
          </cell>
          <cell r="E28">
            <v>2.0153425700000002E-2</v>
          </cell>
        </row>
        <row r="29">
          <cell r="B29" t="str">
            <v>USD3FF3L10Y</v>
          </cell>
          <cell r="C29">
            <v>45847</v>
          </cell>
          <cell r="E29">
            <v>2.1037E-2</v>
          </cell>
        </row>
        <row r="30">
          <cell r="B30" t="str">
            <v>USD3FF3L12Y</v>
          </cell>
          <cell r="C30">
            <v>46577</v>
          </cell>
          <cell r="E30">
            <v>2.2411250000000001E-2</v>
          </cell>
        </row>
        <row r="31">
          <cell r="B31" t="str">
            <v>USD3FF3L15Y</v>
          </cell>
          <cell r="C31">
            <v>47673</v>
          </cell>
          <cell r="E31">
            <v>2.3694125E-2</v>
          </cell>
        </row>
        <row r="32">
          <cell r="B32" t="str">
            <v>USD3FF3L20Y</v>
          </cell>
          <cell r="C32">
            <v>49499</v>
          </cell>
          <cell r="E32">
            <v>2.48963E-2</v>
          </cell>
        </row>
        <row r="33">
          <cell r="B33" t="str">
            <v>USD3FF3L25Y</v>
          </cell>
          <cell r="C33">
            <v>51326</v>
          </cell>
          <cell r="E33">
            <v>2.5461125000000001E-2</v>
          </cell>
        </row>
        <row r="34">
          <cell r="B34" t="str">
            <v>USD3FF3L30Y</v>
          </cell>
          <cell r="C34">
            <v>53153</v>
          </cell>
          <cell r="E34">
            <v>2.57878E-2</v>
          </cell>
        </row>
        <row r="35">
          <cell r="B35" t="str">
            <v>USD3FF3L40Y</v>
          </cell>
          <cell r="C35">
            <v>56804</v>
          </cell>
          <cell r="E35">
            <v>2.5954999999999999E-2</v>
          </cell>
        </row>
        <row r="36">
          <cell r="B36" t="str">
            <v>USD3FF3L50Y</v>
          </cell>
          <cell r="C36">
            <v>60457</v>
          </cell>
          <cell r="E36">
            <v>2.579E-2</v>
          </cell>
        </row>
        <row r="37">
          <cell r="B37" t="str">
            <v>USD3FF3L60Y</v>
          </cell>
          <cell r="C37">
            <v>64109</v>
          </cell>
          <cell r="E37">
            <v>2.6120000000000001E-2</v>
          </cell>
        </row>
      </sheetData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1"/>
  <sheetViews>
    <sheetView tabSelected="1" topLeftCell="B1" workbookViewId="0">
      <selection activeCell="D11" sqref="D11"/>
    </sheetView>
  </sheetViews>
  <sheetFormatPr defaultColWidth="8" defaultRowHeight="11.25" x14ac:dyDescent="0.2"/>
  <cols>
    <col min="1" max="2" width="2.7109375" style="173" customWidth="1"/>
    <col min="3" max="3" width="18" style="173" bestFit="1" customWidth="1"/>
    <col min="4" max="4" width="37.28515625" style="173" bestFit="1" customWidth="1"/>
    <col min="5" max="5" width="36.7109375" style="173" customWidth="1"/>
    <col min="6" max="8" width="2.7109375" style="173" customWidth="1"/>
    <col min="9" max="9" width="18.5703125" style="173" bestFit="1" customWidth="1"/>
    <col min="10" max="10" width="26.85546875" style="173" customWidth="1"/>
    <col min="11" max="11" width="2.7109375" style="173" customWidth="1"/>
    <col min="12" max="16384" width="8" style="173"/>
  </cols>
  <sheetData>
    <row r="1" spans="2:11" ht="12" thickBot="1" x14ac:dyDescent="0.25">
      <c r="B1" s="173" t="str">
        <f>_xll.qlxlVersion(TRUE,Trigger)</f>
        <v>QuantLibXL 1.7.0 - MS VC++ (version unknown) - Multithreaded Dynamic Runtime library - Release Configuration - Aug 31 2015 19:54:36</v>
      </c>
    </row>
    <row r="2" spans="2:11" ht="18.75" thickBot="1" x14ac:dyDescent="0.3">
      <c r="B2" s="241" t="s">
        <v>6</v>
      </c>
      <c r="C2" s="242"/>
      <c r="D2" s="242"/>
      <c r="E2" s="242"/>
      <c r="F2" s="243"/>
      <c r="H2" s="241" t="s">
        <v>73</v>
      </c>
      <c r="I2" s="242"/>
      <c r="J2" s="242"/>
      <c r="K2" s="244"/>
    </row>
    <row r="3" spans="2:11" x14ac:dyDescent="0.2">
      <c r="B3" s="174"/>
      <c r="C3" s="1"/>
      <c r="D3" s="175"/>
      <c r="E3" s="175"/>
      <c r="F3" s="176"/>
      <c r="H3" s="177"/>
      <c r="I3" s="178"/>
      <c r="J3" s="178"/>
      <c r="K3" s="179"/>
    </row>
    <row r="4" spans="2:11" x14ac:dyDescent="0.2">
      <c r="B4" s="174"/>
      <c r="C4" s="180" t="s">
        <v>4</v>
      </c>
      <c r="D4" s="181" t="s">
        <v>123</v>
      </c>
      <c r="E4" s="175"/>
      <c r="F4" s="176"/>
      <c r="H4" s="177"/>
      <c r="I4" s="182" t="s">
        <v>72</v>
      </c>
      <c r="J4" s="183" t="b">
        <v>0</v>
      </c>
      <c r="K4" s="184"/>
    </row>
    <row r="5" spans="2:11" x14ac:dyDescent="0.2">
      <c r="B5" s="174"/>
      <c r="C5" s="185" t="s">
        <v>44</v>
      </c>
      <c r="D5" s="186"/>
      <c r="E5" s="175"/>
      <c r="F5" s="176"/>
      <c r="H5" s="177"/>
      <c r="I5" s="182" t="s">
        <v>71</v>
      </c>
      <c r="J5" s="187"/>
      <c r="K5" s="184"/>
    </row>
    <row r="6" spans="2:11" x14ac:dyDescent="0.2">
      <c r="B6" s="174"/>
      <c r="C6" s="185" t="s">
        <v>43</v>
      </c>
      <c r="D6" s="186" t="s">
        <v>49</v>
      </c>
      <c r="E6" s="175"/>
      <c r="F6" s="176"/>
      <c r="H6" s="177"/>
      <c r="I6" s="182" t="s">
        <v>70</v>
      </c>
      <c r="J6" s="188" t="b">
        <v>1</v>
      </c>
      <c r="K6" s="184"/>
    </row>
    <row r="7" spans="2:11" ht="12" thickBot="1" x14ac:dyDescent="0.25">
      <c r="B7" s="174"/>
      <c r="C7" s="185" t="s">
        <v>45</v>
      </c>
      <c r="D7" s="186" t="s">
        <v>63</v>
      </c>
      <c r="E7" s="175"/>
      <c r="F7" s="176"/>
      <c r="H7" s="189"/>
      <c r="I7" s="190"/>
      <c r="J7" s="190"/>
      <c r="K7" s="191"/>
    </row>
    <row r="8" spans="2:11" ht="12" thickBot="1" x14ac:dyDescent="0.25">
      <c r="B8" s="174"/>
      <c r="C8" s="185" t="s">
        <v>46</v>
      </c>
      <c r="D8" s="192" t="s">
        <v>50</v>
      </c>
      <c r="E8" s="175"/>
      <c r="F8" s="176"/>
      <c r="H8" s="193"/>
      <c r="I8" s="193"/>
      <c r="J8" s="193"/>
      <c r="K8" s="193"/>
    </row>
    <row r="9" spans="2:11" ht="18.75" thickBot="1" x14ac:dyDescent="0.3">
      <c r="B9" s="174"/>
      <c r="C9" s="185" t="s">
        <v>22</v>
      </c>
      <c r="D9" s="186" t="str">
        <f>Currency&amp;"_YC"&amp;IndexTenor&amp;"RH"</f>
        <v>USD_YCONRH</v>
      </c>
      <c r="E9" s="175"/>
      <c r="F9" s="176"/>
      <c r="H9" s="241" t="s">
        <v>69</v>
      </c>
      <c r="I9" s="242"/>
      <c r="J9" s="242"/>
      <c r="K9" s="244"/>
    </row>
    <row r="10" spans="2:11" ht="12.75" x14ac:dyDescent="0.2">
      <c r="B10" s="174"/>
      <c r="C10" s="194" t="s">
        <v>12</v>
      </c>
      <c r="D10" s="186" t="b">
        <v>1</v>
      </c>
      <c r="E10" s="175"/>
      <c r="F10" s="176"/>
      <c r="H10" s="195"/>
      <c r="I10" s="196"/>
      <c r="J10" s="196"/>
      <c r="K10" s="197"/>
    </row>
    <row r="11" spans="2:11" ht="12.75" x14ac:dyDescent="0.2">
      <c r="B11" s="174"/>
      <c r="C11" s="194" t="s">
        <v>5</v>
      </c>
      <c r="D11" s="198">
        <v>42248.77238425926</v>
      </c>
      <c r="E11" s="175"/>
      <c r="F11" s="176"/>
      <c r="H11" s="195"/>
      <c r="I11" s="199" t="s">
        <v>68</v>
      </c>
      <c r="J11" s="183" t="s">
        <v>67</v>
      </c>
      <c r="K11" s="197"/>
    </row>
    <row r="12" spans="2:11" ht="12.75" x14ac:dyDescent="0.2">
      <c r="B12" s="174"/>
      <c r="C12" s="200" t="s">
        <v>40</v>
      </c>
      <c r="D12" s="201" t="b">
        <v>1</v>
      </c>
      <c r="E12" s="175"/>
      <c r="F12" s="176"/>
      <c r="H12" s="195"/>
      <c r="I12" s="199" t="s">
        <v>66</v>
      </c>
      <c r="J12" s="188" t="s">
        <v>65</v>
      </c>
      <c r="K12" s="197"/>
    </row>
    <row r="13" spans="2:11" ht="12.75" x14ac:dyDescent="0.2">
      <c r="B13" s="174"/>
      <c r="C13" s="202"/>
      <c r="D13" s="202"/>
      <c r="E13" s="175"/>
      <c r="F13" s="176"/>
      <c r="H13" s="195"/>
      <c r="I13" s="199" t="s">
        <v>119</v>
      </c>
      <c r="J13" s="188" t="s">
        <v>120</v>
      </c>
      <c r="K13" s="197"/>
    </row>
    <row r="14" spans="2:11" ht="12.75" x14ac:dyDescent="0.2">
      <c r="B14" s="174"/>
      <c r="C14" s="203" t="s">
        <v>13</v>
      </c>
      <c r="D14" s="204" t="str">
        <f>_xll.qlPiecewiseYieldCurve(D16,NDays,Calendar,_xll.ohPack(Selected!D2:D126),DayCounter,,,Accuracy,TraitsID,InterpolatorID,Permanent,,ObjectOverwrite)</f>
        <v>_USDYCON_linearLCH#0000</v>
      </c>
      <c r="E14" s="204" t="str">
        <f>_xll.qlPiecewiseYieldCurve(E16,E17,Calendar,_xll.ohPack(Selected!D2:D126),E19,,,E20,E21,E22,Permanent,,ObjectOverwrite)</f>
        <v>_USDYCON_cubicLCH#0000</v>
      </c>
      <c r="F14" s="176"/>
      <c r="H14" s="195"/>
      <c r="I14" s="199" t="s">
        <v>115</v>
      </c>
      <c r="J14" s="188" t="s">
        <v>117</v>
      </c>
      <c r="K14" s="197"/>
    </row>
    <row r="15" spans="2:11" ht="12.75" x14ac:dyDescent="0.2">
      <c r="B15" s="174"/>
      <c r="C15" s="205" t="s">
        <v>14</v>
      </c>
      <c r="D15" s="206" t="str">
        <f>_xll.ohRangeRetrieveError(YieldCurve1)</f>
        <v/>
      </c>
      <c r="E15" s="206" t="str">
        <f>_xll.ohRangeRetrieveError(YieldCurve2)</f>
        <v/>
      </c>
      <c r="F15" s="176"/>
      <c r="H15" s="195"/>
      <c r="I15" s="199" t="s">
        <v>116</v>
      </c>
      <c r="J15" s="188" t="s">
        <v>118</v>
      </c>
      <c r="K15" s="197"/>
    </row>
    <row r="16" spans="2:11" ht="12.75" x14ac:dyDescent="0.2">
      <c r="B16" s="174"/>
      <c r="C16" s="203" t="s">
        <v>8</v>
      </c>
      <c r="D16" s="207" t="str">
        <f>"_"&amp;Currency&amp;"YC"&amp;IndexTenor&amp;LCHlinear</f>
        <v>_USDYCON_linearLCH</v>
      </c>
      <c r="E16" s="207" t="str">
        <f>"_"&amp;Currency&amp;"YC"&amp;IndexTenor&amp;LCHcubic</f>
        <v>_USDYCON_cubicLCH</v>
      </c>
      <c r="F16" s="176"/>
      <c r="H16" s="195"/>
      <c r="I16" s="199" t="s">
        <v>78</v>
      </c>
      <c r="J16" s="183" t="s">
        <v>79</v>
      </c>
      <c r="K16" s="197"/>
    </row>
    <row r="17" spans="2:11" ht="12.75" x14ac:dyDescent="0.2">
      <c r="B17" s="174"/>
      <c r="C17" s="211" t="s">
        <v>9</v>
      </c>
      <c r="D17" s="212">
        <v>0</v>
      </c>
      <c r="E17" s="212">
        <v>0</v>
      </c>
      <c r="F17" s="176"/>
      <c r="H17" s="195"/>
      <c r="I17" s="199" t="s">
        <v>114</v>
      </c>
      <c r="J17" s="183" t="str">
        <f>PROPER(Currency)&amp;"ON"&amp;"_LCH1"</f>
        <v>UsdON_LCH1</v>
      </c>
      <c r="K17" s="197"/>
    </row>
    <row r="18" spans="2:11" ht="12.75" x14ac:dyDescent="0.2">
      <c r="B18" s="174"/>
      <c r="C18" s="211" t="s">
        <v>3</v>
      </c>
      <c r="D18" s="213" t="str">
        <f>JoinCalendar</f>
        <v>JoinHolidays(NullCalendar,UnitedStates::Settlement)</v>
      </c>
      <c r="E18" s="213" t="str">
        <f>JoinCalendar</f>
        <v>JoinHolidays(NullCalendar,UnitedStates::Settlement)</v>
      </c>
      <c r="F18" s="176"/>
      <c r="H18" s="195"/>
      <c r="I18" s="199" t="s">
        <v>64</v>
      </c>
      <c r="J18" s="183" t="str">
        <f>PROPER(Currency)&amp;"ON"&amp;"_LCH2"</f>
        <v>UsdON_LCH2</v>
      </c>
      <c r="K18" s="197"/>
    </row>
    <row r="19" spans="2:11" ht="12.75" x14ac:dyDescent="0.2">
      <c r="B19" s="174"/>
      <c r="C19" s="211" t="s">
        <v>7</v>
      </c>
      <c r="D19" s="213"/>
      <c r="E19" s="213"/>
      <c r="F19" s="176"/>
      <c r="H19" s="195"/>
      <c r="I19" s="199" t="s">
        <v>113</v>
      </c>
      <c r="J19" s="183" t="str">
        <f>UPPER(Currency)&amp;"STD"&amp;LCHlinear</f>
        <v>USDSTD_linearLCH</v>
      </c>
      <c r="K19" s="197"/>
    </row>
    <row r="20" spans="2:11" ht="15.75" thickBot="1" x14ac:dyDescent="0.3">
      <c r="B20" s="174"/>
      <c r="C20" s="211" t="s">
        <v>21</v>
      </c>
      <c r="D20" s="214" t="e">
        <f>NA()</f>
        <v>#N/A</v>
      </c>
      <c r="E20" s="214" t="e">
        <f>NA()</f>
        <v>#N/A</v>
      </c>
      <c r="F20" s="176"/>
      <c r="H20" s="208"/>
      <c r="I20" s="209"/>
      <c r="J20" s="209"/>
      <c r="K20" s="210"/>
    </row>
    <row r="21" spans="2:11" ht="12" thickBot="1" x14ac:dyDescent="0.25">
      <c r="B21" s="174"/>
      <c r="C21" s="211" t="s">
        <v>10</v>
      </c>
      <c r="D21" s="215" t="s">
        <v>96</v>
      </c>
      <c r="E21" s="215" t="s">
        <v>110</v>
      </c>
      <c r="F21" s="176"/>
    </row>
    <row r="22" spans="2:11" ht="18.75" thickBot="1" x14ac:dyDescent="0.3">
      <c r="B22" s="174"/>
      <c r="C22" s="205" t="s">
        <v>11</v>
      </c>
      <c r="D22" s="216" t="s">
        <v>95</v>
      </c>
      <c r="E22" s="216" t="s">
        <v>111</v>
      </c>
      <c r="F22" s="176"/>
      <c r="H22" s="241" t="s">
        <v>124</v>
      </c>
      <c r="I22" s="242"/>
      <c r="J22" s="242"/>
      <c r="K22" s="244"/>
    </row>
    <row r="23" spans="2:11" x14ac:dyDescent="0.2">
      <c r="B23" s="174"/>
      <c r="C23" s="202"/>
      <c r="D23" s="202"/>
      <c r="E23" s="175"/>
      <c r="F23" s="176"/>
      <c r="H23" s="177"/>
      <c r="I23" s="178"/>
      <c r="J23" s="178"/>
      <c r="K23" s="179"/>
    </row>
    <row r="24" spans="2:11" x14ac:dyDescent="0.2">
      <c r="B24" s="174"/>
      <c r="C24" s="217">
        <f>_xll.qlTermStructureReferenceDate(YieldCurve1)</f>
        <v>42192</v>
      </c>
      <c r="D24" s="218">
        <f>_xll.qlYieldTSDiscount(YieldCurve1,C24)</f>
        <v>1</v>
      </c>
      <c r="E24" s="218">
        <f>_xll.qlYieldTSDiscount(YieldCurve2,C24)</f>
        <v>1</v>
      </c>
      <c r="F24" s="176"/>
      <c r="H24" s="177"/>
      <c r="I24" s="182" t="s">
        <v>125</v>
      </c>
      <c r="J24" s="183" t="s">
        <v>129</v>
      </c>
      <c r="K24" s="184"/>
    </row>
    <row r="25" spans="2:11" x14ac:dyDescent="0.2">
      <c r="B25" s="174"/>
      <c r="C25" s="219">
        <f>MAX(_xll.ohPack(Selected!J2:J126))</f>
        <v>64109</v>
      </c>
      <c r="D25" s="186">
        <f>_xll.qlYieldTSDiscount(YieldCurve1,C25)</f>
        <v>0.19841806546881574</v>
      </c>
      <c r="E25" s="186">
        <f>_xll.qlYieldTSDiscount(YieldCurve2,C25)</f>
        <v>0.19835751835408721</v>
      </c>
      <c r="F25" s="176"/>
      <c r="H25" s="177"/>
      <c r="I25" s="182" t="s">
        <v>126</v>
      </c>
      <c r="J25" s="188" t="s">
        <v>130</v>
      </c>
      <c r="K25" s="184"/>
    </row>
    <row r="26" spans="2:11" x14ac:dyDescent="0.2">
      <c r="B26" s="174"/>
      <c r="C26" s="220" t="s">
        <v>14</v>
      </c>
      <c r="D26" s="221" t="str">
        <f>_xll.ohRangeRetrieveError(Selected!K1)</f>
        <v/>
      </c>
      <c r="E26" s="221" t="str">
        <f>_xll.ohRangeRetrieveError(Selected!L1)</f>
        <v/>
      </c>
      <c r="F26" s="176"/>
      <c r="H26" s="177"/>
      <c r="I26" s="182" t="s">
        <v>127</v>
      </c>
      <c r="J26" s="188" t="s">
        <v>131</v>
      </c>
      <c r="K26" s="184"/>
    </row>
    <row r="27" spans="2:11" x14ac:dyDescent="0.2">
      <c r="B27" s="174"/>
      <c r="C27" s="229"/>
      <c r="D27" s="230" t="str">
        <f>UPPER(Currency)&amp;IndexTenor&amp;LCHlinear</f>
        <v>USDON_linearLCH</v>
      </c>
      <c r="E27" s="230" t="str">
        <f>UPPER(Currency)&amp;IndexTenor&amp;LCHcubic</f>
        <v>USDON_cubicLCH</v>
      </c>
      <c r="F27" s="176"/>
      <c r="H27" s="177"/>
      <c r="I27" s="182" t="s">
        <v>128</v>
      </c>
      <c r="J27" s="188" t="str">
        <f>J24&amp;"("&amp;J25&amp;","&amp;J26&amp;")"</f>
        <v>JoinHolidays(NullCalendar,UnitedStates::Settlement)</v>
      </c>
      <c r="K27" s="184"/>
    </row>
    <row r="28" spans="2:11" ht="12" thickBot="1" x14ac:dyDescent="0.25">
      <c r="B28" s="174"/>
      <c r="C28" s="222" t="s">
        <v>112</v>
      </c>
      <c r="D28" s="223" t="b">
        <f>_xll.qlRelinkableHandleLinkTo(D27,YieldCurve1)</f>
        <v>1</v>
      </c>
      <c r="E28" s="223" t="b">
        <f>_xll.qlRelinkableHandleLinkTo(E27,YieldCurve2)</f>
        <v>1</v>
      </c>
      <c r="F28" s="176"/>
      <c r="H28" s="189"/>
      <c r="I28" s="190"/>
      <c r="J28" s="190"/>
      <c r="K28" s="191"/>
    </row>
    <row r="29" spans="2:11" x14ac:dyDescent="0.2">
      <c r="B29" s="174"/>
      <c r="C29" s="224" t="s">
        <v>77</v>
      </c>
      <c r="D29" s="239" t="b">
        <v>0</v>
      </c>
      <c r="E29" s="239" t="b">
        <v>0</v>
      </c>
      <c r="F29" s="176"/>
    </row>
    <row r="30" spans="2:11" ht="12" thickBot="1" x14ac:dyDescent="0.25">
      <c r="B30" s="225"/>
      <c r="C30" s="234"/>
      <c r="D30" s="226"/>
      <c r="E30" s="227"/>
      <c r="F30" s="228"/>
    </row>
    <row r="31" spans="2:11" ht="11.25" customHeight="1" x14ac:dyDescent="0.2"/>
  </sheetData>
  <mergeCells count="4">
    <mergeCell ref="B2:F2"/>
    <mergeCell ref="H2:K2"/>
    <mergeCell ref="H9:K9"/>
    <mergeCell ref="H22:K22"/>
  </mergeCells>
  <phoneticPr fontId="4" type="noConversion"/>
  <dataValidations count="3">
    <dataValidation type="list" allowBlank="1" showInputMessage="1" showErrorMessage="1" sqref="D4">
      <formula1>"EUR,USD,GBP,JPY,CHF,AUD,CNY,CNH,HKD,RMB,SEK,PLN,HUF,CZK"</formula1>
    </dataValidation>
    <dataValidation type="list" allowBlank="1" showInputMessage="1" showErrorMessage="1" sqref="J24">
      <formula1>"JoinBusinessDays,JoinHolidays"</formula1>
    </dataValidation>
    <dataValidation type="list" allowBlank="1" showInputMessage="1" showErrorMessage="1" sqref="J25 J2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2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68" hidden="1" customWidth="1" outlineLevel="1"/>
    <col min="2" max="2" width="21.42578125" style="168" bestFit="1" customWidth="1" collapsed="1"/>
    <col min="3" max="3" width="11" style="168" bestFit="1" customWidth="1"/>
    <col min="4" max="4" width="8" style="168" bestFit="1" customWidth="1"/>
    <col min="5" max="5" width="8.85546875" style="168" customWidth="1"/>
    <col min="6" max="6" width="9" style="168" bestFit="1" customWidth="1"/>
    <col min="7" max="8" width="17.28515625" style="168" bestFit="1" customWidth="1"/>
    <col min="9" max="9" width="2.7109375" style="149" bestFit="1" customWidth="1"/>
    <col min="10" max="10" width="18.28515625" style="149" bestFit="1" customWidth="1"/>
    <col min="11" max="16384" width="9.140625" style="149"/>
  </cols>
  <sheetData>
    <row r="1" spans="1:9" ht="22.5" customHeight="1" x14ac:dyDescent="0.2">
      <c r="A1" s="146" t="s">
        <v>18</v>
      </c>
      <c r="B1" s="147" t="s">
        <v>82</v>
      </c>
      <c r="C1" s="147" t="s">
        <v>15</v>
      </c>
      <c r="D1" s="147" t="s">
        <v>1</v>
      </c>
      <c r="E1" s="147" t="s">
        <v>2</v>
      </c>
      <c r="F1" s="147" t="s">
        <v>47</v>
      </c>
      <c r="G1" s="147" t="s">
        <v>0</v>
      </c>
      <c r="H1" s="147" t="s">
        <v>103</v>
      </c>
      <c r="I1" s="148"/>
    </row>
    <row r="2" spans="1:9" ht="11.25" customHeight="1" x14ac:dyDescent="0.2">
      <c r="A2" s="169" t="str">
        <f>Deposits!F4</f>
        <v>obj_00293#0000</v>
      </c>
      <c r="B2" s="154" t="str">
        <f>_xll.qlRateHelperQuoteName(A2)</f>
        <v>USD1DOIS_LCHQuote</v>
      </c>
      <c r="C2" s="155">
        <f>_xll.qlRateHelperQuoteValue($A2,Trigger)</f>
        <v>1.2999999999999999E-3</v>
      </c>
      <c r="D2" s="156" t="b">
        <v>1</v>
      </c>
      <c r="E2" s="156">
        <v>70</v>
      </c>
      <c r="F2" s="156">
        <v>1</v>
      </c>
      <c r="G2" s="157">
        <f>_xll.qlRateHelperEarliestDate($A2,Trigger)</f>
        <v>42192</v>
      </c>
      <c r="H2" s="158">
        <f>_xll.qlRateHelperMaturityDate($A2,Trigger)</f>
        <v>42193</v>
      </c>
      <c r="I2" s="99"/>
    </row>
    <row r="3" spans="1:9" ht="11.25" customHeight="1" x14ac:dyDescent="0.2">
      <c r="A3" s="240" t="str">
        <f>Deposits!F5</f>
        <v>obj_0028f#0000</v>
      </c>
      <c r="B3" s="159" t="str">
        <f>_xll.qlRateHelperQuoteName(A3)</f>
        <v>USD2DOIS_LCHQuote</v>
      </c>
      <c r="C3" s="160">
        <f>_xll.qlRateHelperQuoteValue($A3,Trigger)</f>
        <v>1.2999999999999999E-3</v>
      </c>
      <c r="D3" s="161" t="b">
        <v>1</v>
      </c>
      <c r="E3" s="161">
        <v>70</v>
      </c>
      <c r="F3" s="161">
        <v>1</v>
      </c>
      <c r="G3" s="162">
        <f>_xll.qlRateHelperEarliestDate($A3,Trigger)</f>
        <v>42193</v>
      </c>
      <c r="H3" s="163">
        <f>_xll.qlRateHelperMaturityDate($A3,Trigger)</f>
        <v>42194</v>
      </c>
      <c r="I3" s="99"/>
    </row>
    <row r="4" spans="1:9" x14ac:dyDescent="0.2">
      <c r="A4" s="169" t="str">
        <f>Swaps!G5</f>
        <v>obj_0029a#0000</v>
      </c>
      <c r="B4" s="154" t="str">
        <f>_xll.qlRateHelperQuoteName(A4)</f>
        <v>USD1WOIS_LCHQuote</v>
      </c>
      <c r="C4" s="155">
        <f>_xll.qlRateHelperQuoteValue($A4,Trigger)</f>
        <v>1.3125000000000001E-3</v>
      </c>
      <c r="D4" s="156" t="b">
        <v>1</v>
      </c>
      <c r="E4" s="156">
        <v>50</v>
      </c>
      <c r="F4" s="156">
        <v>1</v>
      </c>
      <c r="G4" s="157">
        <f>_xll.qlRateHelperEarliestDate($A4,Trigger)</f>
        <v>42194</v>
      </c>
      <c r="H4" s="158">
        <f>_xll.qlRateHelperMaturityDate($A4,Trigger)</f>
        <v>42201</v>
      </c>
      <c r="I4" s="99"/>
    </row>
    <row r="5" spans="1:9" x14ac:dyDescent="0.2">
      <c r="A5" s="170" t="str">
        <f>Swaps!G6</f>
        <v>obj_002a1#0000</v>
      </c>
      <c r="B5" s="150" t="str">
        <f>_xll.qlRateHelperQuoteName(A5)</f>
        <v>USD2WOIS_LCHQuote</v>
      </c>
      <c r="C5" s="151">
        <f>_xll.qlRateHelperQuoteValue($A5,Trigger)</f>
        <v>1.2539999999999999E-3</v>
      </c>
      <c r="D5" s="14" t="b">
        <v>1</v>
      </c>
      <c r="E5" s="14">
        <v>50</v>
      </c>
      <c r="F5" s="14">
        <v>1</v>
      </c>
      <c r="G5" s="152">
        <f>_xll.qlRateHelperEarliestDate($A5,Trigger)</f>
        <v>42194</v>
      </c>
      <c r="H5" s="153">
        <f>_xll.qlRateHelperMaturityDate($A5,Trigger)</f>
        <v>42208</v>
      </c>
      <c r="I5" s="99"/>
    </row>
    <row r="6" spans="1:9" x14ac:dyDescent="0.2">
      <c r="A6" s="170" t="str">
        <f>Swaps!G7</f>
        <v>obj_0028c#0000</v>
      </c>
      <c r="B6" s="150" t="str">
        <f>_xll.qlRateHelperQuoteName(A6)</f>
        <v>USD3WOIS_LCHQuote</v>
      </c>
      <c r="C6" s="151">
        <f>_xll.qlRateHelperQuoteValue($A6,Trigger)</f>
        <v>1.315E-3</v>
      </c>
      <c r="D6" s="14" t="b">
        <v>1</v>
      </c>
      <c r="E6" s="14">
        <v>50</v>
      </c>
      <c r="F6" s="14">
        <v>1</v>
      </c>
      <c r="G6" s="152">
        <f>_xll.qlRateHelperEarliestDate($A6,Trigger)</f>
        <v>42194</v>
      </c>
      <c r="H6" s="153">
        <f>_xll.qlRateHelperMaturityDate($A6,Trigger)</f>
        <v>42215</v>
      </c>
      <c r="I6" s="99"/>
    </row>
    <row r="7" spans="1:9" x14ac:dyDescent="0.2">
      <c r="A7" s="170" t="str">
        <f>Swaps!G8</f>
        <v>obj_00297#0000</v>
      </c>
      <c r="B7" s="150" t="str">
        <f>_xll.qlRateHelperQuoteName(A7)</f>
        <v>USD1MOIS_LCHQuote</v>
      </c>
      <c r="C7" s="151">
        <f>_xll.qlRateHelperQuoteValue($A7,Trigger)</f>
        <v>1.305E-3</v>
      </c>
      <c r="D7" s="14" t="b">
        <v>1</v>
      </c>
      <c r="E7" s="14">
        <v>50</v>
      </c>
      <c r="F7" s="14">
        <v>1</v>
      </c>
      <c r="G7" s="152">
        <f>_xll.qlRateHelperEarliestDate($A7,Trigger)</f>
        <v>42194</v>
      </c>
      <c r="H7" s="153">
        <f>_xll.qlRateHelperMaturityDate($A7,Trigger)</f>
        <v>42226</v>
      </c>
      <c r="I7" s="99"/>
    </row>
    <row r="8" spans="1:9" x14ac:dyDescent="0.2">
      <c r="A8" s="170" t="str">
        <f>Swaps!G9</f>
        <v>obj_0029c#0000</v>
      </c>
      <c r="B8" s="150" t="str">
        <f>_xll.qlRateHelperQuoteName(A8)</f>
        <v>USD2MOIS_LCHQuote</v>
      </c>
      <c r="C8" s="151">
        <f>_xll.qlRateHelperQuoteValue($A8,Trigger)</f>
        <v>1.3282857E-3</v>
      </c>
      <c r="D8" s="14" t="b">
        <v>1</v>
      </c>
      <c r="E8" s="14">
        <v>50</v>
      </c>
      <c r="F8" s="14">
        <v>1</v>
      </c>
      <c r="G8" s="152">
        <f>_xll.qlRateHelperEarliestDate($A8,Trigger)</f>
        <v>42194</v>
      </c>
      <c r="H8" s="153">
        <f>_xll.qlRateHelperMaturityDate($A8,Trigger)</f>
        <v>42256</v>
      </c>
      <c r="I8" s="99"/>
    </row>
    <row r="9" spans="1:9" x14ac:dyDescent="0.2">
      <c r="A9" s="170" t="str">
        <f>Swaps!G10</f>
        <v>obj_002a0#0000</v>
      </c>
      <c r="B9" s="150" t="str">
        <f>_xll.qlRateHelperQuoteName(A9)</f>
        <v>USD3MOIS_LCHQuote</v>
      </c>
      <c r="C9" s="151">
        <f>_xll.qlRateHelperQuoteValue($A9,Trigger)</f>
        <v>1.4647E-3</v>
      </c>
      <c r="D9" s="14" t="b">
        <v>1</v>
      </c>
      <c r="E9" s="14">
        <v>50</v>
      </c>
      <c r="F9" s="14">
        <v>1</v>
      </c>
      <c r="G9" s="152">
        <f>_xll.qlRateHelperEarliestDate($A9,Trigger)</f>
        <v>42194</v>
      </c>
      <c r="H9" s="153">
        <f>_xll.qlRateHelperMaturityDate($A9,Trigger)</f>
        <v>42286</v>
      </c>
      <c r="I9" s="99"/>
    </row>
    <row r="10" spans="1:9" x14ac:dyDescent="0.2">
      <c r="A10" s="170" t="str">
        <f>Swaps!G11</f>
        <v>obj_00298#0000</v>
      </c>
      <c r="B10" s="150" t="str">
        <f>_xll.qlRateHelperQuoteName(A10)</f>
        <v>USD4MOIS_LCHQuote</v>
      </c>
      <c r="C10" s="151">
        <f>_xll.qlRateHelperQuoteValue($A10,Trigger)</f>
        <v>1.523E-3</v>
      </c>
      <c r="D10" s="14" t="b">
        <v>1</v>
      </c>
      <c r="E10" s="14">
        <v>50</v>
      </c>
      <c r="F10" s="14">
        <v>1</v>
      </c>
      <c r="G10" s="152">
        <f>_xll.qlRateHelperEarliestDate($A10,Trigger)</f>
        <v>42194</v>
      </c>
      <c r="H10" s="153">
        <f>_xll.qlRateHelperMaturityDate($A10,Trigger)</f>
        <v>42317</v>
      </c>
      <c r="I10" s="99"/>
    </row>
    <row r="11" spans="1:9" x14ac:dyDescent="0.2">
      <c r="A11" s="170" t="str">
        <f>Swaps!G12</f>
        <v>obj_0029f#0000</v>
      </c>
      <c r="B11" s="150" t="str">
        <f>_xll.qlRateHelperQuoteName(A11)</f>
        <v>USD5MOIS_LCHQuote</v>
      </c>
      <c r="C11" s="151">
        <f>_xll.qlRateHelperQuoteValue($A11,Trigger)</f>
        <v>1.6214999999999999E-3</v>
      </c>
      <c r="D11" s="14" t="b">
        <v>1</v>
      </c>
      <c r="E11" s="14">
        <v>50</v>
      </c>
      <c r="F11" s="14">
        <v>1</v>
      </c>
      <c r="G11" s="152">
        <f>_xll.qlRateHelperEarliestDate($A11,Trigger)</f>
        <v>42194</v>
      </c>
      <c r="H11" s="153">
        <f>_xll.qlRateHelperMaturityDate($A11,Trigger)</f>
        <v>42347</v>
      </c>
      <c r="I11" s="99"/>
    </row>
    <row r="12" spans="1:9" x14ac:dyDescent="0.2">
      <c r="A12" s="170" t="str">
        <f>Swaps!G13</f>
        <v>obj_002a3#0000</v>
      </c>
      <c r="B12" s="150" t="str">
        <f>_xll.qlRateHelperQuoteName(A12)</f>
        <v>USD6MOIS_LCHQuote</v>
      </c>
      <c r="C12" s="151">
        <f>_xll.qlRateHelperQuoteValue($A12,Trigger)</f>
        <v>1.8831E-3</v>
      </c>
      <c r="D12" s="14" t="b">
        <v>1</v>
      </c>
      <c r="E12" s="14">
        <v>50</v>
      </c>
      <c r="F12" s="14">
        <v>1</v>
      </c>
      <c r="G12" s="152">
        <f>_xll.qlRateHelperEarliestDate($A12,Trigger)</f>
        <v>42194</v>
      </c>
      <c r="H12" s="153">
        <f>_xll.qlRateHelperMaturityDate($A12,Trigger)</f>
        <v>42380</v>
      </c>
      <c r="I12" s="99"/>
    </row>
    <row r="13" spans="1:9" x14ac:dyDescent="0.2">
      <c r="A13" s="170" t="str">
        <f>Swaps!G14</f>
        <v>obj_002a2#0000</v>
      </c>
      <c r="B13" s="150" t="str">
        <f>_xll.qlRateHelperQuoteName(A13)</f>
        <v>USD7MOIS_LCHQuote</v>
      </c>
      <c r="C13" s="151">
        <f>_xll.qlRateHelperQuoteValue($A13,Trigger)</f>
        <v>2.0175000000000002E-3</v>
      </c>
      <c r="D13" s="14" t="b">
        <v>1</v>
      </c>
      <c r="E13" s="14">
        <v>50</v>
      </c>
      <c r="F13" s="14">
        <v>1</v>
      </c>
      <c r="G13" s="152">
        <f>_xll.qlRateHelperEarliestDate($A13,Trigger)</f>
        <v>42194</v>
      </c>
      <c r="H13" s="153">
        <f>_xll.qlRateHelperMaturityDate($A13,Trigger)</f>
        <v>42409</v>
      </c>
      <c r="I13" s="99"/>
    </row>
    <row r="14" spans="1:9" x14ac:dyDescent="0.2">
      <c r="A14" s="170" t="str">
        <f>Swaps!G15</f>
        <v>obj_00299#0000</v>
      </c>
      <c r="B14" s="150" t="str">
        <f>_xll.qlRateHelperQuoteName(A14)</f>
        <v>USD8MOIS_LCHQuote</v>
      </c>
      <c r="C14" s="151">
        <f>_xll.qlRateHelperQuoteValue($A14,Trigger)</f>
        <v>2.1887500000000002E-3</v>
      </c>
      <c r="D14" s="14" t="b">
        <v>1</v>
      </c>
      <c r="E14" s="14">
        <v>50</v>
      </c>
      <c r="F14" s="14">
        <v>1</v>
      </c>
      <c r="G14" s="152">
        <f>_xll.qlRateHelperEarliestDate($A14,Trigger)</f>
        <v>42194</v>
      </c>
      <c r="H14" s="153">
        <f>_xll.qlRateHelperMaturityDate($A14,Trigger)</f>
        <v>42438</v>
      </c>
      <c r="I14" s="99"/>
    </row>
    <row r="15" spans="1:9" x14ac:dyDescent="0.2">
      <c r="A15" s="170" t="str">
        <f>Swaps!G16</f>
        <v>obj_0029b#0000</v>
      </c>
      <c r="B15" s="150" t="str">
        <f>_xll.qlRateHelperQuoteName(A15)</f>
        <v>USD9MOIS_LCHQuote</v>
      </c>
      <c r="C15" s="151">
        <f>_xll.qlRateHelperQuoteValue($A15,Trigger)</f>
        <v>2.4358333000000002E-3</v>
      </c>
      <c r="D15" s="14" t="b">
        <v>1</v>
      </c>
      <c r="E15" s="14">
        <v>50</v>
      </c>
      <c r="F15" s="14">
        <v>1</v>
      </c>
      <c r="G15" s="152">
        <f>_xll.qlRateHelperEarliestDate($A15,Trigger)</f>
        <v>42194</v>
      </c>
      <c r="H15" s="153">
        <f>_xll.qlRateHelperMaturityDate($A15,Trigger)</f>
        <v>42471</v>
      </c>
      <c r="I15" s="99"/>
    </row>
    <row r="16" spans="1:9" x14ac:dyDescent="0.2">
      <c r="A16" s="170" t="str">
        <f>Swaps!G17</f>
        <v>obj_00296#0000</v>
      </c>
      <c r="B16" s="150" t="str">
        <f>_xll.qlRateHelperQuoteName(A16)</f>
        <v>USD10MOIS_LCHQuote</v>
      </c>
      <c r="C16" s="151">
        <f>_xll.qlRateHelperQuoteValue($A16,Trigger)</f>
        <v>2.5999999999999999E-3</v>
      </c>
      <c r="D16" s="14" t="b">
        <v>1</v>
      </c>
      <c r="E16" s="14">
        <v>50</v>
      </c>
      <c r="F16" s="14">
        <v>1</v>
      </c>
      <c r="G16" s="152">
        <f>_xll.qlRateHelperEarliestDate($A16,Trigger)</f>
        <v>42194</v>
      </c>
      <c r="H16" s="153">
        <f>_xll.qlRateHelperMaturityDate($A16,Trigger)</f>
        <v>42499</v>
      </c>
      <c r="I16" s="99"/>
    </row>
    <row r="17" spans="1:9" x14ac:dyDescent="0.2">
      <c r="A17" s="170" t="str">
        <f>Swaps!G18</f>
        <v>obj_00295#0000</v>
      </c>
      <c r="B17" s="150" t="str">
        <f>_xll.qlRateHelperQuoteName(A17)</f>
        <v>USD11MOIS_LCHQuote</v>
      </c>
      <c r="C17" s="151">
        <f>_xll.qlRateHelperQuoteValue($A17,Trigger)</f>
        <v>2.8167999999999999E-3</v>
      </c>
      <c r="D17" s="14" t="b">
        <v>1</v>
      </c>
      <c r="E17" s="14">
        <v>50</v>
      </c>
      <c r="F17" s="14">
        <v>1</v>
      </c>
      <c r="G17" s="152">
        <f>_xll.qlRateHelperEarliestDate($A17,Trigger)</f>
        <v>42194</v>
      </c>
      <c r="H17" s="153">
        <f>_xll.qlRateHelperMaturityDate($A17,Trigger)</f>
        <v>42530</v>
      </c>
      <c r="I17" s="99"/>
    </row>
    <row r="18" spans="1:9" x14ac:dyDescent="0.2">
      <c r="A18" s="170" t="str">
        <f>Swaps!G19</f>
        <v>obj_00294#0000</v>
      </c>
      <c r="B18" s="150" t="str">
        <f>_xll.qlRateHelperQuoteName(A18)</f>
        <v>USD1YOIS_LCHQuote</v>
      </c>
      <c r="C18" s="151">
        <f>_xll.qlRateHelperQuoteValue($A18,Trigger)</f>
        <v>3.0401667000000002E-3</v>
      </c>
      <c r="D18" s="14" t="b">
        <v>1</v>
      </c>
      <c r="E18" s="14">
        <v>50</v>
      </c>
      <c r="F18" s="14">
        <v>1</v>
      </c>
      <c r="G18" s="152">
        <f>_xll.qlRateHelperEarliestDate($A18,Trigger)</f>
        <v>42194</v>
      </c>
      <c r="H18" s="153">
        <f>_xll.qlRateHelperMaturityDate($A18,Trigger)</f>
        <v>42562</v>
      </c>
      <c r="I18" s="99"/>
    </row>
    <row r="19" spans="1:9" x14ac:dyDescent="0.2">
      <c r="A19" s="170" t="str">
        <f>Swaps!G20</f>
        <v>obj_0029e#0000</v>
      </c>
      <c r="B19" s="150" t="str">
        <f>_xll.qlRateHelperQuoteName(A19)</f>
        <v>USD18MOIS_LCHQuote</v>
      </c>
      <c r="C19" s="151">
        <f>_xll.qlRateHelperQuoteValue($A19,Trigger)</f>
        <v>4.5676249999999996E-3</v>
      </c>
      <c r="D19" s="14" t="b">
        <v>1</v>
      </c>
      <c r="E19" s="14">
        <v>50</v>
      </c>
      <c r="F19" s="14">
        <v>1</v>
      </c>
      <c r="G19" s="152">
        <f>_xll.qlRateHelperEarliestDate($A19,Trigger)</f>
        <v>42194</v>
      </c>
      <c r="H19" s="153">
        <f>_xll.qlRateHelperMaturityDate($A19,Trigger)</f>
        <v>42744</v>
      </c>
      <c r="I19" s="99"/>
    </row>
    <row r="20" spans="1:9" x14ac:dyDescent="0.2">
      <c r="A20" s="170" t="str">
        <f>Swaps!G21</f>
        <v>obj_0029d#0000</v>
      </c>
      <c r="B20" s="150" t="str">
        <f>_xll.qlRateHelperQuoteName(A20)</f>
        <v>USD2YOIS_LCHQuote</v>
      </c>
      <c r="C20" s="151">
        <f>_xll.qlRateHelperQuoteValue($A20,Trigger)</f>
        <v>6.2043749999999998E-3</v>
      </c>
      <c r="D20" s="14" t="b">
        <v>1</v>
      </c>
      <c r="E20" s="14">
        <v>50</v>
      </c>
      <c r="F20" s="14">
        <v>1</v>
      </c>
      <c r="G20" s="152">
        <f>_xll.qlRateHelperEarliestDate($A20,Trigger)</f>
        <v>42194</v>
      </c>
      <c r="H20" s="153">
        <f>_xll.qlRateHelperMaturityDate($A20,Trigger)</f>
        <v>42926</v>
      </c>
      <c r="I20" s="99"/>
    </row>
    <row r="21" spans="1:9" x14ac:dyDescent="0.2">
      <c r="A21" s="169" t="str">
        <f>SwapFromBasis!L4</f>
        <v>obj_00284#0000</v>
      </c>
      <c r="B21" s="154" t="str">
        <f>_xll.qlRateHelperQuoteName(A21)</f>
        <v>USD3FF3L3Y_LCHQuote</v>
      </c>
      <c r="C21" s="155">
        <f>_xll.qlRateHelperQuoteValue($A21,Trigger)</f>
        <v>9.3283749999999999E-3</v>
      </c>
      <c r="D21" s="156" t="b">
        <v>1</v>
      </c>
      <c r="E21" s="156">
        <v>50</v>
      </c>
      <c r="F21" s="156">
        <v>1</v>
      </c>
      <c r="G21" s="157">
        <f>_xll.qlRateHelperEarliestDate($A21,Trigger)</f>
        <v>42194</v>
      </c>
      <c r="H21" s="158">
        <f>_xll.qlRateHelperMaturityDate($A21,Trigger)</f>
        <v>43290</v>
      </c>
      <c r="I21" s="99"/>
    </row>
    <row r="22" spans="1:9" x14ac:dyDescent="0.2">
      <c r="A22" s="170" t="str">
        <f>SwapFromBasis!L5</f>
        <v>obj_00282#0000</v>
      </c>
      <c r="B22" s="150" t="str">
        <f>_xll.qlRateHelperQuoteName(A22)</f>
        <v>USD3FF3L4Y_LCHQuote</v>
      </c>
      <c r="C22" s="151">
        <f>_xll.qlRateHelperQuoteValue($A22,Trigger)</f>
        <v>1.2035000000000001E-2</v>
      </c>
      <c r="D22" s="14" t="b">
        <v>1</v>
      </c>
      <c r="E22" s="14">
        <v>50</v>
      </c>
      <c r="F22" s="14">
        <v>1</v>
      </c>
      <c r="G22" s="152">
        <f>_xll.qlRateHelperEarliestDate($A22,Trigger)</f>
        <v>42194</v>
      </c>
      <c r="H22" s="153">
        <f>_xll.qlRateHelperMaturityDate($A22,Trigger)</f>
        <v>43655</v>
      </c>
      <c r="I22" s="99"/>
    </row>
    <row r="23" spans="1:9" x14ac:dyDescent="0.2">
      <c r="A23" s="171" t="str">
        <f>SwapFromBasis!L6</f>
        <v>obj_00291#0000</v>
      </c>
      <c r="B23" s="150" t="str">
        <f>_xll.qlRateHelperQuoteName(A23)</f>
        <v>USD3FF3L5Y_LCHQuote</v>
      </c>
      <c r="C23" s="151">
        <f>_xll.qlRateHelperQuoteValue($A23,Trigger)</f>
        <v>1.43225E-2</v>
      </c>
      <c r="D23" s="14" t="b">
        <v>1</v>
      </c>
      <c r="E23" s="14">
        <v>50</v>
      </c>
      <c r="F23" s="14">
        <v>1</v>
      </c>
      <c r="G23" s="152">
        <f>_xll.qlRateHelperEarliestDate($A23,Trigger)</f>
        <v>42194</v>
      </c>
      <c r="H23" s="153">
        <f>_xll.qlRateHelperMaturityDate($A23,Trigger)</f>
        <v>44021</v>
      </c>
      <c r="I23" s="99"/>
    </row>
    <row r="24" spans="1:9" x14ac:dyDescent="0.2">
      <c r="A24" s="171" t="str">
        <f>SwapFromBasis!L7</f>
        <v>obj_00289#0000</v>
      </c>
      <c r="B24" s="150" t="str">
        <f>_xll.qlRateHelperQuoteName(A24)</f>
        <v>USD3FF3L6Y_LCHQuote</v>
      </c>
      <c r="C24" s="151">
        <f>_xll.qlRateHelperQuoteValue($A24,Trigger)</f>
        <v>1.6249699999999999E-2</v>
      </c>
      <c r="D24" s="14" t="b">
        <v>1</v>
      </c>
      <c r="E24" s="14">
        <v>50</v>
      </c>
      <c r="F24" s="14">
        <v>1</v>
      </c>
      <c r="G24" s="152">
        <f>_xll.qlRateHelperEarliestDate($A24,Trigger)</f>
        <v>42194</v>
      </c>
      <c r="H24" s="153">
        <f>_xll.qlRateHelperMaturityDate($A24,Trigger)</f>
        <v>44386</v>
      </c>
      <c r="I24" s="99"/>
    </row>
    <row r="25" spans="1:9" x14ac:dyDescent="0.2">
      <c r="A25" s="171" t="str">
        <f>SwapFromBasis!L8</f>
        <v>obj_00283#0000</v>
      </c>
      <c r="B25" s="150" t="str">
        <f>_xll.qlRateHelperQuoteName(A25)</f>
        <v>USD3FF3L7Y_LCHQuote</v>
      </c>
      <c r="C25" s="151">
        <f>_xll.qlRateHelperQuoteValue($A25,Trigger)</f>
        <v>1.7824E-2</v>
      </c>
      <c r="D25" s="14" t="b">
        <v>1</v>
      </c>
      <c r="E25" s="14">
        <v>50</v>
      </c>
      <c r="F25" s="14">
        <v>1</v>
      </c>
      <c r="G25" s="152">
        <f>_xll.qlRateHelperEarliestDate($A25,Trigger)</f>
        <v>42194</v>
      </c>
      <c r="H25" s="153">
        <f>_xll.qlRateHelperMaturityDate($A25,Trigger)</f>
        <v>44753</v>
      </c>
      <c r="I25" s="99"/>
    </row>
    <row r="26" spans="1:9" x14ac:dyDescent="0.2">
      <c r="A26" s="171" t="str">
        <f>SwapFromBasis!L9</f>
        <v>obj_0027f#0000</v>
      </c>
      <c r="B26" s="150" t="str">
        <f>_xll.qlRateHelperQuoteName(A26)</f>
        <v>USD3FF3L8Y_LCHQuote</v>
      </c>
      <c r="C26" s="151">
        <f>_xll.qlRateHelperQuoteValue($A26,Trigger)</f>
        <v>1.9099674300000001E-2</v>
      </c>
      <c r="D26" s="14" t="b">
        <v>1</v>
      </c>
      <c r="E26" s="14">
        <v>50</v>
      </c>
      <c r="F26" s="14">
        <v>1</v>
      </c>
      <c r="G26" s="152">
        <f>_xll.qlRateHelperEarliestDate($A26,Trigger)</f>
        <v>42194</v>
      </c>
      <c r="H26" s="153">
        <f>_xll.qlRateHelperMaturityDate($A26,Trigger)</f>
        <v>45117</v>
      </c>
      <c r="I26" s="99"/>
    </row>
    <row r="27" spans="1:9" x14ac:dyDescent="0.2">
      <c r="A27" s="171" t="str">
        <f>SwapFromBasis!L10</f>
        <v>obj_0028d#0000</v>
      </c>
      <c r="B27" s="150" t="str">
        <f>_xll.qlRateHelperQuoteName(A27)</f>
        <v>USD3FF3L9Y_LCHQuote</v>
      </c>
      <c r="C27" s="151">
        <f>_xll.qlRateHelperQuoteValue($A27,Trigger)</f>
        <v>2.0153425700000002E-2</v>
      </c>
      <c r="D27" s="14" t="b">
        <v>1</v>
      </c>
      <c r="E27" s="14">
        <v>50</v>
      </c>
      <c r="F27" s="14">
        <v>1</v>
      </c>
      <c r="G27" s="152">
        <f>_xll.qlRateHelperEarliestDate($A27,Trigger)</f>
        <v>42194</v>
      </c>
      <c r="H27" s="153">
        <f>_xll.qlRateHelperMaturityDate($A27,Trigger)</f>
        <v>45482</v>
      </c>
      <c r="I27" s="99"/>
    </row>
    <row r="28" spans="1:9" x14ac:dyDescent="0.2">
      <c r="A28" s="171" t="str">
        <f>SwapFromBasis!L11</f>
        <v>obj_00288#0000</v>
      </c>
      <c r="B28" s="150" t="str">
        <f>_xll.qlRateHelperQuoteName(A28)</f>
        <v>USD3FF3L10Y_LCHQuote</v>
      </c>
      <c r="C28" s="151">
        <f>_xll.qlRateHelperQuoteValue($A28,Trigger)</f>
        <v>2.1037E-2</v>
      </c>
      <c r="D28" s="14" t="b">
        <v>1</v>
      </c>
      <c r="E28" s="14">
        <v>50</v>
      </c>
      <c r="F28" s="14">
        <v>1</v>
      </c>
      <c r="G28" s="152">
        <f>_xll.qlRateHelperEarliestDate($A28,Trigger)</f>
        <v>42194</v>
      </c>
      <c r="H28" s="153">
        <f>_xll.qlRateHelperMaturityDate($A28,Trigger)</f>
        <v>45847</v>
      </c>
      <c r="I28" s="99"/>
    </row>
    <row r="29" spans="1:9" x14ac:dyDescent="0.2">
      <c r="A29" s="171" t="str">
        <f>SwapFromBasis!L12</f>
        <v>obj_00280#0000</v>
      </c>
      <c r="B29" s="150" t="str">
        <f>_xll.qlRateHelperQuoteName(A29)</f>
        <v>USD3FF3L12Y_LCHQuote</v>
      </c>
      <c r="C29" s="151">
        <f>_xll.qlRateHelperQuoteValue($A29,Trigger)</f>
        <v>2.2411250000000001E-2</v>
      </c>
      <c r="D29" s="14" t="b">
        <v>1</v>
      </c>
      <c r="E29" s="14">
        <v>50</v>
      </c>
      <c r="F29" s="14">
        <v>1</v>
      </c>
      <c r="G29" s="152">
        <f>_xll.qlRateHelperEarliestDate($A29,Trigger)</f>
        <v>42194</v>
      </c>
      <c r="H29" s="153">
        <f>_xll.qlRateHelperMaturityDate($A29,Trigger)</f>
        <v>46577</v>
      </c>
      <c r="I29" s="99"/>
    </row>
    <row r="30" spans="1:9" x14ac:dyDescent="0.2">
      <c r="A30" s="171" t="str">
        <f>SwapFromBasis!L13</f>
        <v>obj_0028e#0000</v>
      </c>
      <c r="B30" s="150" t="str">
        <f>_xll.qlRateHelperQuoteName(A30)</f>
        <v>USD3FF3L15Y_LCHQuote</v>
      </c>
      <c r="C30" s="151">
        <f>_xll.qlRateHelperQuoteValue($A30,Trigger)</f>
        <v>2.3694125E-2</v>
      </c>
      <c r="D30" s="14" t="b">
        <v>1</v>
      </c>
      <c r="E30" s="14">
        <v>50</v>
      </c>
      <c r="F30" s="14">
        <v>1</v>
      </c>
      <c r="G30" s="152">
        <f>_xll.qlRateHelperEarliestDate($A30,Trigger)</f>
        <v>42194</v>
      </c>
      <c r="H30" s="153">
        <f>_xll.qlRateHelperMaturityDate($A30,Trigger)</f>
        <v>47673</v>
      </c>
      <c r="I30" s="99"/>
    </row>
    <row r="31" spans="1:9" x14ac:dyDescent="0.2">
      <c r="A31" s="171" t="str">
        <f>SwapFromBasis!L14</f>
        <v>obj_00290#0000</v>
      </c>
      <c r="B31" s="150" t="str">
        <f>_xll.qlRateHelperQuoteName(A31)</f>
        <v>USD3FF3L20Y_LCHQuote</v>
      </c>
      <c r="C31" s="151">
        <f>_xll.qlRateHelperQuoteValue($A31,Trigger)</f>
        <v>2.48963E-2</v>
      </c>
      <c r="D31" s="14" t="b">
        <v>1</v>
      </c>
      <c r="E31" s="14">
        <v>50</v>
      </c>
      <c r="F31" s="14">
        <v>1</v>
      </c>
      <c r="G31" s="152">
        <f>_xll.qlRateHelperEarliestDate($A31,Trigger)</f>
        <v>42194</v>
      </c>
      <c r="H31" s="153">
        <f>_xll.qlRateHelperMaturityDate($A31,Trigger)</f>
        <v>49499</v>
      </c>
      <c r="I31" s="99"/>
    </row>
    <row r="32" spans="1:9" x14ac:dyDescent="0.2">
      <c r="A32" s="171" t="str">
        <f>SwapFromBasis!L15</f>
        <v>obj_00286#0000</v>
      </c>
      <c r="B32" s="150" t="str">
        <f>_xll.qlRateHelperQuoteName(A32)</f>
        <v>USD3FF3L25Y_LCHQuote</v>
      </c>
      <c r="C32" s="151">
        <f>_xll.qlRateHelperQuoteValue($A32,Trigger)</f>
        <v>2.5461125000000001E-2</v>
      </c>
      <c r="D32" s="14" t="b">
        <v>1</v>
      </c>
      <c r="E32" s="14">
        <v>50</v>
      </c>
      <c r="F32" s="14">
        <v>1</v>
      </c>
      <c r="G32" s="152">
        <f>_xll.qlRateHelperEarliestDate($A32,Trigger)</f>
        <v>42194</v>
      </c>
      <c r="H32" s="153">
        <f>_xll.qlRateHelperMaturityDate($A32,Trigger)</f>
        <v>51326</v>
      </c>
      <c r="I32" s="99"/>
    </row>
    <row r="33" spans="1:9" x14ac:dyDescent="0.2">
      <c r="A33" s="171" t="str">
        <f>SwapFromBasis!L16</f>
        <v>obj_00281#0000</v>
      </c>
      <c r="B33" s="150" t="str">
        <f>_xll.qlRateHelperQuoteName(A33)</f>
        <v>USD3FF3L30Y_LCHQuote</v>
      </c>
      <c r="C33" s="151">
        <f>_xll.qlRateHelperQuoteValue($A33,Trigger)</f>
        <v>2.57878E-2</v>
      </c>
      <c r="D33" s="14" t="b">
        <v>1</v>
      </c>
      <c r="E33" s="14">
        <v>50</v>
      </c>
      <c r="F33" s="14">
        <v>1</v>
      </c>
      <c r="G33" s="152">
        <f>_xll.qlRateHelperEarliestDate($A33,Trigger)</f>
        <v>42194</v>
      </c>
      <c r="H33" s="153">
        <f>_xll.qlRateHelperMaturityDate($A33,Trigger)</f>
        <v>53153</v>
      </c>
      <c r="I33" s="99"/>
    </row>
    <row r="34" spans="1:9" x14ac:dyDescent="0.2">
      <c r="A34" s="171" t="str">
        <f>SwapFromBasis!L17</f>
        <v>obj_00292#0000</v>
      </c>
      <c r="B34" s="150" t="str">
        <f>_xll.qlRateHelperQuoteName(A34)</f>
        <v>USD3FF3L40Y_LCHQuote</v>
      </c>
      <c r="C34" s="151">
        <f>_xll.qlRateHelperQuoteValue($A34,Trigger)</f>
        <v>2.5954999999999999E-2</v>
      </c>
      <c r="D34" s="14" t="b">
        <v>1</v>
      </c>
      <c r="E34" s="14">
        <v>50</v>
      </c>
      <c r="F34" s="14">
        <v>1</v>
      </c>
      <c r="G34" s="152">
        <f>_xll.qlRateHelperEarliestDate($A34,Trigger)</f>
        <v>42194</v>
      </c>
      <c r="H34" s="153">
        <f>_xll.qlRateHelperMaturityDate($A34,Trigger)</f>
        <v>56804</v>
      </c>
      <c r="I34" s="99"/>
    </row>
    <row r="35" spans="1:9" x14ac:dyDescent="0.2">
      <c r="A35" s="171" t="str">
        <f>SwapFromBasis!L18</f>
        <v>obj_0028b#0000</v>
      </c>
      <c r="B35" s="150" t="str">
        <f>_xll.qlRateHelperQuoteName(A35)</f>
        <v>USD3FF3L50Y_LCHQuote</v>
      </c>
      <c r="C35" s="151">
        <f>_xll.qlRateHelperQuoteValue($A35,Trigger)</f>
        <v>2.579E-2</v>
      </c>
      <c r="D35" s="14" t="b">
        <v>1</v>
      </c>
      <c r="E35" s="14">
        <v>50</v>
      </c>
      <c r="F35" s="14">
        <v>1</v>
      </c>
      <c r="G35" s="152">
        <f>_xll.qlRateHelperEarliestDate($A35,Trigger)</f>
        <v>42194</v>
      </c>
      <c r="H35" s="153">
        <f>_xll.qlRateHelperMaturityDate($A35,Trigger)</f>
        <v>60457</v>
      </c>
      <c r="I35" s="99"/>
    </row>
    <row r="36" spans="1:9" x14ac:dyDescent="0.2">
      <c r="A36" s="172" t="str">
        <f>SwapFromBasis!L19</f>
        <v>obj_00285#0000</v>
      </c>
      <c r="B36" s="159" t="str">
        <f>_xll.qlRateHelperQuoteName(A36)</f>
        <v>USD3FF3L60Y_LCHQuote</v>
      </c>
      <c r="C36" s="160">
        <f>_xll.qlRateHelperQuoteValue($A36,Trigger)</f>
        <v>2.6120000000000001E-2</v>
      </c>
      <c r="D36" s="161" t="b">
        <v>1</v>
      </c>
      <c r="E36" s="161">
        <v>50</v>
      </c>
      <c r="F36" s="161">
        <v>1</v>
      </c>
      <c r="G36" s="162">
        <f>_xll.qlRateHelperEarliestDate($A36,Trigger)</f>
        <v>42194</v>
      </c>
      <c r="H36" s="163">
        <f>_xll.qlRateHelperMaturityDate($A36,Trigger)</f>
        <v>64109</v>
      </c>
      <c r="I36" s="99"/>
    </row>
    <row r="37" spans="1:9" ht="12" thickBot="1" x14ac:dyDescent="0.25">
      <c r="A37" s="164"/>
      <c r="B37" s="165"/>
      <c r="C37" s="165"/>
      <c r="D37" s="165"/>
      <c r="E37" s="165"/>
      <c r="F37" s="165"/>
      <c r="G37" s="165"/>
      <c r="H37" s="165"/>
      <c r="I37" s="166"/>
    </row>
    <row r="38" spans="1:9" x14ac:dyDescent="0.2">
      <c r="A38" s="167"/>
    </row>
    <row r="39" spans="1:9" x14ac:dyDescent="0.2">
      <c r="A39" s="167"/>
    </row>
    <row r="40" spans="1:9" x14ac:dyDescent="0.2">
      <c r="A40" s="167"/>
    </row>
    <row r="41" spans="1:9" x14ac:dyDescent="0.2">
      <c r="A41" s="167"/>
    </row>
    <row r="42" spans="1:9" x14ac:dyDescent="0.2">
      <c r="A42" s="167"/>
    </row>
    <row r="43" spans="1:9" x14ac:dyDescent="0.2">
      <c r="A43" s="167"/>
    </row>
    <row r="44" spans="1:9" x14ac:dyDescent="0.2">
      <c r="A44" s="167"/>
    </row>
    <row r="45" spans="1:9" x14ac:dyDescent="0.2">
      <c r="A45" s="167"/>
    </row>
    <row r="46" spans="1:9" x14ac:dyDescent="0.2">
      <c r="A46" s="167"/>
    </row>
    <row r="47" spans="1:9" x14ac:dyDescent="0.2">
      <c r="A47" s="167"/>
    </row>
    <row r="48" spans="1:9" x14ac:dyDescent="0.2">
      <c r="A48" s="167"/>
    </row>
    <row r="49" spans="1:9" x14ac:dyDescent="0.2">
      <c r="A49" s="167"/>
    </row>
    <row r="50" spans="1:9" x14ac:dyDescent="0.2">
      <c r="A50" s="167"/>
    </row>
    <row r="51" spans="1:9" x14ac:dyDescent="0.2">
      <c r="A51" s="167"/>
    </row>
    <row r="52" spans="1:9" x14ac:dyDescent="0.2">
      <c r="A52" s="167"/>
    </row>
    <row r="53" spans="1:9" x14ac:dyDescent="0.2">
      <c r="A53" s="167"/>
    </row>
    <row r="54" spans="1:9" x14ac:dyDescent="0.2">
      <c r="A54" s="167"/>
      <c r="I54" s="167"/>
    </row>
    <row r="55" spans="1:9" x14ac:dyDescent="0.2">
      <c r="A55" s="167"/>
      <c r="I55" s="167"/>
    </row>
    <row r="56" spans="1:9" x14ac:dyDescent="0.2">
      <c r="A56" s="167"/>
      <c r="I56" s="167"/>
    </row>
    <row r="57" spans="1:9" x14ac:dyDescent="0.2">
      <c r="A57" s="167"/>
      <c r="I57" s="167"/>
    </row>
    <row r="58" spans="1:9" x14ac:dyDescent="0.2">
      <c r="A58" s="167"/>
      <c r="I58" s="167"/>
    </row>
    <row r="59" spans="1:9" x14ac:dyDescent="0.2">
      <c r="A59" s="167"/>
      <c r="I59" s="167"/>
    </row>
    <row r="60" spans="1:9" x14ac:dyDescent="0.2">
      <c r="A60" s="167"/>
      <c r="I60" s="167"/>
    </row>
    <row r="61" spans="1:9" x14ac:dyDescent="0.2">
      <c r="A61" s="167"/>
      <c r="I61" s="167"/>
    </row>
    <row r="62" spans="1:9" x14ac:dyDescent="0.2">
      <c r="A62" s="167"/>
      <c r="I62" s="167"/>
    </row>
    <row r="63" spans="1:9" x14ac:dyDescent="0.2">
      <c r="A63" s="167"/>
      <c r="I63" s="167"/>
    </row>
    <row r="64" spans="1:9" x14ac:dyDescent="0.2">
      <c r="A64" s="167"/>
      <c r="I64" s="167"/>
    </row>
    <row r="65" spans="1:9" x14ac:dyDescent="0.2">
      <c r="A65" s="167"/>
      <c r="I65" s="167"/>
    </row>
    <row r="66" spans="1:9" x14ac:dyDescent="0.2">
      <c r="A66" s="167"/>
      <c r="I66" s="167"/>
    </row>
    <row r="67" spans="1:9" x14ac:dyDescent="0.2">
      <c r="A67" s="167"/>
      <c r="I67" s="167"/>
    </row>
    <row r="68" spans="1:9" x14ac:dyDescent="0.2">
      <c r="A68" s="167"/>
    </row>
    <row r="69" spans="1:9" x14ac:dyDescent="0.2">
      <c r="A69" s="167"/>
    </row>
    <row r="70" spans="1:9" x14ac:dyDescent="0.2">
      <c r="A70" s="167"/>
    </row>
    <row r="71" spans="1:9" x14ac:dyDescent="0.2">
      <c r="A71" s="167"/>
    </row>
    <row r="72" spans="1:9" x14ac:dyDescent="0.2">
      <c r="A72" s="167"/>
    </row>
    <row r="73" spans="1:9" x14ac:dyDescent="0.2">
      <c r="A73" s="167"/>
    </row>
    <row r="74" spans="1:9" x14ac:dyDescent="0.2">
      <c r="A74" s="167"/>
    </row>
    <row r="75" spans="1:9" x14ac:dyDescent="0.2">
      <c r="A75" s="167"/>
    </row>
    <row r="76" spans="1:9" x14ac:dyDescent="0.2">
      <c r="A76" s="167"/>
    </row>
    <row r="77" spans="1:9" x14ac:dyDescent="0.2">
      <c r="A77" s="167"/>
    </row>
    <row r="78" spans="1:9" x14ac:dyDescent="0.2">
      <c r="A78" s="167"/>
    </row>
    <row r="79" spans="1:9" x14ac:dyDescent="0.2">
      <c r="A79" s="167"/>
      <c r="B79" s="149"/>
      <c r="C79" s="149"/>
      <c r="D79" s="149"/>
      <c r="E79" s="149"/>
      <c r="F79" s="149"/>
      <c r="G79" s="149"/>
      <c r="H79" s="149"/>
    </row>
    <row r="80" spans="1:9" x14ac:dyDescent="0.2">
      <c r="A80" s="167"/>
      <c r="B80" s="149"/>
      <c r="C80" s="149"/>
      <c r="D80" s="149"/>
      <c r="E80" s="149"/>
      <c r="F80" s="149"/>
      <c r="G80" s="149"/>
      <c r="H80" s="149"/>
    </row>
    <row r="81" spans="1:8" x14ac:dyDescent="0.2">
      <c r="B81" s="149"/>
      <c r="C81" s="149"/>
      <c r="D81" s="149"/>
      <c r="E81" s="149"/>
      <c r="F81" s="149"/>
      <c r="G81" s="149"/>
      <c r="H81" s="149"/>
    </row>
    <row r="82" spans="1:8" x14ac:dyDescent="0.2">
      <c r="B82" s="149"/>
      <c r="C82" s="149"/>
      <c r="D82" s="149"/>
      <c r="E82" s="149"/>
      <c r="F82" s="149"/>
      <c r="G82" s="149"/>
      <c r="H82" s="149"/>
    </row>
    <row r="83" spans="1:8" x14ac:dyDescent="0.2">
      <c r="B83" s="149"/>
      <c r="C83" s="149"/>
      <c r="D83" s="149"/>
      <c r="E83" s="149"/>
      <c r="F83" s="149"/>
      <c r="G83" s="149"/>
      <c r="H83" s="149"/>
    </row>
    <row r="84" spans="1:8" x14ac:dyDescent="0.2">
      <c r="B84" s="149"/>
      <c r="C84" s="149"/>
      <c r="D84" s="149"/>
      <c r="E84" s="149"/>
      <c r="F84" s="149"/>
      <c r="G84" s="149"/>
      <c r="H84" s="149"/>
    </row>
    <row r="85" spans="1:8" x14ac:dyDescent="0.2">
      <c r="B85" s="149"/>
      <c r="C85" s="149"/>
      <c r="D85" s="149"/>
      <c r="E85" s="149"/>
      <c r="F85" s="149"/>
      <c r="G85" s="149"/>
      <c r="H85" s="149"/>
    </row>
    <row r="86" spans="1:8" x14ac:dyDescent="0.2">
      <c r="B86" s="149"/>
      <c r="C86" s="149"/>
      <c r="D86" s="149"/>
      <c r="E86" s="149"/>
      <c r="F86" s="149"/>
      <c r="G86" s="149"/>
      <c r="H86" s="149"/>
    </row>
    <row r="87" spans="1:8" x14ac:dyDescent="0.2">
      <c r="B87" s="149"/>
      <c r="C87" s="149"/>
      <c r="D87" s="149"/>
      <c r="E87" s="149"/>
      <c r="F87" s="149"/>
      <c r="G87" s="149"/>
      <c r="H87" s="149"/>
    </row>
    <row r="88" spans="1:8" x14ac:dyDescent="0.2">
      <c r="B88" s="149"/>
      <c r="C88" s="149"/>
      <c r="D88" s="149"/>
      <c r="E88" s="149"/>
      <c r="F88" s="149"/>
      <c r="G88" s="149"/>
      <c r="H88" s="149"/>
    </row>
    <row r="89" spans="1:8" x14ac:dyDescent="0.2">
      <c r="B89" s="149"/>
      <c r="C89" s="149"/>
      <c r="D89" s="149"/>
      <c r="E89" s="149"/>
      <c r="F89" s="149"/>
      <c r="G89" s="149"/>
      <c r="H89" s="149"/>
    </row>
    <row r="90" spans="1:8" x14ac:dyDescent="0.2">
      <c r="B90" s="149"/>
      <c r="C90" s="149"/>
      <c r="D90" s="149"/>
      <c r="E90" s="149"/>
      <c r="F90" s="149"/>
      <c r="G90" s="149"/>
      <c r="H90" s="149"/>
    </row>
    <row r="91" spans="1:8" x14ac:dyDescent="0.2">
      <c r="B91" s="149"/>
      <c r="C91" s="149"/>
      <c r="D91" s="149"/>
      <c r="E91" s="149"/>
      <c r="F91" s="149"/>
      <c r="G91" s="149"/>
      <c r="H91" s="149"/>
    </row>
    <row r="92" spans="1:8" x14ac:dyDescent="0.2">
      <c r="B92" s="149"/>
      <c r="C92" s="149"/>
      <c r="D92" s="149"/>
      <c r="E92" s="149"/>
      <c r="F92" s="149"/>
      <c r="G92" s="149"/>
      <c r="H92" s="149"/>
    </row>
    <row r="93" spans="1:8" x14ac:dyDescent="0.2">
      <c r="B93" s="149"/>
      <c r="C93" s="149"/>
      <c r="D93" s="149"/>
      <c r="E93" s="149"/>
      <c r="F93" s="149"/>
      <c r="G93" s="149"/>
      <c r="H93" s="149"/>
    </row>
    <row r="94" spans="1:8" x14ac:dyDescent="0.2">
      <c r="B94" s="149"/>
      <c r="C94" s="149"/>
      <c r="D94" s="149"/>
      <c r="E94" s="149"/>
      <c r="F94" s="149"/>
      <c r="G94" s="149"/>
      <c r="H94" s="149"/>
    </row>
    <row r="95" spans="1:8" x14ac:dyDescent="0.2">
      <c r="A95" s="149"/>
      <c r="B95" s="149"/>
      <c r="C95" s="149"/>
      <c r="D95" s="149"/>
      <c r="E95" s="149"/>
      <c r="F95" s="149"/>
      <c r="G95" s="149"/>
      <c r="H95" s="149"/>
    </row>
    <row r="96" spans="1:8" x14ac:dyDescent="0.2">
      <c r="A96" s="149"/>
      <c r="B96" s="149"/>
      <c r="C96" s="149"/>
      <c r="D96" s="149"/>
      <c r="E96" s="149"/>
      <c r="F96" s="149"/>
      <c r="G96" s="149"/>
      <c r="H96" s="149"/>
    </row>
    <row r="97" spans="1:8" x14ac:dyDescent="0.2">
      <c r="A97" s="149"/>
      <c r="B97" s="149"/>
      <c r="C97" s="149"/>
      <c r="D97" s="149"/>
      <c r="E97" s="149"/>
      <c r="F97" s="149"/>
      <c r="G97" s="149"/>
      <c r="H97" s="149"/>
    </row>
    <row r="98" spans="1:8" x14ac:dyDescent="0.2">
      <c r="A98" s="149"/>
      <c r="B98" s="149"/>
      <c r="C98" s="149"/>
      <c r="D98" s="149"/>
      <c r="E98" s="149"/>
      <c r="F98" s="149"/>
      <c r="G98" s="149"/>
      <c r="H98" s="149"/>
    </row>
    <row r="99" spans="1:8" x14ac:dyDescent="0.2">
      <c r="A99" s="149"/>
      <c r="B99" s="149"/>
      <c r="C99" s="149"/>
      <c r="D99" s="149"/>
      <c r="E99" s="149"/>
      <c r="F99" s="149"/>
      <c r="G99" s="149"/>
      <c r="H99" s="149"/>
    </row>
    <row r="100" spans="1:8" x14ac:dyDescent="0.2">
      <c r="A100" s="149"/>
      <c r="B100" s="149"/>
      <c r="C100" s="149"/>
      <c r="D100" s="149"/>
      <c r="E100" s="149"/>
      <c r="F100" s="149"/>
      <c r="G100" s="149"/>
      <c r="H100" s="149"/>
    </row>
    <row r="101" spans="1:8" x14ac:dyDescent="0.2">
      <c r="A101" s="149"/>
      <c r="B101" s="149"/>
      <c r="C101" s="149"/>
      <c r="D101" s="149"/>
      <c r="E101" s="149"/>
      <c r="F101" s="149"/>
      <c r="G101" s="149"/>
      <c r="H101" s="149"/>
    </row>
    <row r="102" spans="1:8" x14ac:dyDescent="0.2">
      <c r="A102" s="149"/>
      <c r="B102" s="149"/>
      <c r="C102" s="149"/>
      <c r="D102" s="149"/>
      <c r="E102" s="149"/>
      <c r="F102" s="149"/>
      <c r="G102" s="149"/>
      <c r="H102" s="149"/>
    </row>
    <row r="103" spans="1:8" x14ac:dyDescent="0.2">
      <c r="A103" s="149"/>
      <c r="B103" s="149"/>
      <c r="C103" s="149"/>
      <c r="D103" s="149"/>
      <c r="E103" s="149"/>
      <c r="F103" s="149"/>
      <c r="G103" s="149"/>
      <c r="H103" s="149"/>
    </row>
    <row r="104" spans="1:8" x14ac:dyDescent="0.2">
      <c r="A104" s="149"/>
      <c r="B104" s="149"/>
      <c r="C104" s="149"/>
      <c r="D104" s="149"/>
      <c r="E104" s="149"/>
      <c r="F104" s="149"/>
      <c r="G104" s="149"/>
      <c r="H104" s="149"/>
    </row>
    <row r="105" spans="1:8" x14ac:dyDescent="0.2">
      <c r="A105" s="149"/>
      <c r="B105" s="149"/>
      <c r="C105" s="149"/>
      <c r="D105" s="149"/>
      <c r="E105" s="149"/>
      <c r="F105" s="149"/>
      <c r="G105" s="149"/>
      <c r="H105" s="149"/>
    </row>
    <row r="106" spans="1:8" x14ac:dyDescent="0.2">
      <c r="A106" s="149"/>
      <c r="B106" s="149"/>
      <c r="C106" s="149"/>
      <c r="D106" s="149"/>
      <c r="E106" s="149"/>
      <c r="F106" s="149"/>
      <c r="G106" s="149"/>
      <c r="H106" s="149"/>
    </row>
    <row r="107" spans="1:8" x14ac:dyDescent="0.2">
      <c r="A107" s="149"/>
      <c r="B107" s="149"/>
      <c r="C107" s="149"/>
      <c r="D107" s="149"/>
      <c r="E107" s="149"/>
      <c r="F107" s="149"/>
      <c r="G107" s="149"/>
      <c r="H107" s="149"/>
    </row>
    <row r="108" spans="1:8" x14ac:dyDescent="0.2">
      <c r="A108" s="149"/>
      <c r="B108" s="149"/>
      <c r="C108" s="149"/>
      <c r="D108" s="149"/>
      <c r="E108" s="149"/>
      <c r="F108" s="149"/>
      <c r="G108" s="149"/>
      <c r="H108" s="149"/>
    </row>
    <row r="109" spans="1:8" x14ac:dyDescent="0.2">
      <c r="A109" s="149"/>
      <c r="B109" s="149"/>
      <c r="C109" s="149"/>
      <c r="D109" s="149"/>
      <c r="E109" s="149"/>
      <c r="F109" s="149"/>
      <c r="G109" s="149"/>
      <c r="H109" s="149"/>
    </row>
    <row r="110" spans="1:8" x14ac:dyDescent="0.2">
      <c r="A110" s="149"/>
      <c r="B110" s="149"/>
      <c r="C110" s="149"/>
      <c r="D110" s="149"/>
      <c r="E110" s="149"/>
      <c r="F110" s="149"/>
      <c r="G110" s="149"/>
      <c r="H110" s="149"/>
    </row>
    <row r="111" spans="1:8" x14ac:dyDescent="0.2">
      <c r="A111" s="149"/>
      <c r="B111" s="149"/>
      <c r="C111" s="149"/>
      <c r="D111" s="149"/>
      <c r="E111" s="149"/>
      <c r="F111" s="149"/>
      <c r="G111" s="149"/>
      <c r="H111" s="149"/>
    </row>
    <row r="112" spans="1:8" x14ac:dyDescent="0.2">
      <c r="A112" s="149"/>
      <c r="B112" s="149"/>
      <c r="C112" s="149"/>
      <c r="D112" s="149"/>
      <c r="E112" s="149"/>
      <c r="F112" s="149"/>
      <c r="G112" s="149"/>
      <c r="H112" s="149"/>
    </row>
    <row r="113" spans="1:8" x14ac:dyDescent="0.2">
      <c r="A113" s="149"/>
      <c r="B113" s="149"/>
      <c r="C113" s="149"/>
      <c r="D113" s="149"/>
      <c r="E113" s="149"/>
      <c r="F113" s="149"/>
      <c r="G113" s="149"/>
      <c r="H113" s="149"/>
    </row>
    <row r="114" spans="1:8" x14ac:dyDescent="0.2">
      <c r="A114" s="149"/>
      <c r="B114" s="149"/>
      <c r="C114" s="149"/>
      <c r="D114" s="149"/>
      <c r="E114" s="149"/>
      <c r="F114" s="149"/>
      <c r="G114" s="149"/>
      <c r="H114" s="149"/>
    </row>
    <row r="115" spans="1:8" x14ac:dyDescent="0.2">
      <c r="A115" s="149"/>
      <c r="B115" s="149"/>
      <c r="C115" s="149"/>
      <c r="D115" s="149"/>
      <c r="E115" s="149"/>
      <c r="F115" s="149"/>
      <c r="G115" s="149"/>
      <c r="H115" s="149"/>
    </row>
    <row r="116" spans="1:8" x14ac:dyDescent="0.2">
      <c r="A116" s="149"/>
      <c r="B116" s="149"/>
      <c r="C116" s="149"/>
      <c r="D116" s="149"/>
      <c r="E116" s="149"/>
      <c r="F116" s="149"/>
      <c r="G116" s="149"/>
      <c r="H116" s="149"/>
    </row>
    <row r="117" spans="1:8" x14ac:dyDescent="0.2">
      <c r="A117" s="149"/>
      <c r="B117" s="149"/>
      <c r="C117" s="149"/>
      <c r="D117" s="149"/>
      <c r="E117" s="149"/>
      <c r="F117" s="149"/>
      <c r="G117" s="149"/>
      <c r="H117" s="149"/>
    </row>
    <row r="118" spans="1:8" x14ac:dyDescent="0.2">
      <c r="A118" s="149"/>
      <c r="B118" s="149"/>
      <c r="C118" s="149"/>
      <c r="D118" s="149"/>
      <c r="E118" s="149"/>
      <c r="F118" s="149"/>
      <c r="G118" s="149"/>
      <c r="H118" s="149"/>
    </row>
    <row r="119" spans="1:8" x14ac:dyDescent="0.2">
      <c r="A119" s="149"/>
      <c r="B119" s="149"/>
      <c r="C119" s="149"/>
      <c r="D119" s="149"/>
      <c r="E119" s="149"/>
      <c r="F119" s="149"/>
      <c r="G119" s="149"/>
      <c r="H119" s="149"/>
    </row>
    <row r="120" spans="1:8" x14ac:dyDescent="0.2">
      <c r="A120" s="149"/>
      <c r="B120" s="149"/>
      <c r="C120" s="149"/>
      <c r="D120" s="149"/>
      <c r="E120" s="149"/>
      <c r="F120" s="149"/>
      <c r="G120" s="149"/>
      <c r="H120" s="149"/>
    </row>
    <row r="121" spans="1:8" x14ac:dyDescent="0.2">
      <c r="A121" s="149"/>
      <c r="B121" s="149"/>
      <c r="C121" s="149"/>
      <c r="D121" s="149"/>
      <c r="E121" s="149"/>
      <c r="F121" s="149"/>
      <c r="G121" s="149"/>
      <c r="H121" s="149"/>
    </row>
    <row r="122" spans="1:8" x14ac:dyDescent="0.2">
      <c r="A122" s="149"/>
      <c r="B122" s="149"/>
      <c r="C122" s="149"/>
      <c r="D122" s="149"/>
      <c r="E122" s="149"/>
      <c r="F122" s="149"/>
      <c r="G122" s="149"/>
      <c r="H122" s="149"/>
    </row>
    <row r="123" spans="1:8" x14ac:dyDescent="0.2">
      <c r="A123" s="149"/>
      <c r="B123" s="149"/>
      <c r="C123" s="149"/>
      <c r="D123" s="149"/>
      <c r="E123" s="149"/>
      <c r="F123" s="149"/>
      <c r="G123" s="149"/>
      <c r="H123" s="149"/>
    </row>
    <row r="124" spans="1:8" x14ac:dyDescent="0.2">
      <c r="A124" s="149"/>
      <c r="B124" s="149"/>
      <c r="C124" s="149"/>
      <c r="D124" s="149"/>
      <c r="E124" s="149"/>
      <c r="F124" s="149"/>
      <c r="G124" s="149"/>
      <c r="H124" s="149"/>
    </row>
    <row r="125" spans="1:8" x14ac:dyDescent="0.2">
      <c r="A125" s="149"/>
      <c r="B125" s="149"/>
      <c r="C125" s="149"/>
      <c r="D125" s="149"/>
      <c r="E125" s="149"/>
      <c r="F125" s="149"/>
      <c r="G125" s="149"/>
      <c r="H125" s="149"/>
    </row>
    <row r="126" spans="1:8" x14ac:dyDescent="0.2">
      <c r="A126" s="149"/>
      <c r="B126" s="149"/>
      <c r="C126" s="149"/>
      <c r="D126" s="149"/>
      <c r="E126" s="149"/>
      <c r="F126" s="149"/>
      <c r="G126" s="149"/>
      <c r="H126" s="149"/>
    </row>
    <row r="127" spans="1:8" x14ac:dyDescent="0.2">
      <c r="A127" s="149"/>
      <c r="B127" s="149"/>
      <c r="C127" s="149"/>
      <c r="D127" s="149"/>
      <c r="E127" s="149"/>
      <c r="F127" s="149"/>
      <c r="G127" s="149"/>
      <c r="H127" s="149"/>
    </row>
    <row r="128" spans="1:8" x14ac:dyDescent="0.2">
      <c r="A128" s="149"/>
      <c r="B128" s="149"/>
      <c r="C128" s="149"/>
      <c r="D128" s="149"/>
      <c r="E128" s="149"/>
      <c r="F128" s="149"/>
      <c r="G128" s="149"/>
      <c r="H128" s="149"/>
    </row>
    <row r="129" spans="1:8" x14ac:dyDescent="0.2">
      <c r="A129" s="149"/>
      <c r="B129" s="149"/>
      <c r="C129" s="149"/>
      <c r="D129" s="149"/>
      <c r="E129" s="149"/>
      <c r="F129" s="149"/>
      <c r="G129" s="149"/>
      <c r="H129" s="149"/>
    </row>
    <row r="130" spans="1:8" x14ac:dyDescent="0.2">
      <c r="A130" s="149"/>
      <c r="B130" s="149"/>
      <c r="C130" s="149"/>
      <c r="D130" s="149"/>
      <c r="E130" s="149"/>
      <c r="F130" s="149"/>
      <c r="G130" s="149"/>
      <c r="H130" s="149"/>
    </row>
    <row r="131" spans="1:8" x14ac:dyDescent="0.2">
      <c r="A131" s="149"/>
      <c r="B131" s="149"/>
      <c r="C131" s="149"/>
      <c r="D131" s="149"/>
      <c r="E131" s="149"/>
      <c r="F131" s="149"/>
      <c r="G131" s="149"/>
      <c r="H131" s="149"/>
    </row>
    <row r="132" spans="1:8" x14ac:dyDescent="0.2">
      <c r="A132" s="149"/>
      <c r="B132" s="149"/>
      <c r="C132" s="149"/>
      <c r="D132" s="149"/>
      <c r="E132" s="149"/>
      <c r="F132" s="149"/>
      <c r="G132" s="149"/>
      <c r="H132" s="149"/>
    </row>
    <row r="133" spans="1:8" x14ac:dyDescent="0.2">
      <c r="A133" s="149"/>
      <c r="B133" s="149"/>
      <c r="C133" s="149"/>
      <c r="D133" s="149"/>
      <c r="E133" s="149"/>
      <c r="F133" s="149"/>
      <c r="G133" s="149"/>
      <c r="H133" s="149"/>
    </row>
    <row r="134" spans="1:8" x14ac:dyDescent="0.2">
      <c r="A134" s="149"/>
      <c r="B134" s="149"/>
      <c r="C134" s="149"/>
      <c r="D134" s="149"/>
      <c r="E134" s="149"/>
      <c r="F134" s="149"/>
      <c r="G134" s="149"/>
      <c r="H134" s="149"/>
    </row>
    <row r="135" spans="1:8" x14ac:dyDescent="0.2">
      <c r="A135" s="149"/>
      <c r="B135" s="149"/>
      <c r="C135" s="149"/>
      <c r="D135" s="149"/>
      <c r="E135" s="149"/>
      <c r="F135" s="149"/>
      <c r="G135" s="149"/>
      <c r="H135" s="149"/>
    </row>
    <row r="136" spans="1:8" x14ac:dyDescent="0.2">
      <c r="A136" s="149"/>
      <c r="B136" s="149"/>
      <c r="C136" s="149"/>
      <c r="D136" s="149"/>
      <c r="E136" s="149"/>
      <c r="F136" s="149"/>
      <c r="G136" s="149"/>
      <c r="H136" s="149"/>
    </row>
    <row r="137" spans="1:8" x14ac:dyDescent="0.2">
      <c r="A137" s="149"/>
      <c r="B137" s="149"/>
      <c r="C137" s="149"/>
      <c r="D137" s="149"/>
      <c r="E137" s="149"/>
      <c r="F137" s="149"/>
      <c r="G137" s="149"/>
      <c r="H137" s="149"/>
    </row>
    <row r="138" spans="1:8" x14ac:dyDescent="0.2">
      <c r="A138" s="149"/>
      <c r="B138" s="149"/>
      <c r="C138" s="149"/>
      <c r="D138" s="149"/>
      <c r="E138" s="149"/>
      <c r="F138" s="149"/>
      <c r="G138" s="149"/>
      <c r="H138" s="149"/>
    </row>
    <row r="139" spans="1:8" x14ac:dyDescent="0.2">
      <c r="A139" s="149"/>
      <c r="B139" s="149"/>
      <c r="C139" s="149"/>
      <c r="D139" s="149"/>
      <c r="E139" s="149"/>
      <c r="F139" s="149"/>
      <c r="G139" s="149"/>
      <c r="H139" s="149"/>
    </row>
    <row r="140" spans="1:8" x14ac:dyDescent="0.2">
      <c r="A140" s="149"/>
      <c r="B140" s="149"/>
      <c r="C140" s="149"/>
      <c r="D140" s="149"/>
      <c r="E140" s="149"/>
      <c r="F140" s="149"/>
      <c r="G140" s="149"/>
      <c r="H140" s="149"/>
    </row>
    <row r="141" spans="1:8" x14ac:dyDescent="0.2">
      <c r="A141" s="149"/>
      <c r="B141" s="149"/>
      <c r="C141" s="149"/>
      <c r="D141" s="149"/>
      <c r="E141" s="149"/>
      <c r="F141" s="149"/>
      <c r="G141" s="149"/>
      <c r="H141" s="149"/>
    </row>
    <row r="142" spans="1:8" x14ac:dyDescent="0.2">
      <c r="A142" s="149"/>
      <c r="B142" s="149"/>
      <c r="C142" s="149"/>
      <c r="D142" s="149"/>
      <c r="E142" s="149"/>
      <c r="F142" s="149"/>
      <c r="G142" s="149"/>
      <c r="H142" s="149"/>
    </row>
    <row r="143" spans="1:8" x14ac:dyDescent="0.2">
      <c r="A143" s="149"/>
      <c r="B143" s="149"/>
      <c r="C143" s="149"/>
      <c r="D143" s="149"/>
      <c r="E143" s="149"/>
      <c r="F143" s="149"/>
      <c r="G143" s="149"/>
      <c r="H143" s="149"/>
    </row>
    <row r="144" spans="1:8" x14ac:dyDescent="0.2">
      <c r="A144" s="149"/>
      <c r="B144" s="149"/>
      <c r="C144" s="149"/>
      <c r="D144" s="149"/>
      <c r="E144" s="149"/>
      <c r="F144" s="149"/>
      <c r="G144" s="149"/>
      <c r="H144" s="149"/>
    </row>
    <row r="145" spans="1:8" x14ac:dyDescent="0.2">
      <c r="A145" s="149"/>
      <c r="B145" s="149"/>
      <c r="C145" s="149"/>
      <c r="D145" s="149"/>
      <c r="E145" s="149"/>
      <c r="F145" s="149"/>
      <c r="G145" s="149"/>
      <c r="H145" s="149"/>
    </row>
    <row r="146" spans="1:8" x14ac:dyDescent="0.2">
      <c r="A146" s="149"/>
      <c r="B146" s="149"/>
      <c r="C146" s="149"/>
      <c r="D146" s="149"/>
      <c r="E146" s="149"/>
      <c r="F146" s="149"/>
      <c r="G146" s="149"/>
      <c r="H146" s="149"/>
    </row>
    <row r="147" spans="1:8" x14ac:dyDescent="0.2">
      <c r="A147" s="149"/>
      <c r="B147" s="149"/>
      <c r="C147" s="149"/>
      <c r="D147" s="149"/>
      <c r="E147" s="149"/>
      <c r="F147" s="149"/>
      <c r="G147" s="149"/>
      <c r="H147" s="149"/>
    </row>
    <row r="148" spans="1:8" x14ac:dyDescent="0.2">
      <c r="A148" s="149"/>
      <c r="B148" s="149"/>
      <c r="C148" s="149"/>
      <c r="D148" s="149"/>
      <c r="E148" s="149"/>
      <c r="F148" s="149"/>
      <c r="G148" s="149"/>
      <c r="H148" s="149"/>
    </row>
    <row r="149" spans="1:8" x14ac:dyDescent="0.2">
      <c r="A149" s="149"/>
      <c r="B149" s="149"/>
      <c r="C149" s="149"/>
      <c r="D149" s="149"/>
      <c r="E149" s="149"/>
      <c r="F149" s="149"/>
      <c r="G149" s="149"/>
      <c r="H149" s="149"/>
    </row>
    <row r="150" spans="1:8" x14ac:dyDescent="0.2">
      <c r="A150" s="149"/>
      <c r="B150" s="149"/>
      <c r="C150" s="149"/>
      <c r="D150" s="149"/>
      <c r="E150" s="149"/>
      <c r="F150" s="149"/>
      <c r="G150" s="149"/>
      <c r="H150" s="149"/>
    </row>
    <row r="151" spans="1:8" x14ac:dyDescent="0.2">
      <c r="A151" s="149"/>
      <c r="B151" s="149"/>
      <c r="C151" s="149"/>
      <c r="D151" s="149"/>
      <c r="E151" s="149"/>
      <c r="F151" s="149"/>
      <c r="G151" s="149"/>
      <c r="H151" s="149"/>
    </row>
    <row r="152" spans="1:8" x14ac:dyDescent="0.2">
      <c r="A152" s="149"/>
      <c r="B152" s="149"/>
      <c r="C152" s="149"/>
      <c r="D152" s="149"/>
      <c r="E152" s="149"/>
      <c r="F152" s="149"/>
      <c r="G152" s="149"/>
      <c r="H152" s="149"/>
    </row>
    <row r="153" spans="1:8" x14ac:dyDescent="0.2">
      <c r="A153" s="149"/>
      <c r="B153" s="149"/>
      <c r="C153" s="149"/>
      <c r="D153" s="149"/>
      <c r="E153" s="149"/>
      <c r="F153" s="149"/>
      <c r="G153" s="149"/>
      <c r="H153" s="149"/>
    </row>
    <row r="154" spans="1:8" x14ac:dyDescent="0.2">
      <c r="A154" s="149"/>
      <c r="B154" s="149"/>
      <c r="C154" s="149"/>
      <c r="D154" s="149"/>
      <c r="E154" s="149"/>
      <c r="F154" s="149"/>
      <c r="G154" s="149"/>
      <c r="H154" s="149"/>
    </row>
    <row r="155" spans="1:8" x14ac:dyDescent="0.2">
      <c r="A155" s="149"/>
      <c r="B155" s="149"/>
      <c r="C155" s="149"/>
      <c r="D155" s="149"/>
      <c r="E155" s="149"/>
      <c r="F155" s="149"/>
      <c r="G155" s="149"/>
      <c r="H155" s="149"/>
    </row>
    <row r="156" spans="1:8" x14ac:dyDescent="0.2">
      <c r="A156" s="149"/>
      <c r="B156" s="149"/>
      <c r="C156" s="149"/>
      <c r="D156" s="149"/>
      <c r="E156" s="149"/>
      <c r="F156" s="149"/>
      <c r="G156" s="149"/>
      <c r="H156" s="149"/>
    </row>
    <row r="157" spans="1:8" x14ac:dyDescent="0.2">
      <c r="A157" s="149"/>
      <c r="B157" s="149"/>
      <c r="C157" s="149"/>
      <c r="D157" s="149"/>
      <c r="E157" s="149"/>
      <c r="F157" s="149"/>
      <c r="G157" s="149"/>
      <c r="H157" s="149"/>
    </row>
    <row r="158" spans="1:8" x14ac:dyDescent="0.2">
      <c r="A158" s="149"/>
      <c r="B158" s="149"/>
      <c r="C158" s="149"/>
      <c r="D158" s="149"/>
      <c r="E158" s="149"/>
      <c r="F158" s="149"/>
      <c r="G158" s="149"/>
      <c r="H158" s="149"/>
    </row>
    <row r="159" spans="1:8" x14ac:dyDescent="0.2">
      <c r="A159" s="149"/>
      <c r="B159" s="149"/>
      <c r="C159" s="149"/>
      <c r="D159" s="149"/>
      <c r="E159" s="149"/>
      <c r="F159" s="149"/>
      <c r="G159" s="149"/>
      <c r="H159" s="149"/>
    </row>
    <row r="160" spans="1:8" x14ac:dyDescent="0.2">
      <c r="A160" s="149"/>
      <c r="B160" s="149"/>
      <c r="C160" s="149"/>
      <c r="D160" s="149"/>
      <c r="E160" s="149"/>
      <c r="F160" s="149"/>
      <c r="G160" s="149"/>
      <c r="H160" s="149"/>
    </row>
    <row r="161" spans="1:8" x14ac:dyDescent="0.2">
      <c r="A161" s="149"/>
      <c r="B161" s="149"/>
      <c r="C161" s="149"/>
      <c r="D161" s="149"/>
      <c r="E161" s="149"/>
      <c r="F161" s="149"/>
      <c r="G161" s="149"/>
      <c r="H161" s="149"/>
    </row>
    <row r="162" spans="1:8" x14ac:dyDescent="0.2">
      <c r="A162" s="149"/>
      <c r="B162" s="149"/>
      <c r="C162" s="149"/>
      <c r="D162" s="149"/>
      <c r="E162" s="149"/>
      <c r="F162" s="149"/>
      <c r="G162" s="149"/>
      <c r="H162" s="149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Y126"/>
  <sheetViews>
    <sheetView workbookViewId="0">
      <selection activeCell="G1" sqref="G1"/>
    </sheetView>
  </sheetViews>
  <sheetFormatPr defaultRowHeight="11.25" outlineLevelCol="1" x14ac:dyDescent="0.2"/>
  <cols>
    <col min="1" max="1" width="24.42578125" style="15" bestFit="1" customWidth="1"/>
    <col min="2" max="2" width="9" style="15" bestFit="1" customWidth="1"/>
    <col min="3" max="3" width="5.5703125" style="15" customWidth="1"/>
    <col min="4" max="4" width="13.140625" style="145" hidden="1" customWidth="1" outlineLevel="1"/>
    <col min="5" max="5" width="21.42578125" style="145" bestFit="1" customWidth="1" collapsed="1"/>
    <col min="6" max="6" width="9" style="145" bestFit="1" customWidth="1"/>
    <col min="7" max="7" width="8" style="145" bestFit="1" customWidth="1"/>
    <col min="8" max="8" width="17.28515625" style="145" bestFit="1" customWidth="1"/>
    <col min="9" max="9" width="17.28515625" style="145" customWidth="1"/>
    <col min="10" max="10" width="17.28515625" style="145" bestFit="1" customWidth="1"/>
    <col min="11" max="11" width="13.140625" style="15" bestFit="1" customWidth="1"/>
    <col min="12" max="13" width="9.140625" style="15"/>
    <col min="14" max="16" width="17.28515625" style="15" bestFit="1" customWidth="1"/>
    <col min="17" max="17" width="10" style="15" bestFit="1" customWidth="1"/>
    <col min="18" max="18" width="13.140625" style="15" bestFit="1" customWidth="1"/>
    <col min="19" max="20" width="9.140625" style="15"/>
    <col min="21" max="21" width="13.140625" style="15" bestFit="1" customWidth="1"/>
    <col min="22" max="22" width="10" style="15" bestFit="1" customWidth="1"/>
    <col min="23" max="24" width="9.140625" style="15"/>
    <col min="25" max="25" width="12" style="15" bestFit="1" customWidth="1"/>
    <col min="26" max="16384" width="9.140625" style="15"/>
  </cols>
  <sheetData>
    <row r="1" spans="1:25" ht="24" customHeight="1" thickBot="1" x14ac:dyDescent="0.25">
      <c r="A1" s="245" t="s">
        <v>20</v>
      </c>
      <c r="B1" s="246"/>
      <c r="D1" s="119" t="s">
        <v>19</v>
      </c>
      <c r="E1" s="120" t="s">
        <v>81</v>
      </c>
      <c r="F1" s="121" t="s">
        <v>48</v>
      </c>
      <c r="G1" s="121"/>
      <c r="H1" s="121" t="s">
        <v>0</v>
      </c>
      <c r="I1" s="235" t="s">
        <v>103</v>
      </c>
      <c r="J1" s="122" t="s">
        <v>122</v>
      </c>
      <c r="K1" s="123">
        <f t="array" ref="K1:K126">_xll.qlPiecewiseYieldCurveData(YieldCurve1)</f>
        <v>1.3180531757461815E-3</v>
      </c>
      <c r="L1" s="15">
        <f t="array" ref="L1:L126">_xll.qlPiecewiseYieldCurveData(YieldCurve2)</f>
        <v>1</v>
      </c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</row>
    <row r="2" spans="1:25" x14ac:dyDescent="0.2">
      <c r="A2" s="125" t="s">
        <v>41</v>
      </c>
      <c r="B2" s="126">
        <v>8</v>
      </c>
      <c r="C2" s="127"/>
      <c r="D2" s="12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obj_00293</v>
      </c>
      <c r="E2" s="128" t="str">
        <f>_xll.qlRateHelperQuoteName(D2)</f>
        <v>USD1DOIS_LCHQuote</v>
      </c>
      <c r="F2" s="129">
        <f>_xll.qlRateHelperQuoteValue($D2)</f>
        <v>1.2999999999999999E-3</v>
      </c>
      <c r="G2" s="129" t="str">
        <f>IF(ISERROR(_xll.qlSwapRateHelperSpread($D2)),IF(ISERROR(_xll.qlFuturesRateHelperConvexityAdjustment($D2)),"--",_xll.qlFuturesRateHelperConvexityAdjustment($D2)),_xll.qlSwapRateHelperSpread($D2))</f>
        <v>--</v>
      </c>
      <c r="H2" s="130">
        <f>_xll.qlRateHelperEarliestDate($D2)</f>
        <v>42192</v>
      </c>
      <c r="I2" s="130">
        <f>_xll.qlRateHelperMaturityDate(D2)</f>
        <v>42193</v>
      </c>
      <c r="J2" s="131">
        <f>_xll.qlRateHelperPillarDate($D2)</f>
        <v>42193</v>
      </c>
      <c r="K2" s="123">
        <v>1.3180531757461815E-3</v>
      </c>
      <c r="L2" s="15">
        <v>0.99999638890192899</v>
      </c>
      <c r="M2" s="132"/>
      <c r="N2" s="124"/>
      <c r="O2" s="124"/>
      <c r="P2" s="124"/>
      <c r="Q2" s="134"/>
      <c r="R2" s="27"/>
      <c r="S2" s="27"/>
      <c r="T2" s="124"/>
      <c r="U2" s="133"/>
      <c r="V2" s="124"/>
      <c r="W2" s="27"/>
      <c r="X2" s="124"/>
      <c r="Y2" s="133"/>
    </row>
    <row r="3" spans="1:25" x14ac:dyDescent="0.2">
      <c r="A3" s="135" t="s">
        <v>42</v>
      </c>
      <c r="B3" s="136">
        <v>1</v>
      </c>
      <c r="C3" s="127"/>
      <c r="D3" s="128" t="str">
        <v>obj_0028f</v>
      </c>
      <c r="E3" s="128" t="str">
        <f>_xll.qlRateHelperQuoteName(D3)</f>
        <v>USD2DOIS_LCHQuote</v>
      </c>
      <c r="F3" s="129">
        <f>_xll.qlRateHelperQuoteValue($D3)</f>
        <v>1.2999999999999999E-3</v>
      </c>
      <c r="G3" s="129" t="str">
        <f>IF(ISERROR(_xll.qlSwapRateHelperSpread($D3)),IF(ISERROR(_xll.qlFuturesRateHelperConvexityAdjustment($D3)),"--",_xll.qlFuturesRateHelperConvexityAdjustment($D3)),_xll.qlSwapRateHelperSpread($D3))</f>
        <v>--</v>
      </c>
      <c r="H3" s="130">
        <f>_xll.qlRateHelperEarliestDate($D3)</f>
        <v>42193</v>
      </c>
      <c r="I3" s="130">
        <f>_xll.qlRateHelperMaturityDate(D3)</f>
        <v>42194</v>
      </c>
      <c r="J3" s="131">
        <f>_xll.qlRateHelperPillarDate($D3)</f>
        <v>42194</v>
      </c>
      <c r="K3" s="123">
        <v>1.3180531757678469E-3</v>
      </c>
      <c r="L3" s="15">
        <v>0.99999277781689799</v>
      </c>
      <c r="M3" s="132"/>
      <c r="N3" s="124"/>
      <c r="O3" s="124"/>
      <c r="P3" s="124"/>
      <c r="Q3" s="134"/>
      <c r="R3" s="27"/>
      <c r="S3" s="27"/>
      <c r="T3" s="124"/>
      <c r="U3" s="133"/>
      <c r="V3" s="124"/>
      <c r="W3" s="27"/>
      <c r="X3" s="124"/>
      <c r="Y3" s="133"/>
    </row>
    <row r="4" spans="1:25" x14ac:dyDescent="0.2">
      <c r="A4" s="135" t="s">
        <v>16</v>
      </c>
      <c r="B4" s="136">
        <v>2</v>
      </c>
      <c r="C4" s="127"/>
      <c r="D4" s="128" t="str">
        <v>obj_0029a</v>
      </c>
      <c r="E4" s="128" t="str">
        <f>_xll.qlRateHelperQuoteName(D4)</f>
        <v>USD1WOIS_LCHQuote</v>
      </c>
      <c r="F4" s="129">
        <f>_xll.qlRateHelperQuoteValue($D4)</f>
        <v>1.3125000000000001E-3</v>
      </c>
      <c r="G4" s="129" t="str">
        <f>IF(ISERROR(_xll.qlSwapRateHelperSpread($D4)),IF(ISERROR(_xll.qlFuturesRateHelperConvexityAdjustment($D4)),"--",_xll.qlFuturesRateHelperConvexityAdjustment($D4)),_xll.qlSwapRateHelperSpread($D4))</f>
        <v>--</v>
      </c>
      <c r="H4" s="130">
        <f>_xll.qlRateHelperEarliestDate($D4)</f>
        <v>42194</v>
      </c>
      <c r="I4" s="130">
        <f>_xll.qlRateHelperMaturityDate(D4)</f>
        <v>42201</v>
      </c>
      <c r="J4" s="131">
        <f>_xll.qlRateHelperPillarDate($D4)</f>
        <v>42201</v>
      </c>
      <c r="K4" s="123">
        <v>1.3278990728453517E-3</v>
      </c>
      <c r="L4" s="15">
        <v>0.99996725781917239</v>
      </c>
      <c r="M4" s="132"/>
      <c r="N4" s="124"/>
      <c r="O4" s="124"/>
      <c r="P4" s="124"/>
      <c r="Q4" s="134"/>
      <c r="R4" s="27"/>
      <c r="S4" s="27"/>
      <c r="T4" s="124"/>
      <c r="U4" s="133"/>
      <c r="V4" s="124"/>
      <c r="W4" s="27"/>
      <c r="X4" s="124"/>
      <c r="Y4" s="133"/>
    </row>
    <row r="5" spans="1:25" ht="12" thickBot="1" x14ac:dyDescent="0.25">
      <c r="A5" s="137" t="s">
        <v>17</v>
      </c>
      <c r="B5" s="138" t="s">
        <v>37</v>
      </c>
      <c r="C5" s="127"/>
      <c r="D5" s="128" t="str">
        <v>obj_002a1</v>
      </c>
      <c r="E5" s="128" t="str">
        <f>_xll.qlRateHelperQuoteName(D5)</f>
        <v>USD2WOIS_LCHQuote</v>
      </c>
      <c r="F5" s="129">
        <f>_xll.qlRateHelperQuoteValue($D5)</f>
        <v>1.2539999999999999E-3</v>
      </c>
      <c r="G5" s="129" t="str">
        <f>IF(ISERROR(_xll.qlSwapRateHelperSpread($D5)),IF(ISERROR(_xll.qlFuturesRateHelperConvexityAdjustment($D5)),"--",_xll.qlFuturesRateHelperConvexityAdjustment($D5)),_xll.qlSwapRateHelperSpread($D5))</f>
        <v>--</v>
      </c>
      <c r="H5" s="130">
        <f>_xll.qlRateHelperEarliestDate($D5)</f>
        <v>42194</v>
      </c>
      <c r="I5" s="130">
        <f>_xll.qlRateHelperMaturityDate(D5)</f>
        <v>42208</v>
      </c>
      <c r="J5" s="131">
        <f>_xll.qlRateHelperPillarDate($D5)</f>
        <v>42208</v>
      </c>
      <c r="K5" s="123">
        <v>1.2772191049817193E-3</v>
      </c>
      <c r="L5" s="15">
        <v>0.99994401388058329</v>
      </c>
      <c r="M5" s="132"/>
      <c r="N5" s="124"/>
      <c r="O5" s="124"/>
      <c r="P5" s="124"/>
      <c r="Q5" s="134"/>
      <c r="R5" s="27"/>
      <c r="S5" s="27"/>
      <c r="T5" s="124"/>
      <c r="U5" s="133"/>
      <c r="V5" s="124"/>
      <c r="W5" s="27"/>
      <c r="X5" s="124"/>
      <c r="Y5" s="133"/>
    </row>
    <row r="6" spans="1:25" x14ac:dyDescent="0.2">
      <c r="C6" s="127"/>
      <c r="D6" s="128" t="str">
        <v>obj_0028c</v>
      </c>
      <c r="E6" s="128" t="str">
        <f>_xll.qlRateHelperQuoteName(D6)</f>
        <v>USD3WOIS_LCHQuote</v>
      </c>
      <c r="F6" s="129">
        <f>_xll.qlRateHelperQuoteValue($D6)</f>
        <v>1.315E-3</v>
      </c>
      <c r="G6" s="129" t="str">
        <f>IF(ISERROR(_xll.qlSwapRateHelperSpread($D6)),IF(ISERROR(_xll.qlFuturesRateHelperConvexityAdjustment($D6)),"--",_xll.qlFuturesRateHelperConvexityAdjustment($D6)),_xll.qlSwapRateHelperSpread($D6))</f>
        <v>--</v>
      </c>
      <c r="H6" s="130">
        <f>_xll.qlRateHelperEarliestDate($D6)</f>
        <v>42194</v>
      </c>
      <c r="I6" s="130">
        <f>_xll.qlRateHelperMaturityDate(D6)</f>
        <v>42215</v>
      </c>
      <c r="J6" s="131">
        <f>_xll.qlRateHelperPillarDate($D6)</f>
        <v>42215</v>
      </c>
      <c r="K6" s="123">
        <v>1.3318945309218862E-3</v>
      </c>
      <c r="L6" s="15">
        <v>0.99991607592123655</v>
      </c>
      <c r="M6" s="132"/>
      <c r="N6" s="124"/>
      <c r="O6" s="124"/>
      <c r="P6" s="124"/>
      <c r="Q6" s="134"/>
      <c r="R6" s="27"/>
      <c r="S6" s="27"/>
      <c r="T6" s="124"/>
      <c r="U6" s="133"/>
      <c r="V6" s="124"/>
      <c r="W6" s="27"/>
      <c r="X6" s="124"/>
      <c r="Y6" s="133"/>
    </row>
    <row r="7" spans="1:25" x14ac:dyDescent="0.2">
      <c r="B7" s="139"/>
      <c r="C7" s="127"/>
      <c r="D7" s="128" t="str">
        <v>obj_00297</v>
      </c>
      <c r="E7" s="128" t="str">
        <f>_xll.qlRateHelperQuoteName(D7)</f>
        <v>USD1MOIS_LCHQuote</v>
      </c>
      <c r="F7" s="129">
        <f>_xll.qlRateHelperQuoteValue($D7)</f>
        <v>1.305E-3</v>
      </c>
      <c r="G7" s="129" t="str">
        <f>IF(ISERROR(_xll.qlSwapRateHelperSpread($D7)),IF(ISERROR(_xll.qlFuturesRateHelperConvexityAdjustment($D7)),"--",_xll.qlFuturesRateHelperConvexityAdjustment($D7)),_xll.qlSwapRateHelperSpread($D7))</f>
        <v>--</v>
      </c>
      <c r="H7" s="130">
        <f>_xll.qlRateHelperEarliestDate($D7)</f>
        <v>42194</v>
      </c>
      <c r="I7" s="130">
        <f>_xll.qlRateHelperMaturityDate(D7)</f>
        <v>42226</v>
      </c>
      <c r="J7" s="131">
        <f>_xll.qlRateHelperPillarDate($D7)</f>
        <v>42226</v>
      </c>
      <c r="K7" s="123">
        <v>1.3227544359254804E-3</v>
      </c>
      <c r="L7" s="15">
        <v>0.99987679210903557</v>
      </c>
      <c r="M7" s="132"/>
      <c r="N7" s="124"/>
      <c r="O7" s="124"/>
      <c r="P7" s="124"/>
      <c r="Q7" s="134"/>
      <c r="R7" s="27"/>
      <c r="S7" s="27"/>
      <c r="T7" s="124"/>
      <c r="U7" s="133"/>
      <c r="V7" s="124"/>
      <c r="W7" s="27"/>
      <c r="X7" s="124"/>
      <c r="Y7" s="133"/>
    </row>
    <row r="8" spans="1:25" x14ac:dyDescent="0.2">
      <c r="C8" s="127"/>
      <c r="D8" s="128" t="str">
        <v>obj_0029c</v>
      </c>
      <c r="E8" s="128" t="str">
        <f>_xll.qlRateHelperQuoteName(D8)</f>
        <v>USD2MOIS_LCHQuote</v>
      </c>
      <c r="F8" s="129">
        <f>_xll.qlRateHelperQuoteValue($D8)</f>
        <v>1.3282857E-3</v>
      </c>
      <c r="G8" s="129" t="str">
        <f>IF(ISERROR(_xll.qlSwapRateHelperSpread($D8)),IF(ISERROR(_xll.qlFuturesRateHelperConvexityAdjustment($D8)),"--",_xll.qlFuturesRateHelperConvexityAdjustment($D8)),_xll.qlSwapRateHelperSpread($D8))</f>
        <v>--</v>
      </c>
      <c r="H8" s="130">
        <f>_xll.qlRateHelperEarliestDate($D8)</f>
        <v>42194</v>
      </c>
      <c r="I8" s="130">
        <f>_xll.qlRateHelperMaturityDate(D8)</f>
        <v>42256</v>
      </c>
      <c r="J8" s="131">
        <f>_xll.qlRateHelperPillarDate($D8)</f>
        <v>42256</v>
      </c>
      <c r="K8" s="123">
        <v>1.3456886300604654E-3</v>
      </c>
      <c r="L8" s="15">
        <v>0.99976407147288182</v>
      </c>
      <c r="M8" s="132"/>
      <c r="N8" s="124"/>
      <c r="O8" s="124"/>
      <c r="P8" s="124"/>
      <c r="Q8" s="134"/>
      <c r="R8" s="27"/>
      <c r="S8" s="27"/>
      <c r="T8" s="124"/>
      <c r="U8" s="133"/>
      <c r="V8" s="124"/>
      <c r="W8" s="27"/>
      <c r="X8" s="124"/>
      <c r="Y8" s="133"/>
    </row>
    <row r="9" spans="1:25" x14ac:dyDescent="0.2">
      <c r="C9" s="127"/>
      <c r="D9" s="128" t="str">
        <v>obj_002a0</v>
      </c>
      <c r="E9" s="128" t="str">
        <f>_xll.qlRateHelperQuoteName(D9)</f>
        <v>USD3MOIS_LCHQuote</v>
      </c>
      <c r="F9" s="129">
        <f>_xll.qlRateHelperQuoteValue($D9)</f>
        <v>1.4647E-3</v>
      </c>
      <c r="G9" s="129" t="str">
        <f>IF(ISERROR(_xll.qlSwapRateHelperSpread($D9)),IF(ISERROR(_xll.qlFuturesRateHelperConvexityAdjustment($D9)),"--",_xll.qlFuturesRateHelperConvexityAdjustment($D9)),_xll.qlSwapRateHelperSpread($D9))</f>
        <v>--</v>
      </c>
      <c r="H9" s="130">
        <f>_xll.qlRateHelperEarliestDate($D9)</f>
        <v>42194</v>
      </c>
      <c r="I9" s="130">
        <f>_xll.qlRateHelperMaturityDate(D9)</f>
        <v>42286</v>
      </c>
      <c r="J9" s="131">
        <f>_xll.qlRateHelperPillarDate($D9)</f>
        <v>42286</v>
      </c>
      <c r="K9" s="123">
        <v>1.4812181258767238E-3</v>
      </c>
      <c r="L9" s="15">
        <v>0.99961860835423033</v>
      </c>
      <c r="M9" s="132"/>
      <c r="N9" s="124"/>
      <c r="O9" s="124"/>
      <c r="P9" s="124"/>
      <c r="Q9" s="134"/>
      <c r="R9" s="27"/>
      <c r="S9" s="27"/>
      <c r="T9" s="124"/>
      <c r="U9" s="133"/>
      <c r="V9" s="124"/>
      <c r="W9" s="27"/>
      <c r="X9" s="124"/>
      <c r="Y9" s="133"/>
    </row>
    <row r="10" spans="1:25" x14ac:dyDescent="0.2">
      <c r="C10" s="127"/>
      <c r="D10" s="128" t="str">
        <v>obj_00298</v>
      </c>
      <c r="E10" s="128" t="str">
        <f>_xll.qlRateHelperQuoteName(D10)</f>
        <v>USD4MOIS_LCHQuote</v>
      </c>
      <c r="F10" s="129">
        <f>_xll.qlRateHelperQuoteValue($D10)</f>
        <v>1.523E-3</v>
      </c>
      <c r="G10" s="129" t="str">
        <f>IF(ISERROR(_xll.qlSwapRateHelperSpread($D10)),IF(ISERROR(_xll.qlFuturesRateHelperConvexityAdjustment($D10)),"--",_xll.qlFuturesRateHelperConvexityAdjustment($D10)),_xll.qlSwapRateHelperSpread($D10))</f>
        <v>--</v>
      </c>
      <c r="H10" s="130">
        <f>_xll.qlRateHelperEarliestDate($D10)</f>
        <v>42194</v>
      </c>
      <c r="I10" s="130">
        <f>_xll.qlRateHelperMaturityDate(D10)</f>
        <v>42317</v>
      </c>
      <c r="J10" s="131">
        <f>_xll.qlRateHelperPillarDate($D10)</f>
        <v>42317</v>
      </c>
      <c r="K10" s="123">
        <v>1.5401399929527747E-3</v>
      </c>
      <c r="L10" s="15">
        <v>0.99947269387170279</v>
      </c>
      <c r="M10" s="132"/>
      <c r="N10" s="124"/>
      <c r="O10" s="124"/>
      <c r="P10" s="124"/>
      <c r="Q10" s="134"/>
      <c r="R10" s="27"/>
      <c r="S10" s="27"/>
      <c r="T10" s="124"/>
      <c r="U10" s="133"/>
      <c r="V10" s="124"/>
      <c r="W10" s="27"/>
      <c r="X10" s="124"/>
      <c r="Y10" s="133"/>
    </row>
    <row r="11" spans="1:25" x14ac:dyDescent="0.2">
      <c r="C11" s="127"/>
      <c r="D11" s="128" t="str">
        <v>obj_0029f</v>
      </c>
      <c r="E11" s="128" t="str">
        <f>_xll.qlRateHelperQuoteName(D11)</f>
        <v>USD5MOIS_LCHQuote</v>
      </c>
      <c r="F11" s="129">
        <f>_xll.qlRateHelperQuoteValue($D11)</f>
        <v>1.6214999999999999E-3</v>
      </c>
      <c r="G11" s="129" t="str">
        <f>IF(ISERROR(_xll.qlSwapRateHelperSpread($D11)),IF(ISERROR(_xll.qlFuturesRateHelperConvexityAdjustment($D11)),"--",_xll.qlFuturesRateHelperConvexityAdjustment($D11)),_xll.qlSwapRateHelperSpread($D11))</f>
        <v>--</v>
      </c>
      <c r="H11" s="130">
        <f>_xll.qlRateHelperEarliestDate($D11)</f>
        <v>42194</v>
      </c>
      <c r="I11" s="130">
        <f>_xll.qlRateHelperMaturityDate(D11)</f>
        <v>42347</v>
      </c>
      <c r="J11" s="131">
        <f>_xll.qlRateHelperPillarDate($D11)</f>
        <v>42347</v>
      </c>
      <c r="K11" s="123">
        <v>1.6392558869983459E-3</v>
      </c>
      <c r="L11" s="15">
        <v>0.99930411987398826</v>
      </c>
      <c r="M11" s="132"/>
      <c r="N11" s="124"/>
      <c r="O11" s="124"/>
      <c r="P11" s="124"/>
      <c r="Q11" s="134"/>
      <c r="R11" s="27"/>
      <c r="S11" s="27"/>
      <c r="T11" s="124"/>
      <c r="U11" s="133"/>
      <c r="V11" s="124"/>
      <c r="W11" s="27"/>
      <c r="X11" s="124"/>
      <c r="Y11" s="133"/>
    </row>
    <row r="12" spans="1:25" x14ac:dyDescent="0.2">
      <c r="C12" s="127"/>
      <c r="D12" s="128" t="str">
        <v>obj_002a3</v>
      </c>
      <c r="E12" s="128" t="str">
        <f>_xll.qlRateHelperQuoteName(D12)</f>
        <v>USD6MOIS_LCHQuote</v>
      </c>
      <c r="F12" s="129">
        <f>_xll.qlRateHelperQuoteValue($D12)</f>
        <v>1.8831E-3</v>
      </c>
      <c r="G12" s="129" t="str">
        <f>IF(ISERROR(_xll.qlSwapRateHelperSpread($D12)),IF(ISERROR(_xll.qlFuturesRateHelperConvexityAdjustment($D12)),"--",_xll.qlFuturesRateHelperConvexityAdjustment($D12)),_xll.qlSwapRateHelperSpread($D12))</f>
        <v>--</v>
      </c>
      <c r="H12" s="130">
        <f>_xll.qlRateHelperEarliestDate($D12)</f>
        <v>42194</v>
      </c>
      <c r="I12" s="130">
        <f>_xll.qlRateHelperMaturityDate(D12)</f>
        <v>42380</v>
      </c>
      <c r="J12" s="131">
        <f>_xll.qlRateHelperPillarDate($D12)</f>
        <v>42380</v>
      </c>
      <c r="K12" s="123">
        <v>1.9020464806552304E-3</v>
      </c>
      <c r="L12" s="15">
        <v>0.99902079551921108</v>
      </c>
      <c r="M12" s="132"/>
      <c r="N12" s="124"/>
      <c r="O12" s="124"/>
      <c r="P12" s="124"/>
      <c r="Q12" s="134"/>
      <c r="R12" s="27"/>
      <c r="S12" s="27"/>
      <c r="T12" s="124"/>
      <c r="U12" s="133"/>
      <c r="V12" s="124"/>
      <c r="W12" s="27"/>
      <c r="X12" s="124"/>
      <c r="Y12" s="133"/>
    </row>
    <row r="13" spans="1:25" x14ac:dyDescent="0.2">
      <c r="C13" s="127"/>
      <c r="D13" s="128" t="str">
        <v>obj_002a2</v>
      </c>
      <c r="E13" s="128" t="str">
        <f>_xll.qlRateHelperQuoteName(D13)</f>
        <v>USD7MOIS_LCHQuote</v>
      </c>
      <c r="F13" s="129">
        <f>_xll.qlRateHelperQuoteValue($D13)</f>
        <v>2.0175000000000002E-3</v>
      </c>
      <c r="G13" s="129" t="str">
        <f>IF(ISERROR(_xll.qlSwapRateHelperSpread($D13)),IF(ISERROR(_xll.qlFuturesRateHelperConvexityAdjustment($D13)),"--",_xll.qlFuturesRateHelperConvexityAdjustment($D13)),_xll.qlSwapRateHelperSpread($D13))</f>
        <v>--</v>
      </c>
      <c r="H13" s="130">
        <f>_xll.qlRateHelperEarliestDate($D13)</f>
        <v>42194</v>
      </c>
      <c r="I13" s="130">
        <f>_xll.qlRateHelperMaturityDate(D13)</f>
        <v>42409</v>
      </c>
      <c r="J13" s="131">
        <f>_xll.qlRateHelperPillarDate($D13)</f>
        <v>42409</v>
      </c>
      <c r="K13" s="123">
        <v>2.037596080186443E-3</v>
      </c>
      <c r="L13" s="15">
        <v>0.99878934070190883</v>
      </c>
      <c r="M13" s="132"/>
      <c r="N13" s="124"/>
      <c r="O13" s="124"/>
      <c r="P13" s="124"/>
      <c r="Q13" s="134"/>
      <c r="R13" s="27"/>
      <c r="S13" s="27"/>
      <c r="T13" s="124"/>
      <c r="U13" s="133"/>
      <c r="V13" s="124"/>
      <c r="W13" s="27"/>
      <c r="X13" s="124"/>
      <c r="Y13" s="133"/>
    </row>
    <row r="14" spans="1:25" x14ac:dyDescent="0.2">
      <c r="C14" s="127"/>
      <c r="D14" s="128" t="str">
        <v>obj_00299</v>
      </c>
      <c r="E14" s="128" t="str">
        <f>_xll.qlRateHelperQuoteName(D14)</f>
        <v>USD8MOIS_LCHQuote</v>
      </c>
      <c r="F14" s="129">
        <f>_xll.qlRateHelperQuoteValue($D14)</f>
        <v>2.1887500000000002E-3</v>
      </c>
      <c r="G14" s="129" t="str">
        <f>IF(ISERROR(_xll.qlSwapRateHelperSpread($D14)),IF(ISERROR(_xll.qlFuturesRateHelperConvexityAdjustment($D14)),"--",_xll.qlFuturesRateHelperConvexityAdjustment($D14)),_xll.qlSwapRateHelperSpread($D14))</f>
        <v>--</v>
      </c>
      <c r="H14" s="130">
        <f>_xll.qlRateHelperEarliestDate($D14)</f>
        <v>42194</v>
      </c>
      <c r="I14" s="130">
        <f>_xll.qlRateHelperMaturityDate(D14)</f>
        <v>42438</v>
      </c>
      <c r="J14" s="131">
        <f>_xll.qlRateHelperPillarDate($D14)</f>
        <v>42438</v>
      </c>
      <c r="K14" s="123">
        <v>2.2101922774887639E-3</v>
      </c>
      <c r="L14" s="15">
        <v>0.99851149987504939</v>
      </c>
      <c r="M14" s="132"/>
      <c r="N14" s="124"/>
      <c r="O14" s="124"/>
      <c r="P14" s="124"/>
      <c r="Q14" s="134"/>
      <c r="R14" s="27"/>
      <c r="S14" s="27"/>
      <c r="T14" s="124"/>
      <c r="U14" s="133"/>
      <c r="V14" s="124"/>
      <c r="W14" s="27"/>
      <c r="X14" s="124"/>
      <c r="Y14" s="133"/>
    </row>
    <row r="15" spans="1:25" x14ac:dyDescent="0.2">
      <c r="C15" s="127"/>
      <c r="D15" s="128" t="str">
        <v>obj_0029b</v>
      </c>
      <c r="E15" s="128" t="str">
        <f>_xll.qlRateHelperQuoteName(D15)</f>
        <v>USD9MOIS_LCHQuote</v>
      </c>
      <c r="F15" s="129">
        <f>_xll.qlRateHelperQuoteValue($D15)</f>
        <v>2.4358333000000002E-3</v>
      </c>
      <c r="G15" s="129" t="str">
        <f>IF(ISERROR(_xll.qlSwapRateHelperSpread($D15)),IF(ISERROR(_xll.qlFuturesRateHelperConvexityAdjustment($D15)),"--",_xll.qlFuturesRateHelperConvexityAdjustment($D15)),_xll.qlSwapRateHelperSpread($D15))</f>
        <v>--</v>
      </c>
      <c r="H15" s="130">
        <f>_xll.qlRateHelperEarliestDate($D15)</f>
        <v>42194</v>
      </c>
      <c r="I15" s="130">
        <f>_xll.qlRateHelperMaturityDate(D15)</f>
        <v>42471</v>
      </c>
      <c r="J15" s="131">
        <f>_xll.qlRateHelperPillarDate($D15)</f>
        <v>42471</v>
      </c>
      <c r="K15" s="123">
        <v>2.4591141286912951E-3</v>
      </c>
      <c r="L15" s="15">
        <v>0.9981220591255251</v>
      </c>
      <c r="M15" s="132"/>
      <c r="N15" s="124"/>
      <c r="O15" s="124"/>
      <c r="P15" s="124"/>
      <c r="Q15" s="134"/>
      <c r="R15" s="27"/>
      <c r="S15" s="27"/>
      <c r="T15" s="124"/>
      <c r="U15" s="133"/>
      <c r="V15" s="124"/>
      <c r="W15" s="27"/>
      <c r="X15" s="124"/>
      <c r="Y15" s="133"/>
    </row>
    <row r="16" spans="1:25" x14ac:dyDescent="0.2">
      <c r="C16" s="127"/>
      <c r="D16" s="128" t="str">
        <v>obj_00296</v>
      </c>
      <c r="E16" s="128" t="str">
        <f>_xll.qlRateHelperQuoteName(D16)</f>
        <v>USD10MOIS_LCHQuote</v>
      </c>
      <c r="F16" s="129">
        <f>_xll.qlRateHelperQuoteValue($D16)</f>
        <v>2.5999999999999999E-3</v>
      </c>
      <c r="G16" s="129" t="str">
        <f>IF(ISERROR(_xll.qlSwapRateHelperSpread($D16)),IF(ISERROR(_xll.qlFuturesRateHelperConvexityAdjustment($D16)),"--",_xll.qlFuturesRateHelperConvexityAdjustment($D16)),_xll.qlSwapRateHelperSpread($D16))</f>
        <v>--</v>
      </c>
      <c r="H16" s="130">
        <f>_xll.qlRateHelperEarliestDate($D16)</f>
        <v>42194</v>
      </c>
      <c r="I16" s="130">
        <f>_xll.qlRateHelperMaturityDate(D16)</f>
        <v>42499</v>
      </c>
      <c r="J16" s="131">
        <f>_xll.qlRateHelperPillarDate($D16)</f>
        <v>42499</v>
      </c>
      <c r="K16" s="123">
        <v>2.6246441744370631E-3</v>
      </c>
      <c r="L16" s="15">
        <v>0.99779485747806551</v>
      </c>
      <c r="M16" s="132"/>
      <c r="N16" s="124"/>
      <c r="O16" s="124"/>
      <c r="P16" s="124"/>
      <c r="Q16" s="134"/>
      <c r="R16" s="27"/>
      <c r="S16" s="27"/>
      <c r="T16" s="124"/>
      <c r="U16" s="133"/>
      <c r="V16" s="124"/>
      <c r="W16" s="27"/>
      <c r="X16" s="124"/>
      <c r="Y16" s="133"/>
    </row>
    <row r="17" spans="3:25" x14ac:dyDescent="0.2">
      <c r="C17" s="127"/>
      <c r="D17" s="128" t="str">
        <v>obj_00295</v>
      </c>
      <c r="E17" s="128" t="str">
        <f>_xll.qlRateHelperQuoteName(D17)</f>
        <v>USD11MOIS_LCHQuote</v>
      </c>
      <c r="F17" s="129">
        <f>_xll.qlRateHelperQuoteValue($D17)</f>
        <v>2.8167999999999999E-3</v>
      </c>
      <c r="G17" s="129" t="str">
        <f>IF(ISERROR(_xll.qlSwapRateHelperSpread($D17)),IF(ISERROR(_xll.qlFuturesRateHelperConvexityAdjustment($D17)),"--",_xll.qlFuturesRateHelperConvexityAdjustment($D17)),_xll.qlSwapRateHelperSpread($D17))</f>
        <v>--</v>
      </c>
      <c r="H17" s="130">
        <f>_xll.qlRateHelperEarliestDate($D17)</f>
        <v>42194</v>
      </c>
      <c r="I17" s="130">
        <f>_xll.qlRateHelperMaturityDate(D17)</f>
        <v>42530</v>
      </c>
      <c r="J17" s="131">
        <f>_xll.qlRateHelperPillarDate($D17)</f>
        <v>42530</v>
      </c>
      <c r="K17" s="123">
        <v>2.843097018324226E-3</v>
      </c>
      <c r="L17" s="15">
        <v>0.99737067700877069</v>
      </c>
      <c r="M17" s="132"/>
      <c r="N17" s="124"/>
      <c r="O17" s="124"/>
      <c r="P17" s="124"/>
      <c r="Q17" s="134"/>
      <c r="R17" s="27"/>
      <c r="S17" s="27"/>
      <c r="T17" s="124"/>
      <c r="U17" s="133"/>
      <c r="V17" s="124"/>
      <c r="W17" s="27"/>
      <c r="X17" s="124"/>
      <c r="Y17" s="133"/>
    </row>
    <row r="18" spans="3:25" x14ac:dyDescent="0.2">
      <c r="C18" s="127"/>
      <c r="D18" s="128" t="str">
        <v>obj_00294</v>
      </c>
      <c r="E18" s="128" t="str">
        <f>_xll.qlRateHelperQuoteName(D18)</f>
        <v>USD1YOIS_LCHQuote</v>
      </c>
      <c r="F18" s="129">
        <f>_xll.qlRateHelperQuoteValue($D18)</f>
        <v>3.0401667000000002E-3</v>
      </c>
      <c r="G18" s="129" t="str">
        <f>IF(ISERROR(_xll.qlSwapRateHelperSpread($D18)),IF(ISERROR(_xll.qlFuturesRateHelperConvexityAdjustment($D18)),"--",_xll.qlFuturesRateHelperConvexityAdjustment($D18)),_xll.qlSwapRateHelperSpread($D18))</f>
        <v>--</v>
      </c>
      <c r="H18" s="130">
        <f>_xll.qlRateHelperEarliestDate($D18)</f>
        <v>42194</v>
      </c>
      <c r="I18" s="130">
        <f>_xll.qlRateHelperMaturityDate(D18)</f>
        <v>42562</v>
      </c>
      <c r="J18" s="131">
        <f>_xll.qlRateHelperPillarDate($D18)</f>
        <v>42562</v>
      </c>
      <c r="K18" s="123">
        <v>3.068100397718349E-3</v>
      </c>
      <c r="L18" s="15">
        <v>0.99689470227126997</v>
      </c>
      <c r="M18" s="132"/>
      <c r="N18" s="124"/>
      <c r="O18" s="124"/>
      <c r="P18" s="124"/>
      <c r="Q18" s="134"/>
      <c r="R18" s="27"/>
      <c r="S18" s="27"/>
      <c r="T18" s="124"/>
      <c r="U18" s="133"/>
      <c r="V18" s="124"/>
      <c r="W18" s="27"/>
      <c r="X18" s="124"/>
      <c r="Y18" s="133"/>
    </row>
    <row r="19" spans="3:25" x14ac:dyDescent="0.2">
      <c r="C19" s="127"/>
      <c r="D19" s="128" t="str">
        <v>obj_0029e</v>
      </c>
      <c r="E19" s="128" t="str">
        <f>_xll.qlRateHelperQuoteName(D19)</f>
        <v>USD18MOIS_LCHQuote</v>
      </c>
      <c r="F19" s="129">
        <f>_xll.qlRateHelperQuoteValue($D19)</f>
        <v>4.5676249999999996E-3</v>
      </c>
      <c r="G19" s="129" t="str">
        <f>IF(ISERROR(_xll.qlSwapRateHelperSpread($D19)),IF(ISERROR(_xll.qlFuturesRateHelperConvexityAdjustment($D19)),"--",_xll.qlFuturesRateHelperConvexityAdjustment($D19)),_xll.qlSwapRateHelperSpread($D19))</f>
        <v>--</v>
      </c>
      <c r="H19" s="130">
        <f>_xll.qlRateHelperEarliestDate($D19)</f>
        <v>42194</v>
      </c>
      <c r="I19" s="130">
        <f>_xll.qlRateHelperMaturityDate(D19)</f>
        <v>42744</v>
      </c>
      <c r="J19" s="131">
        <f>_xll.qlRateHelperPillarDate($D19)</f>
        <v>42744</v>
      </c>
      <c r="K19" s="123">
        <v>4.6123542327226241E-3</v>
      </c>
      <c r="L19" s="15">
        <v>0.99304887561681776</v>
      </c>
      <c r="M19" s="132"/>
      <c r="N19" s="124"/>
      <c r="O19" s="124"/>
      <c r="P19" s="124"/>
      <c r="Q19" s="134"/>
      <c r="R19" s="27"/>
      <c r="S19" s="27"/>
      <c r="T19" s="124"/>
      <c r="U19" s="133"/>
      <c r="V19" s="124"/>
      <c r="W19" s="27"/>
      <c r="X19" s="124"/>
      <c r="Y19" s="133"/>
    </row>
    <row r="20" spans="3:25" x14ac:dyDescent="0.2">
      <c r="C20" s="127"/>
      <c r="D20" s="128" t="str">
        <v>obj_0029d</v>
      </c>
      <c r="E20" s="128" t="str">
        <f>_xll.qlRateHelperQuoteName(D20)</f>
        <v>USD2YOIS_LCHQuote</v>
      </c>
      <c r="F20" s="129">
        <f>_xll.qlRateHelperQuoteValue($D20)</f>
        <v>6.2043749999999998E-3</v>
      </c>
      <c r="G20" s="129" t="str">
        <f>IF(ISERROR(_xll.qlSwapRateHelperSpread($D20)),IF(ISERROR(_xll.qlFuturesRateHelperConvexityAdjustment($D20)),"--",_xll.qlFuturesRateHelperConvexityAdjustment($D20)),_xll.qlSwapRateHelperSpread($D20))</f>
        <v>--</v>
      </c>
      <c r="H20" s="130">
        <f>_xll.qlRateHelperEarliestDate($D20)</f>
        <v>42194</v>
      </c>
      <c r="I20" s="130">
        <f>_xll.qlRateHelperMaturityDate(D20)</f>
        <v>42926</v>
      </c>
      <c r="J20" s="131">
        <f>_xll.qlRateHelperPillarDate($D20)</f>
        <v>42926</v>
      </c>
      <c r="K20" s="123">
        <v>6.2674641182768106E-3</v>
      </c>
      <c r="L20" s="15">
        <v>0.98747548011854691</v>
      </c>
      <c r="M20" s="132"/>
      <c r="N20" s="124"/>
      <c r="O20" s="124"/>
      <c r="P20" s="124"/>
      <c r="Q20" s="134"/>
      <c r="R20" s="27"/>
      <c r="S20" s="27"/>
      <c r="T20" s="124"/>
      <c r="U20" s="133"/>
      <c r="V20" s="124"/>
      <c r="W20" s="27"/>
      <c r="X20" s="124"/>
      <c r="Y20" s="133"/>
    </row>
    <row r="21" spans="3:25" x14ac:dyDescent="0.2">
      <c r="C21" s="127"/>
      <c r="D21" s="128" t="str">
        <v>obj_00284</v>
      </c>
      <c r="E21" s="128" t="str">
        <f>_xll.qlRateHelperQuoteName(D21)</f>
        <v>USD3FF3L3Y_LCHQuote</v>
      </c>
      <c r="F21" s="129">
        <f>_xll.qlRateHelperQuoteValue($D21)</f>
        <v>9.3283749999999999E-3</v>
      </c>
      <c r="G21" s="129">
        <f>IF(ISERROR(_xll.qlSwapRateHelperSpread($D21)),IF(ISERROR(_xll.qlFuturesRateHelperConvexityAdjustment($D21)),"--",_xll.qlFuturesRateHelperConvexityAdjustment($D21)),_xll.qlSwapRateHelperSpread($D21))</f>
        <v>0</v>
      </c>
      <c r="H21" s="130">
        <f>_xll.qlRateHelperEarliestDate($D21)</f>
        <v>42194</v>
      </c>
      <c r="I21" s="130">
        <f>_xll.qlRateHelperMaturityDate(D21)</f>
        <v>43290</v>
      </c>
      <c r="J21" s="131">
        <f>_xll.qlRateHelperPillarDate($D21)</f>
        <v>43290</v>
      </c>
      <c r="K21" s="123">
        <v>9.4389674245859909E-3</v>
      </c>
      <c r="L21" s="15">
        <v>0.97200485193850139</v>
      </c>
      <c r="M21" s="132"/>
      <c r="N21" s="124"/>
      <c r="O21" s="124"/>
      <c r="P21" s="124"/>
      <c r="Q21" s="134"/>
      <c r="R21" s="27"/>
      <c r="S21" s="27"/>
      <c r="T21" s="124"/>
      <c r="U21" s="133"/>
      <c r="V21" s="124"/>
      <c r="W21" s="27"/>
      <c r="X21" s="124"/>
      <c r="Y21" s="133"/>
    </row>
    <row r="22" spans="3:25" x14ac:dyDescent="0.2">
      <c r="C22" s="127"/>
      <c r="D22" s="128" t="str">
        <v>obj_00282</v>
      </c>
      <c r="E22" s="128" t="str">
        <f>_xll.qlRateHelperQuoteName(D22)</f>
        <v>USD3FF3L4Y_LCHQuote</v>
      </c>
      <c r="F22" s="129">
        <f>_xll.qlRateHelperQuoteValue($D22)</f>
        <v>1.2035000000000001E-2</v>
      </c>
      <c r="G22" s="129">
        <f>IF(ISERROR(_xll.qlSwapRateHelperSpread($D22)),IF(ISERROR(_xll.qlFuturesRateHelperConvexityAdjustment($D22)),"--",_xll.qlFuturesRateHelperConvexityAdjustment($D22)),_xll.qlSwapRateHelperSpread($D22))</f>
        <v>0</v>
      </c>
      <c r="H22" s="130">
        <f>_xll.qlRateHelperEarliestDate($D22)</f>
        <v>42194</v>
      </c>
      <c r="I22" s="130">
        <f>_xll.qlRateHelperMaturityDate(D22)</f>
        <v>43655</v>
      </c>
      <c r="J22" s="131">
        <f>_xll.qlRateHelperPillarDate($D22)</f>
        <v>43655</v>
      </c>
      <c r="K22" s="123">
        <v>1.2203040201847815E-2</v>
      </c>
      <c r="L22" s="15">
        <v>0.95226448750317005</v>
      </c>
      <c r="M22" s="132"/>
      <c r="N22" s="124"/>
      <c r="O22" s="124"/>
      <c r="P22" s="124"/>
      <c r="Q22" s="134"/>
      <c r="R22" s="27"/>
      <c r="S22" s="27"/>
      <c r="T22" s="124"/>
      <c r="U22" s="133"/>
      <c r="V22" s="124"/>
      <c r="W22" s="27"/>
      <c r="X22" s="124"/>
      <c r="Y22" s="133"/>
    </row>
    <row r="23" spans="3:25" x14ac:dyDescent="0.2">
      <c r="C23" s="127"/>
      <c r="D23" s="128" t="str">
        <v>obj_00291</v>
      </c>
      <c r="E23" s="128" t="str">
        <f>_xll.qlRateHelperQuoteName(D23)</f>
        <v>USD3FF3L5Y_LCHQuote</v>
      </c>
      <c r="F23" s="129">
        <f>_xll.qlRateHelperQuoteValue($D23)</f>
        <v>1.43225E-2</v>
      </c>
      <c r="G23" s="129">
        <f>IF(ISERROR(_xll.qlSwapRateHelperSpread($D23)),IF(ISERROR(_xll.qlFuturesRateHelperConvexityAdjustment($D23)),"--",_xll.qlFuturesRateHelperConvexityAdjustment($D23)),_xll.qlSwapRateHelperSpread($D23))</f>
        <v>0</v>
      </c>
      <c r="H23" s="130">
        <f>_xll.qlRateHelperEarliestDate($D23)</f>
        <v>42194</v>
      </c>
      <c r="I23" s="130">
        <f>_xll.qlRateHelperMaturityDate(D23)</f>
        <v>44021</v>
      </c>
      <c r="J23" s="131">
        <f>_xll.qlRateHelperPillarDate($D23)</f>
        <v>44021</v>
      </c>
      <c r="K23" s="123">
        <v>1.4556263349937813E-2</v>
      </c>
      <c r="L23" s="15">
        <v>0.92965582921403278</v>
      </c>
      <c r="M23" s="132"/>
      <c r="N23" s="124"/>
      <c r="O23" s="124"/>
      <c r="P23" s="124"/>
      <c r="Q23" s="134"/>
      <c r="R23" s="27"/>
      <c r="S23" s="27"/>
      <c r="T23" s="124"/>
      <c r="U23" s="133"/>
      <c r="V23" s="124"/>
      <c r="W23" s="27"/>
      <c r="X23" s="124"/>
      <c r="Y23" s="133"/>
    </row>
    <row r="24" spans="3:25" x14ac:dyDescent="0.2">
      <c r="C24" s="127"/>
      <c r="D24" s="128" t="str">
        <v>obj_00289</v>
      </c>
      <c r="E24" s="128" t="str">
        <f>_xll.qlRateHelperQuoteName(D24)</f>
        <v>USD3FF3L6Y_LCHQuote</v>
      </c>
      <c r="F24" s="129">
        <f>_xll.qlRateHelperQuoteValue($D24)</f>
        <v>1.6249699999999999E-2</v>
      </c>
      <c r="G24" s="129">
        <f>IF(ISERROR(_xll.qlSwapRateHelperSpread($D24)),IF(ISERROR(_xll.qlFuturesRateHelperConvexityAdjustment($D24)),"--",_xll.qlFuturesRateHelperConvexityAdjustment($D24)),_xll.qlSwapRateHelperSpread($D24))</f>
        <v>0</v>
      </c>
      <c r="H24" s="130">
        <f>_xll.qlRateHelperEarliestDate($D24)</f>
        <v>42194</v>
      </c>
      <c r="I24" s="130">
        <f>_xll.qlRateHelperMaturityDate(D24)</f>
        <v>44386</v>
      </c>
      <c r="J24" s="131">
        <f>_xll.qlRateHelperPillarDate($D24)</f>
        <v>44386</v>
      </c>
      <c r="K24" s="123">
        <v>1.6555538378505593E-2</v>
      </c>
      <c r="L24" s="15">
        <v>0.9052766776656157</v>
      </c>
      <c r="M24" s="132"/>
      <c r="N24" s="124"/>
      <c r="O24" s="124"/>
      <c r="P24" s="124"/>
      <c r="Q24" s="134"/>
      <c r="R24" s="27"/>
      <c r="S24" s="27"/>
      <c r="T24" s="124"/>
      <c r="U24" s="133"/>
      <c r="V24" s="124"/>
      <c r="W24" s="27"/>
      <c r="X24" s="124"/>
      <c r="Y24" s="133"/>
    </row>
    <row r="25" spans="3:25" x14ac:dyDescent="0.2">
      <c r="C25" s="127"/>
      <c r="D25" s="128" t="str">
        <v>obj_00283</v>
      </c>
      <c r="E25" s="128" t="str">
        <f>_xll.qlRateHelperQuoteName(D25)</f>
        <v>USD3FF3L7Y_LCHQuote</v>
      </c>
      <c r="F25" s="129">
        <f>_xll.qlRateHelperQuoteValue($D25)</f>
        <v>1.7824E-2</v>
      </c>
      <c r="G25" s="129">
        <f>IF(ISERROR(_xll.qlSwapRateHelperSpread($D25)),IF(ISERROR(_xll.qlFuturesRateHelperConvexityAdjustment($D25)),"--",_xll.qlFuturesRateHelperConvexityAdjustment($D25)),_xll.qlSwapRateHelperSpread($D25))</f>
        <v>0</v>
      </c>
      <c r="H25" s="130">
        <f>_xll.qlRateHelperEarliestDate($D25)</f>
        <v>42194</v>
      </c>
      <c r="I25" s="130">
        <f>_xll.qlRateHelperMaturityDate(D25)</f>
        <v>44753</v>
      </c>
      <c r="J25" s="131">
        <f>_xll.qlRateHelperPillarDate($D25)</f>
        <v>44753</v>
      </c>
      <c r="K25" s="123">
        <v>1.8201580925869792E-2</v>
      </c>
      <c r="L25" s="15">
        <v>0.88010833551169998</v>
      </c>
      <c r="M25" s="132"/>
      <c r="N25" s="124"/>
      <c r="O25" s="124"/>
      <c r="P25" s="124"/>
      <c r="Q25" s="134"/>
      <c r="R25" s="27"/>
      <c r="S25" s="27"/>
      <c r="T25" s="124"/>
      <c r="U25" s="133"/>
      <c r="V25" s="124"/>
      <c r="W25" s="27"/>
      <c r="X25" s="124"/>
      <c r="Y25" s="133"/>
    </row>
    <row r="26" spans="3:25" x14ac:dyDescent="0.2">
      <c r="C26" s="127"/>
      <c r="D26" s="128" t="str">
        <v>obj_0027f</v>
      </c>
      <c r="E26" s="128" t="str">
        <f>_xll.qlRateHelperQuoteName(D26)</f>
        <v>USD3FF3L8Y_LCHQuote</v>
      </c>
      <c r="F26" s="129">
        <f>_xll.qlRateHelperQuoteValue($D26)</f>
        <v>1.9099674300000001E-2</v>
      </c>
      <c r="G26" s="129">
        <f>IF(ISERROR(_xll.qlSwapRateHelperSpread($D26)),IF(ISERROR(_xll.qlFuturesRateHelperConvexityAdjustment($D26)),"--",_xll.qlFuturesRateHelperConvexityAdjustment($D26)),_xll.qlSwapRateHelperSpread($D26))</f>
        <v>0</v>
      </c>
      <c r="H26" s="130">
        <f>_xll.qlRateHelperEarliestDate($D26)</f>
        <v>42194</v>
      </c>
      <c r="I26" s="130">
        <f>_xll.qlRateHelperMaturityDate(D26)</f>
        <v>45117</v>
      </c>
      <c r="J26" s="131">
        <f>_xll.qlRateHelperPillarDate($D26)</f>
        <v>45117</v>
      </c>
      <c r="K26" s="123">
        <v>1.9545895561457454E-2</v>
      </c>
      <c r="L26" s="15">
        <v>0.85501615414617826</v>
      </c>
      <c r="M26" s="132"/>
      <c r="N26" s="124"/>
      <c r="O26" s="124"/>
      <c r="P26" s="124"/>
      <c r="Q26" s="134"/>
      <c r="R26" s="27"/>
      <c r="S26" s="27"/>
      <c r="T26" s="124"/>
      <c r="U26" s="133"/>
      <c r="V26" s="124"/>
      <c r="W26" s="27"/>
      <c r="X26" s="124"/>
      <c r="Y26" s="133"/>
    </row>
    <row r="27" spans="3:25" x14ac:dyDescent="0.2">
      <c r="C27" s="127"/>
      <c r="D27" s="128" t="str">
        <v>obj_0028d</v>
      </c>
      <c r="E27" s="128" t="str">
        <f>_xll.qlRateHelperQuoteName(D27)</f>
        <v>USD3FF3L9Y_LCHQuote</v>
      </c>
      <c r="F27" s="129">
        <f>_xll.qlRateHelperQuoteValue($D27)</f>
        <v>2.0153425700000002E-2</v>
      </c>
      <c r="G27" s="129">
        <f>IF(ISERROR(_xll.qlSwapRateHelperSpread($D27)),IF(ISERROR(_xll.qlFuturesRateHelperConvexityAdjustment($D27)),"--",_xll.qlFuturesRateHelperConvexityAdjustment($D27)),_xll.qlSwapRateHelperSpread($D27))</f>
        <v>0</v>
      </c>
      <c r="H27" s="130">
        <f>_xll.qlRateHelperEarliestDate($D27)</f>
        <v>42194</v>
      </c>
      <c r="I27" s="130">
        <f>_xll.qlRateHelperMaturityDate(D27)</f>
        <v>45482</v>
      </c>
      <c r="J27" s="131">
        <f>_xll.qlRateHelperPillarDate($D27)</f>
        <v>45482</v>
      </c>
      <c r="K27" s="123">
        <v>2.0664231112845037E-2</v>
      </c>
      <c r="L27" s="15">
        <v>0.83005679595210724</v>
      </c>
      <c r="M27" s="132"/>
      <c r="N27" s="124"/>
      <c r="O27" s="124"/>
      <c r="P27" s="124"/>
      <c r="Q27" s="134"/>
      <c r="R27" s="27"/>
      <c r="S27" s="27"/>
      <c r="T27" s="124"/>
      <c r="U27" s="133"/>
      <c r="V27" s="124"/>
      <c r="W27" s="27"/>
      <c r="X27" s="124"/>
      <c r="Y27" s="133"/>
    </row>
    <row r="28" spans="3:25" x14ac:dyDescent="0.2">
      <c r="C28" s="127"/>
      <c r="D28" s="128" t="str">
        <v>obj_00288</v>
      </c>
      <c r="E28" s="128" t="str">
        <f>_xll.qlRateHelperQuoteName(D28)</f>
        <v>USD3FF3L10Y_LCHQuote</v>
      </c>
      <c r="F28" s="129">
        <f>_xll.qlRateHelperQuoteValue($D28)</f>
        <v>2.1037E-2</v>
      </c>
      <c r="G28" s="129">
        <f>IF(ISERROR(_xll.qlSwapRateHelperSpread($D28)),IF(ISERROR(_xll.qlFuturesRateHelperConvexityAdjustment($D28)),"--",_xll.qlFuturesRateHelperConvexityAdjustment($D28)),_xll.qlSwapRateHelperSpread($D28))</f>
        <v>0</v>
      </c>
      <c r="H28" s="130">
        <f>_xll.qlRateHelperEarliestDate($D28)</f>
        <v>42194</v>
      </c>
      <c r="I28" s="130">
        <f>_xll.qlRateHelperMaturityDate(D28)</f>
        <v>45847</v>
      </c>
      <c r="J28" s="131">
        <f>_xll.qlRateHelperPillarDate($D28)</f>
        <v>45847</v>
      </c>
      <c r="K28" s="123">
        <v>2.1608633541327263E-2</v>
      </c>
      <c r="L28" s="15">
        <v>0.80542729262766821</v>
      </c>
      <c r="M28" s="132"/>
      <c r="N28" s="124"/>
      <c r="O28" s="124"/>
      <c r="P28" s="124"/>
      <c r="Q28" s="134"/>
      <c r="R28" s="27"/>
      <c r="S28" s="27"/>
      <c r="T28" s="124"/>
      <c r="U28" s="133"/>
      <c r="V28" s="124"/>
      <c r="W28" s="27"/>
      <c r="X28" s="124"/>
      <c r="Y28" s="133"/>
    </row>
    <row r="29" spans="3:25" x14ac:dyDescent="0.2">
      <c r="C29" s="127"/>
      <c r="D29" s="128" t="str">
        <v>obj_00280</v>
      </c>
      <c r="E29" s="128" t="str">
        <f>_xll.qlRateHelperQuoteName(D29)</f>
        <v>USD3FF3L12Y_LCHQuote</v>
      </c>
      <c r="F29" s="129">
        <f>_xll.qlRateHelperQuoteValue($D29)</f>
        <v>2.2411250000000001E-2</v>
      </c>
      <c r="G29" s="129">
        <f>IF(ISERROR(_xll.qlSwapRateHelperSpread($D29)),IF(ISERROR(_xll.qlFuturesRateHelperConvexityAdjustment($D29)),"--",_xll.qlFuturesRateHelperConvexityAdjustment($D29)),_xll.qlSwapRateHelperSpread($D29))</f>
        <v>0</v>
      </c>
      <c r="H29" s="130">
        <f>_xll.qlRateHelperEarliestDate($D29)</f>
        <v>42194</v>
      </c>
      <c r="I29" s="130">
        <f>_xll.qlRateHelperMaturityDate(D29)</f>
        <v>46577</v>
      </c>
      <c r="J29" s="131">
        <f>_xll.qlRateHelperPillarDate($D29)</f>
        <v>46577</v>
      </c>
      <c r="K29" s="123">
        <v>2.3092082508952543E-2</v>
      </c>
      <c r="L29" s="15">
        <v>0.75774769966815558</v>
      </c>
      <c r="M29" s="132"/>
      <c r="N29" s="124"/>
      <c r="O29" s="124"/>
      <c r="P29" s="124"/>
      <c r="Q29" s="134"/>
      <c r="R29" s="27"/>
      <c r="S29" s="27"/>
      <c r="T29" s="124"/>
      <c r="U29" s="133"/>
      <c r="V29" s="124"/>
      <c r="W29" s="27"/>
      <c r="X29" s="124"/>
      <c r="Y29" s="133"/>
    </row>
    <row r="30" spans="3:25" x14ac:dyDescent="0.2">
      <c r="C30" s="127"/>
      <c r="D30" s="128" t="str">
        <v>obj_0028e</v>
      </c>
      <c r="E30" s="128" t="str">
        <f>_xll.qlRateHelperQuoteName(D30)</f>
        <v>USD3FF3L15Y_LCHQuote</v>
      </c>
      <c r="F30" s="129">
        <f>_xll.qlRateHelperQuoteValue($D30)</f>
        <v>2.3694125E-2</v>
      </c>
      <c r="G30" s="129">
        <f>IF(ISERROR(_xll.qlSwapRateHelperSpread($D30)),IF(ISERROR(_xll.qlFuturesRateHelperConvexityAdjustment($D30)),"--",_xll.qlFuturesRateHelperConvexityAdjustment($D30)),_xll.qlSwapRateHelperSpread($D30))</f>
        <v>0</v>
      </c>
      <c r="H30" s="130">
        <f>_xll.qlRateHelperEarliestDate($D30)</f>
        <v>42194</v>
      </c>
      <c r="I30" s="130">
        <f>_xll.qlRateHelperMaturityDate(D30)</f>
        <v>47673</v>
      </c>
      <c r="J30" s="131">
        <f>_xll.qlRateHelperPillarDate($D30)</f>
        <v>47673</v>
      </c>
      <c r="K30" s="123">
        <v>2.4483918991453309E-2</v>
      </c>
      <c r="L30" s="15">
        <v>0.69240059140049737</v>
      </c>
      <c r="M30" s="132"/>
      <c r="N30" s="124"/>
      <c r="O30" s="124"/>
      <c r="P30" s="124"/>
      <c r="Q30" s="134"/>
      <c r="R30" s="27"/>
      <c r="S30" s="27"/>
      <c r="T30" s="124"/>
      <c r="U30" s="133"/>
      <c r="V30" s="124"/>
      <c r="W30" s="27"/>
      <c r="X30" s="124"/>
      <c r="Y30" s="133"/>
    </row>
    <row r="31" spans="3:25" x14ac:dyDescent="0.2">
      <c r="C31" s="127"/>
      <c r="D31" s="128" t="str">
        <v>obj_00290</v>
      </c>
      <c r="E31" s="128" t="str">
        <f>_xll.qlRateHelperQuoteName(D31)</f>
        <v>USD3FF3L20Y_LCHQuote</v>
      </c>
      <c r="F31" s="129">
        <f>_xll.qlRateHelperQuoteValue($D31)</f>
        <v>2.48963E-2</v>
      </c>
      <c r="G31" s="129">
        <f>IF(ISERROR(_xll.qlSwapRateHelperSpread($D31)),IF(ISERROR(_xll.qlFuturesRateHelperConvexityAdjustment($D31)),"--",_xll.qlFuturesRateHelperConvexityAdjustment($D31)),_xll.qlSwapRateHelperSpread($D31))</f>
        <v>0</v>
      </c>
      <c r="H31" s="130">
        <f>_xll.qlRateHelperEarliestDate($D31)</f>
        <v>42194</v>
      </c>
      <c r="I31" s="130">
        <f>_xll.qlRateHelperMaturityDate(D31)</f>
        <v>49499</v>
      </c>
      <c r="J31" s="131">
        <f>_xll.qlRateHelperPillarDate($D31)</f>
        <v>49499</v>
      </c>
      <c r="K31" s="123">
        <v>2.5798640045426459E-2</v>
      </c>
      <c r="L31" s="15">
        <v>0.59676851986606838</v>
      </c>
      <c r="M31" s="132"/>
      <c r="N31" s="124"/>
      <c r="O31" s="124"/>
      <c r="P31" s="124"/>
      <c r="Q31" s="134"/>
      <c r="R31" s="27"/>
      <c r="S31" s="27"/>
      <c r="T31" s="124"/>
      <c r="U31" s="133"/>
      <c r="V31" s="124"/>
      <c r="W31" s="27"/>
      <c r="X31" s="124"/>
      <c r="Y31" s="133"/>
    </row>
    <row r="32" spans="3:25" x14ac:dyDescent="0.2">
      <c r="C32" s="127"/>
      <c r="D32" s="128" t="str">
        <v>obj_00286</v>
      </c>
      <c r="E32" s="128" t="str">
        <f>_xll.qlRateHelperQuoteName(D32)</f>
        <v>USD3FF3L25Y_LCHQuote</v>
      </c>
      <c r="F32" s="129">
        <f>_xll.qlRateHelperQuoteValue($D32)</f>
        <v>2.5461125000000001E-2</v>
      </c>
      <c r="G32" s="129">
        <f>IF(ISERROR(_xll.qlSwapRateHelperSpread($D32)),IF(ISERROR(_xll.qlFuturesRateHelperConvexityAdjustment($D32)),"--",_xll.qlFuturesRateHelperConvexityAdjustment($D32)),_xll.qlSwapRateHelperSpread($D32))</f>
        <v>0</v>
      </c>
      <c r="H32" s="130">
        <f>_xll.qlRateHelperEarliestDate($D32)</f>
        <v>42194</v>
      </c>
      <c r="I32" s="130">
        <f>_xll.qlRateHelperMaturityDate(D32)</f>
        <v>51326</v>
      </c>
      <c r="J32" s="131">
        <f>_xll.qlRateHelperPillarDate($D32)</f>
        <v>51326</v>
      </c>
      <c r="K32" s="123">
        <v>2.6388442884966421E-2</v>
      </c>
      <c r="L32" s="15">
        <v>0.51684664845821604</v>
      </c>
      <c r="M32" s="132"/>
      <c r="N32" s="124"/>
      <c r="O32" s="124"/>
      <c r="P32" s="124"/>
      <c r="Q32" s="134"/>
      <c r="R32" s="27"/>
      <c r="S32" s="27"/>
      <c r="T32" s="124"/>
      <c r="U32" s="133"/>
      <c r="V32" s="124"/>
      <c r="W32" s="27"/>
      <c r="X32" s="124"/>
      <c r="Y32" s="133"/>
    </row>
    <row r="33" spans="3:25" x14ac:dyDescent="0.2">
      <c r="C33" s="127"/>
      <c r="D33" s="128" t="str">
        <v>obj_00281</v>
      </c>
      <c r="E33" s="128" t="str">
        <f>_xll.qlRateHelperQuoteName(D33)</f>
        <v>USD3FF3L30Y_LCHQuote</v>
      </c>
      <c r="F33" s="129">
        <f>_xll.qlRateHelperQuoteValue($D33)</f>
        <v>2.57878E-2</v>
      </c>
      <c r="G33" s="129">
        <f>IF(ISERROR(_xll.qlSwapRateHelperSpread($D33)),IF(ISERROR(_xll.qlFuturesRateHelperConvexityAdjustment($D33)),"--",_xll.qlFuturesRateHelperConvexityAdjustment($D33)),_xll.qlSwapRateHelperSpread($D33))</f>
        <v>0</v>
      </c>
      <c r="H33" s="130">
        <f>_xll.qlRateHelperEarliestDate($D33)</f>
        <v>42194</v>
      </c>
      <c r="I33" s="130">
        <f>_xll.qlRateHelperMaturityDate(D33)</f>
        <v>53153</v>
      </c>
      <c r="J33" s="131">
        <f>_xll.qlRateHelperPillarDate($D33)</f>
        <v>53153</v>
      </c>
      <c r="K33" s="123">
        <v>2.6716324476734075E-2</v>
      </c>
      <c r="L33" s="15">
        <v>0.44848402559567474</v>
      </c>
      <c r="M33" s="132"/>
      <c r="N33" s="124"/>
      <c r="O33" s="124"/>
      <c r="P33" s="124"/>
      <c r="Q33" s="134"/>
      <c r="R33" s="27"/>
      <c r="S33" s="27"/>
      <c r="T33" s="124"/>
      <c r="U33" s="133"/>
      <c r="V33" s="124"/>
      <c r="W33" s="27"/>
      <c r="X33" s="124"/>
      <c r="Y33" s="133"/>
    </row>
    <row r="34" spans="3:25" x14ac:dyDescent="0.2">
      <c r="C34" s="127"/>
      <c r="D34" s="128" t="str">
        <v>obj_00292</v>
      </c>
      <c r="E34" s="128" t="str">
        <f>_xll.qlRateHelperQuoteName(D34)</f>
        <v>USD3FF3L40Y_LCHQuote</v>
      </c>
      <c r="F34" s="129">
        <f>_xll.qlRateHelperQuoteValue($D34)</f>
        <v>2.5954999999999999E-2</v>
      </c>
      <c r="G34" s="129">
        <f>IF(ISERROR(_xll.qlSwapRateHelperSpread($D34)),IF(ISERROR(_xll.qlFuturesRateHelperConvexityAdjustment($D34)),"--",_xll.qlFuturesRateHelperConvexityAdjustment($D34)),_xll.qlSwapRateHelperSpread($D34))</f>
        <v>0</v>
      </c>
      <c r="H34" s="130">
        <f>_xll.qlRateHelperEarliestDate($D34)</f>
        <v>42194</v>
      </c>
      <c r="I34" s="130">
        <f>_xll.qlRateHelperMaturityDate(D34)</f>
        <v>56804</v>
      </c>
      <c r="J34" s="131">
        <f>_xll.qlRateHelperPillarDate($D34)</f>
        <v>56804</v>
      </c>
      <c r="K34" s="123">
        <v>2.6755917799794166E-2</v>
      </c>
      <c r="L34" s="15">
        <v>0.34302574452495482</v>
      </c>
      <c r="M34" s="132"/>
      <c r="N34" s="124"/>
      <c r="O34" s="124"/>
      <c r="P34" s="124"/>
      <c r="Q34" s="134"/>
      <c r="R34" s="27"/>
      <c r="S34" s="27"/>
      <c r="T34" s="124"/>
      <c r="U34" s="133"/>
      <c r="V34" s="124"/>
      <c r="W34" s="27"/>
      <c r="X34" s="124"/>
      <c r="Y34" s="133"/>
    </row>
    <row r="35" spans="3:25" x14ac:dyDescent="0.2">
      <c r="C35" s="127"/>
      <c r="D35" s="128" t="str">
        <v>obj_0028b</v>
      </c>
      <c r="E35" s="128" t="str">
        <f>_xll.qlRateHelperQuoteName(D35)</f>
        <v>USD3FF3L50Y_LCHQuote</v>
      </c>
      <c r="F35" s="129">
        <f>_xll.qlRateHelperQuoteValue($D35)</f>
        <v>2.579E-2</v>
      </c>
      <c r="G35" s="129">
        <f>IF(ISERROR(_xll.qlSwapRateHelperSpread($D35)),IF(ISERROR(_xll.qlFuturesRateHelperConvexityAdjustment($D35)),"--",_xll.qlFuturesRateHelperConvexityAdjustment($D35)),_xll.qlSwapRateHelperSpread($D35))</f>
        <v>0</v>
      </c>
      <c r="H35" s="130">
        <f>_xll.qlRateHelperEarliestDate($D35)</f>
        <v>42194</v>
      </c>
      <c r="I35" s="130">
        <f>_xll.qlRateHelperMaturityDate(D35)</f>
        <v>60457</v>
      </c>
      <c r="J35" s="131">
        <f>_xll.qlRateHelperPillarDate($D35)</f>
        <v>60457</v>
      </c>
      <c r="K35" s="123">
        <v>2.6291925020483577E-2</v>
      </c>
      <c r="L35" s="15">
        <v>0.26842612283198314</v>
      </c>
      <c r="M35" s="132"/>
      <c r="N35" s="124"/>
      <c r="O35" s="124"/>
      <c r="P35" s="124"/>
      <c r="Q35" s="134"/>
      <c r="R35" s="27"/>
      <c r="S35" s="27"/>
      <c r="T35" s="124"/>
      <c r="U35" s="133"/>
      <c r="V35" s="124"/>
      <c r="W35" s="27"/>
      <c r="X35" s="124"/>
      <c r="Y35" s="133"/>
    </row>
    <row r="36" spans="3:25" x14ac:dyDescent="0.2">
      <c r="C36" s="127"/>
      <c r="D36" s="128" t="str">
        <v>obj_00285</v>
      </c>
      <c r="E36" s="128" t="str">
        <f>_xll.qlRateHelperQuoteName(D36)</f>
        <v>USD3FF3L60Y_LCHQuote</v>
      </c>
      <c r="F36" s="129">
        <f>_xll.qlRateHelperQuoteValue($D36)</f>
        <v>2.6120000000000001E-2</v>
      </c>
      <c r="G36" s="129">
        <f>IF(ISERROR(_xll.qlSwapRateHelperSpread($D36)),IF(ISERROR(_xll.qlFuturesRateHelperConvexityAdjustment($D36)),"--",_xll.qlFuturesRateHelperConvexityAdjustment($D36)),_xll.qlSwapRateHelperSpread($D36))</f>
        <v>0</v>
      </c>
      <c r="H36" s="130">
        <f>_xll.qlRateHelperEarliestDate($D36)</f>
        <v>42194</v>
      </c>
      <c r="I36" s="130">
        <f>_xll.qlRateHelperMaturityDate(D36)</f>
        <v>64109</v>
      </c>
      <c r="J36" s="131">
        <f>_xll.qlRateHelperPillarDate($D36)</f>
        <v>64109</v>
      </c>
      <c r="K36" s="123">
        <v>2.69354084435596E-2</v>
      </c>
      <c r="L36" s="15">
        <v>0.19835751835408721</v>
      </c>
      <c r="M36" s="132"/>
      <c r="N36" s="124"/>
      <c r="O36" s="124"/>
      <c r="P36" s="124"/>
      <c r="Q36" s="134"/>
      <c r="R36" s="27"/>
      <c r="S36" s="27"/>
      <c r="T36" s="124"/>
      <c r="U36" s="133"/>
      <c r="V36" s="124"/>
      <c r="W36" s="27"/>
      <c r="X36" s="124"/>
      <c r="Y36" s="133"/>
    </row>
    <row r="37" spans="3:25" x14ac:dyDescent="0.2">
      <c r="C37" s="127"/>
      <c r="D37" s="128" t="e">
        <v>#N/A</v>
      </c>
      <c r="E37" s="128" t="e">
        <f>_xll.qlRateHelperQuoteName(D37)</f>
        <v>#VALUE!</v>
      </c>
      <c r="F37" s="129" t="e">
        <f>_xll.qlRateHelperQuoteValue($D37)</f>
        <v>#VALUE!</v>
      </c>
      <c r="G37" s="129" t="str">
        <f>IF(ISERROR(_xll.qlSwapRateHelperSpread($D37)),IF(ISERROR(_xll.qlFuturesRateHelperConvexityAdjustment($D37)),"--",_xll.qlFuturesRateHelperConvexityAdjustment($D37)),_xll.qlSwapRateHelperSpread($D37))</f>
        <v>--</v>
      </c>
      <c r="H37" s="130" t="e">
        <f>_xll.qlRateHelperEarliestDate($D37)</f>
        <v>#VALUE!</v>
      </c>
      <c r="I37" s="130" t="e">
        <f>_xll.qlRateHelperMaturityDate(D37)</f>
        <v>#VALUE!</v>
      </c>
      <c r="J37" s="131" t="e">
        <f>_xll.qlRateHelperPillarDate($D37)</f>
        <v>#VALUE!</v>
      </c>
      <c r="K37" s="123" t="e">
        <v>#N/A</v>
      </c>
      <c r="L37" s="15" t="e">
        <v>#N/A</v>
      </c>
      <c r="M37" s="132"/>
      <c r="N37" s="124"/>
      <c r="O37" s="124"/>
      <c r="P37" s="124"/>
      <c r="Q37" s="134"/>
      <c r="R37" s="27"/>
      <c r="S37" s="27"/>
      <c r="T37" s="124"/>
      <c r="U37" s="133"/>
      <c r="V37" s="124"/>
      <c r="W37" s="27"/>
      <c r="X37" s="124"/>
      <c r="Y37" s="133"/>
    </row>
    <row r="38" spans="3:25" x14ac:dyDescent="0.2">
      <c r="D38" s="128" t="e">
        <v>#N/A</v>
      </c>
      <c r="E38" s="128" t="e">
        <f>_xll.qlRateHelperQuoteName(D38)</f>
        <v>#VALUE!</v>
      </c>
      <c r="F38" s="129" t="e">
        <f>_xll.qlRateHelperQuoteValue($D38)</f>
        <v>#VALUE!</v>
      </c>
      <c r="G38" s="129" t="str">
        <f>IF(ISERROR(_xll.qlSwapRateHelperSpread($D38)),IF(ISERROR(_xll.qlFuturesRateHelperConvexityAdjustment($D38)),"--",_xll.qlFuturesRateHelperConvexityAdjustment($D38)),_xll.qlSwapRateHelperSpread($D38))</f>
        <v>--</v>
      </c>
      <c r="H38" s="130" t="e">
        <f>_xll.qlRateHelperEarliestDate($D38)</f>
        <v>#VALUE!</v>
      </c>
      <c r="I38" s="130" t="e">
        <f>_xll.qlRateHelperMaturityDate(D38)</f>
        <v>#VALUE!</v>
      </c>
      <c r="J38" s="131" t="e">
        <f>_xll.qlRateHelperPillarDate($D38)</f>
        <v>#VALUE!</v>
      </c>
      <c r="K38" s="123" t="e">
        <v>#N/A</v>
      </c>
      <c r="L38" s="15" t="e">
        <v>#N/A</v>
      </c>
      <c r="M38" s="132"/>
      <c r="N38" s="124"/>
      <c r="O38" s="124"/>
      <c r="P38" s="124"/>
      <c r="Q38" s="134"/>
      <c r="R38" s="27"/>
      <c r="S38" s="27"/>
      <c r="T38" s="124"/>
      <c r="U38" s="133"/>
      <c r="V38" s="124"/>
      <c r="W38" s="27"/>
      <c r="X38" s="124"/>
      <c r="Y38" s="133"/>
    </row>
    <row r="39" spans="3:25" x14ac:dyDescent="0.2">
      <c r="D39" s="128" t="e">
        <v>#N/A</v>
      </c>
      <c r="E39" s="128" t="e">
        <f>_xll.qlRateHelperQuoteName(D39)</f>
        <v>#VALUE!</v>
      </c>
      <c r="F39" s="129" t="e">
        <f>_xll.qlRateHelperQuoteValue($D39)</f>
        <v>#VALUE!</v>
      </c>
      <c r="G39" s="129" t="str">
        <f>IF(ISERROR(_xll.qlSwapRateHelperSpread($D39)),IF(ISERROR(_xll.qlFuturesRateHelperConvexityAdjustment($D39)),"--",_xll.qlFuturesRateHelperConvexityAdjustment($D39)),_xll.qlSwapRateHelperSpread($D39))</f>
        <v>--</v>
      </c>
      <c r="H39" s="130" t="e">
        <f>_xll.qlRateHelperEarliestDate($D39)</f>
        <v>#VALUE!</v>
      </c>
      <c r="I39" s="130" t="e">
        <f>_xll.qlRateHelperMaturityDate(D39)</f>
        <v>#VALUE!</v>
      </c>
      <c r="J39" s="131" t="e">
        <f>_xll.qlRateHelperPillarDate($D39)</f>
        <v>#VALUE!</v>
      </c>
      <c r="K39" s="123" t="e">
        <v>#N/A</v>
      </c>
      <c r="L39" s="15" t="e">
        <v>#N/A</v>
      </c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</row>
    <row r="40" spans="3:25" x14ac:dyDescent="0.2">
      <c r="D40" s="128" t="e">
        <v>#N/A</v>
      </c>
      <c r="E40" s="128" t="e">
        <f>_xll.qlRateHelperQuoteName(D40)</f>
        <v>#VALUE!</v>
      </c>
      <c r="F40" s="129" t="e">
        <f>_xll.qlRateHelperQuoteValue($D40)</f>
        <v>#VALUE!</v>
      </c>
      <c r="G40" s="129" t="str">
        <f>IF(ISERROR(_xll.qlSwapRateHelperSpread($D40)),IF(ISERROR(_xll.qlFuturesRateHelperConvexityAdjustment($D40)),"--",_xll.qlFuturesRateHelperConvexityAdjustment($D40)),_xll.qlSwapRateHelperSpread($D40))</f>
        <v>--</v>
      </c>
      <c r="H40" s="130" t="e">
        <f>_xll.qlRateHelperEarliestDate($D40)</f>
        <v>#VALUE!</v>
      </c>
      <c r="I40" s="130" t="e">
        <f>_xll.qlRateHelperMaturityDate(D40)</f>
        <v>#VALUE!</v>
      </c>
      <c r="J40" s="131" t="e">
        <f>_xll.qlRateHelperPillarDate($D40)</f>
        <v>#VALUE!</v>
      </c>
      <c r="K40" s="123" t="e">
        <v>#N/A</v>
      </c>
      <c r="L40" s="15" t="e">
        <v>#N/A</v>
      </c>
      <c r="M40" s="124"/>
      <c r="N40" s="124"/>
      <c r="O40" s="124"/>
      <c r="P40" s="124"/>
      <c r="Q40" s="124"/>
      <c r="R40" s="124"/>
      <c r="S40" s="124"/>
      <c r="T40" s="124"/>
      <c r="U40" s="133"/>
      <c r="V40" s="133"/>
      <c r="W40" s="124"/>
      <c r="X40" s="124"/>
      <c r="Y40" s="124"/>
    </row>
    <row r="41" spans="3:25" x14ac:dyDescent="0.2">
      <c r="D41" s="128" t="e">
        <v>#N/A</v>
      </c>
      <c r="E41" s="128" t="e">
        <f>_xll.qlRateHelperQuoteName(D41)</f>
        <v>#VALUE!</v>
      </c>
      <c r="F41" s="129" t="e">
        <f>_xll.qlRateHelperQuoteValue($D41)</f>
        <v>#VALUE!</v>
      </c>
      <c r="G41" s="129" t="str">
        <f>IF(ISERROR(_xll.qlSwapRateHelperSpread($D41)),IF(ISERROR(_xll.qlFuturesRateHelperConvexityAdjustment($D41)),"--",_xll.qlFuturesRateHelperConvexityAdjustment($D41)),_xll.qlSwapRateHelperSpread($D41))</f>
        <v>--</v>
      </c>
      <c r="H41" s="130" t="e">
        <f>_xll.qlRateHelperEarliestDate($D41)</f>
        <v>#VALUE!</v>
      </c>
      <c r="I41" s="130" t="e">
        <f>_xll.qlRateHelperMaturityDate(D41)</f>
        <v>#VALUE!</v>
      </c>
      <c r="J41" s="131" t="e">
        <f>_xll.qlRateHelperPillarDate($D41)</f>
        <v>#VALUE!</v>
      </c>
      <c r="K41" s="123" t="e">
        <v>#N/A</v>
      </c>
      <c r="L41" s="15" t="e">
        <v>#N/A</v>
      </c>
      <c r="M41" s="124"/>
      <c r="N41" s="124"/>
      <c r="O41" s="124"/>
      <c r="P41" s="124"/>
      <c r="Q41" s="124"/>
      <c r="R41" s="124"/>
      <c r="S41" s="124"/>
      <c r="T41" s="124"/>
      <c r="U41" s="133"/>
      <c r="V41" s="133"/>
      <c r="W41" s="124"/>
      <c r="X41" s="124"/>
      <c r="Y41" s="124"/>
    </row>
    <row r="42" spans="3:25" x14ac:dyDescent="0.2">
      <c r="D42" s="128" t="e">
        <v>#N/A</v>
      </c>
      <c r="E42" s="128" t="e">
        <f>_xll.qlRateHelperQuoteName(D42)</f>
        <v>#VALUE!</v>
      </c>
      <c r="F42" s="129" t="e">
        <f>_xll.qlRateHelperQuoteValue($D42)</f>
        <v>#VALUE!</v>
      </c>
      <c r="G42" s="129" t="str">
        <f>IF(ISERROR(_xll.qlSwapRateHelperSpread($D42)),IF(ISERROR(_xll.qlFuturesRateHelperConvexityAdjustment($D42)),"--",_xll.qlFuturesRateHelperConvexityAdjustment($D42)),_xll.qlSwapRateHelperSpread($D42))</f>
        <v>--</v>
      </c>
      <c r="H42" s="130" t="e">
        <f>_xll.qlRateHelperEarliestDate($D42)</f>
        <v>#VALUE!</v>
      </c>
      <c r="I42" s="130" t="e">
        <f>_xll.qlRateHelperMaturityDate(D42)</f>
        <v>#VALUE!</v>
      </c>
      <c r="J42" s="131" t="e">
        <f>_xll.qlRateHelperPillarDate($D42)</f>
        <v>#VALUE!</v>
      </c>
      <c r="K42" s="123" t="e">
        <v>#N/A</v>
      </c>
      <c r="L42" s="15" t="e">
        <v>#N/A</v>
      </c>
      <c r="M42" s="124"/>
      <c r="N42" s="124"/>
      <c r="O42" s="124"/>
      <c r="P42" s="124"/>
      <c r="Q42" s="124"/>
      <c r="R42" s="124"/>
      <c r="S42" s="124"/>
      <c r="T42" s="124"/>
      <c r="U42" s="133"/>
      <c r="V42" s="133"/>
      <c r="W42" s="124"/>
      <c r="X42" s="124"/>
      <c r="Y42" s="124"/>
    </row>
    <row r="43" spans="3:25" x14ac:dyDescent="0.2">
      <c r="D43" s="128" t="e">
        <v>#N/A</v>
      </c>
      <c r="E43" s="128" t="e">
        <f>_xll.qlRateHelperQuoteName(D43)</f>
        <v>#VALUE!</v>
      </c>
      <c r="F43" s="129" t="e">
        <f>_xll.qlRateHelperQuoteValue($D43)</f>
        <v>#VALUE!</v>
      </c>
      <c r="G43" s="129" t="str">
        <f>IF(ISERROR(_xll.qlSwapRateHelperSpread($D43)),IF(ISERROR(_xll.qlFuturesRateHelperConvexityAdjustment($D43)),"--",_xll.qlFuturesRateHelperConvexityAdjustment($D43)),_xll.qlSwapRateHelperSpread($D43))</f>
        <v>--</v>
      </c>
      <c r="H43" s="130" t="e">
        <f>_xll.qlRateHelperEarliestDate($D43)</f>
        <v>#VALUE!</v>
      </c>
      <c r="I43" s="130" t="e">
        <f>_xll.qlRateHelperMaturityDate(D43)</f>
        <v>#VALUE!</v>
      </c>
      <c r="J43" s="131" t="e">
        <f>_xll.qlRateHelperPillarDate($D43)</f>
        <v>#VALUE!</v>
      </c>
      <c r="K43" s="123" t="e">
        <v>#N/A</v>
      </c>
      <c r="L43" s="15" t="e">
        <v>#N/A</v>
      </c>
      <c r="U43" s="140"/>
      <c r="V43" s="140"/>
    </row>
    <row r="44" spans="3:25" x14ac:dyDescent="0.2">
      <c r="D44" s="128" t="e">
        <v>#N/A</v>
      </c>
      <c r="E44" s="128" t="e">
        <f>_xll.qlRateHelperQuoteName(D44)</f>
        <v>#VALUE!</v>
      </c>
      <c r="F44" s="129" t="e">
        <f>_xll.qlRateHelperQuoteValue($D44)</f>
        <v>#VALUE!</v>
      </c>
      <c r="G44" s="129" t="str">
        <f>IF(ISERROR(_xll.qlSwapRateHelperSpread($D44)),IF(ISERROR(_xll.qlFuturesRateHelperConvexityAdjustment($D44)),"--",_xll.qlFuturesRateHelperConvexityAdjustment($D44)),_xll.qlSwapRateHelperSpread($D44))</f>
        <v>--</v>
      </c>
      <c r="H44" s="130" t="e">
        <f>_xll.qlRateHelperEarliestDate($D44)</f>
        <v>#VALUE!</v>
      </c>
      <c r="I44" s="130" t="e">
        <f>_xll.qlRateHelperMaturityDate(D44)</f>
        <v>#VALUE!</v>
      </c>
      <c r="J44" s="131" t="e">
        <f>_xll.qlRateHelperPillarDate($D44)</f>
        <v>#VALUE!</v>
      </c>
      <c r="K44" s="123" t="e">
        <v>#N/A</v>
      </c>
      <c r="L44" s="15" t="e">
        <v>#N/A</v>
      </c>
      <c r="U44" s="140"/>
      <c r="V44" s="140"/>
    </row>
    <row r="45" spans="3:25" x14ac:dyDescent="0.2">
      <c r="D45" s="128" t="e">
        <v>#N/A</v>
      </c>
      <c r="E45" s="128" t="e">
        <f>_xll.qlRateHelperQuoteName(D45)</f>
        <v>#VALUE!</v>
      </c>
      <c r="F45" s="129" t="e">
        <f>_xll.qlRateHelperQuoteValue($D45)</f>
        <v>#VALUE!</v>
      </c>
      <c r="G45" s="129" t="str">
        <f>IF(ISERROR(_xll.qlSwapRateHelperSpread($D45)),IF(ISERROR(_xll.qlFuturesRateHelperConvexityAdjustment($D45)),"--",_xll.qlFuturesRateHelperConvexityAdjustment($D45)),_xll.qlSwapRateHelperSpread($D45))</f>
        <v>--</v>
      </c>
      <c r="H45" s="130" t="e">
        <f>_xll.qlRateHelperEarliestDate($D45)</f>
        <v>#VALUE!</v>
      </c>
      <c r="I45" s="130" t="e">
        <f>_xll.qlRateHelperMaturityDate(D45)</f>
        <v>#VALUE!</v>
      </c>
      <c r="J45" s="131" t="e">
        <f>_xll.qlRateHelperPillarDate($D45)</f>
        <v>#VALUE!</v>
      </c>
      <c r="K45" s="123" t="e">
        <v>#N/A</v>
      </c>
      <c r="L45" s="15" t="e">
        <v>#N/A</v>
      </c>
      <c r="U45" s="140"/>
      <c r="V45" s="140"/>
    </row>
    <row r="46" spans="3:25" x14ac:dyDescent="0.2">
      <c r="D46" s="128" t="e">
        <v>#N/A</v>
      </c>
      <c r="E46" s="128" t="e">
        <f>_xll.qlRateHelperQuoteName(D46)</f>
        <v>#VALUE!</v>
      </c>
      <c r="F46" s="129" t="e">
        <f>_xll.qlRateHelperQuoteValue($D46)</f>
        <v>#VALUE!</v>
      </c>
      <c r="G46" s="129" t="str">
        <f>IF(ISERROR(_xll.qlSwapRateHelperSpread($D46)),IF(ISERROR(_xll.qlFuturesRateHelperConvexityAdjustment($D46)),"--",_xll.qlFuturesRateHelperConvexityAdjustment($D46)),_xll.qlSwapRateHelperSpread($D46))</f>
        <v>--</v>
      </c>
      <c r="H46" s="130" t="e">
        <f>_xll.qlRateHelperEarliestDate($D46)</f>
        <v>#VALUE!</v>
      </c>
      <c r="I46" s="130" t="e">
        <f>_xll.qlRateHelperMaturityDate(D46)</f>
        <v>#VALUE!</v>
      </c>
      <c r="J46" s="131" t="e">
        <f>_xll.qlRateHelperPillarDate($D46)</f>
        <v>#VALUE!</v>
      </c>
      <c r="K46" s="123" t="e">
        <v>#N/A</v>
      </c>
      <c r="L46" s="15" t="e">
        <v>#N/A</v>
      </c>
      <c r="U46" s="140"/>
      <c r="V46" s="140"/>
    </row>
    <row r="47" spans="3:25" x14ac:dyDescent="0.2">
      <c r="D47" s="128" t="e">
        <v>#N/A</v>
      </c>
      <c r="E47" s="128" t="e">
        <f>_xll.qlRateHelperQuoteName(D47)</f>
        <v>#VALUE!</v>
      </c>
      <c r="F47" s="129" t="e">
        <f>_xll.qlRateHelperQuoteValue($D47)</f>
        <v>#VALUE!</v>
      </c>
      <c r="G47" s="129" t="str">
        <f>IF(ISERROR(_xll.qlSwapRateHelperSpread($D47)),IF(ISERROR(_xll.qlFuturesRateHelperConvexityAdjustment($D47)),"--",_xll.qlFuturesRateHelperConvexityAdjustment($D47)),_xll.qlSwapRateHelperSpread($D47))</f>
        <v>--</v>
      </c>
      <c r="H47" s="130" t="e">
        <f>_xll.qlRateHelperEarliestDate($D47)</f>
        <v>#VALUE!</v>
      </c>
      <c r="I47" s="130" t="e">
        <f>_xll.qlRateHelperMaturityDate(D47)</f>
        <v>#VALUE!</v>
      </c>
      <c r="J47" s="131" t="e">
        <f>_xll.qlRateHelperPillarDate($D47)</f>
        <v>#VALUE!</v>
      </c>
      <c r="K47" s="123" t="e">
        <v>#N/A</v>
      </c>
      <c r="L47" s="15" t="e">
        <v>#N/A</v>
      </c>
      <c r="U47" s="140"/>
      <c r="V47" s="140"/>
    </row>
    <row r="48" spans="3:25" x14ac:dyDescent="0.2">
      <c r="D48" s="128" t="e">
        <v>#N/A</v>
      </c>
      <c r="E48" s="128" t="e">
        <f>_xll.qlRateHelperQuoteName(D48)</f>
        <v>#VALUE!</v>
      </c>
      <c r="F48" s="129" t="e">
        <f>_xll.qlRateHelperQuoteValue($D48)</f>
        <v>#VALUE!</v>
      </c>
      <c r="G48" s="129" t="str">
        <f>IF(ISERROR(_xll.qlSwapRateHelperSpread($D48)),IF(ISERROR(_xll.qlFuturesRateHelperConvexityAdjustment($D48)),"--",_xll.qlFuturesRateHelperConvexityAdjustment($D48)),_xll.qlSwapRateHelperSpread($D48))</f>
        <v>--</v>
      </c>
      <c r="H48" s="130" t="e">
        <f>_xll.qlRateHelperEarliestDate($D48)</f>
        <v>#VALUE!</v>
      </c>
      <c r="I48" s="130" t="e">
        <f>_xll.qlRateHelperMaturityDate(D48)</f>
        <v>#VALUE!</v>
      </c>
      <c r="J48" s="131" t="e">
        <f>_xll.qlRateHelperPillarDate($D48)</f>
        <v>#VALUE!</v>
      </c>
      <c r="K48" s="123" t="e">
        <v>#N/A</v>
      </c>
      <c r="L48" s="15" t="e">
        <v>#N/A</v>
      </c>
      <c r="U48" s="140"/>
      <c r="V48" s="140"/>
    </row>
    <row r="49" spans="4:22" x14ac:dyDescent="0.2">
      <c r="D49" s="128" t="e">
        <v>#N/A</v>
      </c>
      <c r="E49" s="128" t="e">
        <f>_xll.qlRateHelperQuoteName(D49)</f>
        <v>#VALUE!</v>
      </c>
      <c r="F49" s="129" t="e">
        <f>_xll.qlRateHelperQuoteValue($D49)</f>
        <v>#VALUE!</v>
      </c>
      <c r="G49" s="129" t="str">
        <f>IF(ISERROR(_xll.qlSwapRateHelperSpread($D49)),IF(ISERROR(_xll.qlFuturesRateHelperConvexityAdjustment($D49)),"--",_xll.qlFuturesRateHelperConvexityAdjustment($D49)),_xll.qlSwapRateHelperSpread($D49))</f>
        <v>--</v>
      </c>
      <c r="H49" s="130" t="e">
        <f>_xll.qlRateHelperEarliestDate($D49)</f>
        <v>#VALUE!</v>
      </c>
      <c r="I49" s="130" t="e">
        <f>_xll.qlRateHelperMaturityDate(D49)</f>
        <v>#VALUE!</v>
      </c>
      <c r="J49" s="131" t="e">
        <f>_xll.qlRateHelperPillarDate($D49)</f>
        <v>#VALUE!</v>
      </c>
      <c r="K49" s="123" t="e">
        <v>#N/A</v>
      </c>
      <c r="L49" s="15" t="e">
        <v>#N/A</v>
      </c>
      <c r="U49" s="140"/>
      <c r="V49" s="140"/>
    </row>
    <row r="50" spans="4:22" x14ac:dyDescent="0.2">
      <c r="D50" s="128" t="e">
        <v>#N/A</v>
      </c>
      <c r="E50" s="128" t="e">
        <f>_xll.qlRateHelperQuoteName(D50)</f>
        <v>#VALUE!</v>
      </c>
      <c r="F50" s="129" t="e">
        <f>_xll.qlRateHelperQuoteValue($D50)</f>
        <v>#VALUE!</v>
      </c>
      <c r="G50" s="129" t="str">
        <f>IF(ISERROR(_xll.qlSwapRateHelperSpread($D50)),IF(ISERROR(_xll.qlFuturesRateHelperConvexityAdjustment($D50)),"--",_xll.qlFuturesRateHelperConvexityAdjustment($D50)),_xll.qlSwapRateHelperSpread($D50))</f>
        <v>--</v>
      </c>
      <c r="H50" s="130" t="e">
        <f>_xll.qlRateHelperEarliestDate($D50)</f>
        <v>#VALUE!</v>
      </c>
      <c r="I50" s="130" t="e">
        <f>_xll.qlRateHelperMaturityDate(D50)</f>
        <v>#VALUE!</v>
      </c>
      <c r="J50" s="131" t="e">
        <f>_xll.qlRateHelperPillarDate($D50)</f>
        <v>#VALUE!</v>
      </c>
      <c r="K50" s="123" t="e">
        <v>#N/A</v>
      </c>
      <c r="L50" s="15" t="e">
        <v>#N/A</v>
      </c>
      <c r="U50" s="140"/>
      <c r="V50" s="140"/>
    </row>
    <row r="51" spans="4:22" x14ac:dyDescent="0.2">
      <c r="D51" s="128" t="e">
        <v>#N/A</v>
      </c>
      <c r="E51" s="128" t="e">
        <f>_xll.qlRateHelperQuoteName(D51)</f>
        <v>#VALUE!</v>
      </c>
      <c r="F51" s="129" t="e">
        <f>_xll.qlRateHelperQuoteValue($D51)</f>
        <v>#VALUE!</v>
      </c>
      <c r="G51" s="129" t="str">
        <f>IF(ISERROR(_xll.qlSwapRateHelperSpread($D51)),IF(ISERROR(_xll.qlFuturesRateHelperConvexityAdjustment($D51)),"--",_xll.qlFuturesRateHelperConvexityAdjustment($D51)),_xll.qlSwapRateHelperSpread($D51))</f>
        <v>--</v>
      </c>
      <c r="H51" s="130" t="e">
        <f>_xll.qlRateHelperEarliestDate($D51)</f>
        <v>#VALUE!</v>
      </c>
      <c r="I51" s="130" t="e">
        <f>_xll.qlRateHelperMaturityDate(D51)</f>
        <v>#VALUE!</v>
      </c>
      <c r="J51" s="131" t="e">
        <f>_xll.qlRateHelperPillarDate($D51)</f>
        <v>#VALUE!</v>
      </c>
      <c r="K51" s="123" t="e">
        <v>#N/A</v>
      </c>
      <c r="L51" s="15" t="e">
        <v>#N/A</v>
      </c>
      <c r="U51" s="140"/>
      <c r="V51" s="140"/>
    </row>
    <row r="52" spans="4:22" x14ac:dyDescent="0.2">
      <c r="D52" s="128" t="e">
        <v>#N/A</v>
      </c>
      <c r="E52" s="128" t="e">
        <f>_xll.qlRateHelperQuoteName(D52)</f>
        <v>#VALUE!</v>
      </c>
      <c r="F52" s="129" t="e">
        <f>_xll.qlRateHelperQuoteValue($D52)</f>
        <v>#VALUE!</v>
      </c>
      <c r="G52" s="129" t="str">
        <f>IF(ISERROR(_xll.qlSwapRateHelperSpread($D52)),IF(ISERROR(_xll.qlFuturesRateHelperConvexityAdjustment($D52)),"--",_xll.qlFuturesRateHelperConvexityAdjustment($D52)),_xll.qlSwapRateHelperSpread($D52))</f>
        <v>--</v>
      </c>
      <c r="H52" s="130" t="e">
        <f>_xll.qlRateHelperEarliestDate($D52)</f>
        <v>#VALUE!</v>
      </c>
      <c r="I52" s="130" t="e">
        <f>_xll.qlRateHelperMaturityDate(D52)</f>
        <v>#VALUE!</v>
      </c>
      <c r="J52" s="131" t="e">
        <f>_xll.qlRateHelperPillarDate($D52)</f>
        <v>#VALUE!</v>
      </c>
      <c r="K52" s="123" t="e">
        <v>#N/A</v>
      </c>
      <c r="L52" s="15" t="e">
        <v>#N/A</v>
      </c>
      <c r="U52" s="140"/>
      <c r="V52" s="140"/>
    </row>
    <row r="53" spans="4:22" x14ac:dyDescent="0.2">
      <c r="D53" s="128" t="e">
        <v>#N/A</v>
      </c>
      <c r="E53" s="128" t="e">
        <f>_xll.qlRateHelperQuoteName(D53)</f>
        <v>#VALUE!</v>
      </c>
      <c r="F53" s="129" t="e">
        <f>_xll.qlRateHelperQuoteValue($D53)</f>
        <v>#VALUE!</v>
      </c>
      <c r="G53" s="129" t="str">
        <f>IF(ISERROR(_xll.qlSwapRateHelperSpread($D53)),IF(ISERROR(_xll.qlFuturesRateHelperConvexityAdjustment($D53)),"--",_xll.qlFuturesRateHelperConvexityAdjustment($D53)),_xll.qlSwapRateHelperSpread($D53))</f>
        <v>--</v>
      </c>
      <c r="H53" s="130" t="e">
        <f>_xll.qlRateHelperEarliestDate($D53)</f>
        <v>#VALUE!</v>
      </c>
      <c r="I53" s="130" t="e">
        <f>_xll.qlRateHelperMaturityDate(D53)</f>
        <v>#VALUE!</v>
      </c>
      <c r="J53" s="131" t="e">
        <f>_xll.qlRateHelperPillarDate($D53)</f>
        <v>#VALUE!</v>
      </c>
      <c r="K53" s="123" t="e">
        <v>#N/A</v>
      </c>
      <c r="L53" s="15" t="e">
        <v>#N/A</v>
      </c>
      <c r="U53" s="140"/>
      <c r="V53" s="140"/>
    </row>
    <row r="54" spans="4:22" x14ac:dyDescent="0.2">
      <c r="D54" s="128" t="e">
        <v>#N/A</v>
      </c>
      <c r="E54" s="128" t="e">
        <f>_xll.qlRateHelperQuoteName(D54)</f>
        <v>#VALUE!</v>
      </c>
      <c r="F54" s="129" t="e">
        <f>_xll.qlRateHelperQuoteValue($D54)</f>
        <v>#VALUE!</v>
      </c>
      <c r="G54" s="129" t="str">
        <f>IF(ISERROR(_xll.qlSwapRateHelperSpread($D54)),IF(ISERROR(_xll.qlFuturesRateHelperConvexityAdjustment($D54)),"--",_xll.qlFuturesRateHelperConvexityAdjustment($D54)),_xll.qlSwapRateHelperSpread($D54))</f>
        <v>--</v>
      </c>
      <c r="H54" s="130" t="e">
        <f>_xll.qlRateHelperEarliestDate($D54)</f>
        <v>#VALUE!</v>
      </c>
      <c r="I54" s="130" t="e">
        <f>_xll.qlRateHelperMaturityDate(D54)</f>
        <v>#VALUE!</v>
      </c>
      <c r="J54" s="131" t="e">
        <f>_xll.qlRateHelperPillarDate($D54)</f>
        <v>#VALUE!</v>
      </c>
      <c r="K54" s="123" t="e">
        <v>#N/A</v>
      </c>
      <c r="L54" s="15" t="e">
        <v>#N/A</v>
      </c>
      <c r="U54" s="140"/>
      <c r="V54" s="140"/>
    </row>
    <row r="55" spans="4:22" x14ac:dyDescent="0.2">
      <c r="D55" s="128" t="e">
        <v>#N/A</v>
      </c>
      <c r="E55" s="128" t="e">
        <f>_xll.qlRateHelperQuoteName(D55)</f>
        <v>#VALUE!</v>
      </c>
      <c r="F55" s="129" t="e">
        <f>_xll.qlRateHelperQuoteValue($D55)</f>
        <v>#VALUE!</v>
      </c>
      <c r="G55" s="129" t="str">
        <f>IF(ISERROR(_xll.qlSwapRateHelperSpread($D55)),IF(ISERROR(_xll.qlFuturesRateHelperConvexityAdjustment($D55)),"--",_xll.qlFuturesRateHelperConvexityAdjustment($D55)),_xll.qlSwapRateHelperSpread($D55))</f>
        <v>--</v>
      </c>
      <c r="H55" s="130" t="e">
        <f>_xll.qlRateHelperEarliestDate($D55)</f>
        <v>#VALUE!</v>
      </c>
      <c r="I55" s="130" t="e">
        <f>_xll.qlRateHelperMaturityDate(D55)</f>
        <v>#VALUE!</v>
      </c>
      <c r="J55" s="131" t="e">
        <f>_xll.qlRateHelperPillarDate($D55)</f>
        <v>#VALUE!</v>
      </c>
      <c r="K55" s="123" t="e">
        <v>#N/A</v>
      </c>
      <c r="L55" s="15" t="e">
        <v>#N/A</v>
      </c>
      <c r="U55" s="140"/>
      <c r="V55" s="140"/>
    </row>
    <row r="56" spans="4:22" x14ac:dyDescent="0.2">
      <c r="D56" s="128" t="e">
        <v>#N/A</v>
      </c>
      <c r="E56" s="128" t="e">
        <f>_xll.qlRateHelperQuoteName(D56)</f>
        <v>#VALUE!</v>
      </c>
      <c r="F56" s="129" t="e">
        <f>_xll.qlRateHelperQuoteValue($D56)</f>
        <v>#VALUE!</v>
      </c>
      <c r="G56" s="129" t="str">
        <f>IF(ISERROR(_xll.qlSwapRateHelperSpread($D56)),IF(ISERROR(_xll.qlFuturesRateHelperConvexityAdjustment($D56)),"--",_xll.qlFuturesRateHelperConvexityAdjustment($D56)),_xll.qlSwapRateHelperSpread($D56))</f>
        <v>--</v>
      </c>
      <c r="H56" s="130" t="e">
        <f>_xll.qlRateHelperEarliestDate($D56)</f>
        <v>#VALUE!</v>
      </c>
      <c r="I56" s="130" t="e">
        <f>_xll.qlRateHelperMaturityDate(D56)</f>
        <v>#VALUE!</v>
      </c>
      <c r="J56" s="131" t="e">
        <f>_xll.qlRateHelperPillarDate($D56)</f>
        <v>#VALUE!</v>
      </c>
      <c r="K56" s="123" t="e">
        <v>#N/A</v>
      </c>
      <c r="L56" s="15" t="e">
        <v>#N/A</v>
      </c>
      <c r="U56" s="140"/>
      <c r="V56" s="140"/>
    </row>
    <row r="57" spans="4:22" x14ac:dyDescent="0.2">
      <c r="D57" s="128" t="e">
        <v>#N/A</v>
      </c>
      <c r="E57" s="128" t="e">
        <f>_xll.qlRateHelperQuoteName(D57)</f>
        <v>#VALUE!</v>
      </c>
      <c r="F57" s="129" t="e">
        <f>_xll.qlRateHelperQuoteValue($D57)</f>
        <v>#VALUE!</v>
      </c>
      <c r="G57" s="129" t="str">
        <f>IF(ISERROR(_xll.qlSwapRateHelperSpread($D57)),IF(ISERROR(_xll.qlFuturesRateHelperConvexityAdjustment($D57)),"--",_xll.qlFuturesRateHelperConvexityAdjustment($D57)),_xll.qlSwapRateHelperSpread($D57))</f>
        <v>--</v>
      </c>
      <c r="H57" s="130" t="e">
        <f>_xll.qlRateHelperEarliestDate($D57)</f>
        <v>#VALUE!</v>
      </c>
      <c r="I57" s="130" t="e">
        <f>_xll.qlRateHelperMaturityDate(D57)</f>
        <v>#VALUE!</v>
      </c>
      <c r="J57" s="131" t="e">
        <f>_xll.qlRateHelperPillarDate($D57)</f>
        <v>#VALUE!</v>
      </c>
      <c r="K57" s="123" t="e">
        <v>#N/A</v>
      </c>
      <c r="L57" s="15" t="e">
        <v>#N/A</v>
      </c>
      <c r="U57" s="140"/>
      <c r="V57" s="140"/>
    </row>
    <row r="58" spans="4:22" x14ac:dyDescent="0.2">
      <c r="D58" s="128" t="e">
        <v>#N/A</v>
      </c>
      <c r="E58" s="128" t="e">
        <f>_xll.qlRateHelperQuoteName(D58)</f>
        <v>#VALUE!</v>
      </c>
      <c r="F58" s="129" t="e">
        <f>_xll.qlRateHelperQuoteValue($D58)</f>
        <v>#VALUE!</v>
      </c>
      <c r="G58" s="129" t="str">
        <f>IF(ISERROR(_xll.qlSwapRateHelperSpread($D58)),IF(ISERROR(_xll.qlFuturesRateHelperConvexityAdjustment($D58)),"--",_xll.qlFuturesRateHelperConvexityAdjustment($D58)),_xll.qlSwapRateHelperSpread($D58))</f>
        <v>--</v>
      </c>
      <c r="H58" s="130" t="e">
        <f>_xll.qlRateHelperEarliestDate($D58)</f>
        <v>#VALUE!</v>
      </c>
      <c r="I58" s="130" t="e">
        <f>_xll.qlRateHelperMaturityDate(D58)</f>
        <v>#VALUE!</v>
      </c>
      <c r="J58" s="131" t="e">
        <f>_xll.qlRateHelperPillarDate($D58)</f>
        <v>#VALUE!</v>
      </c>
      <c r="K58" s="123" t="e">
        <v>#N/A</v>
      </c>
      <c r="L58" s="15" t="e">
        <v>#N/A</v>
      </c>
      <c r="U58" s="140"/>
      <c r="V58" s="140"/>
    </row>
    <row r="59" spans="4:22" x14ac:dyDescent="0.2">
      <c r="D59" s="128" t="e">
        <v>#N/A</v>
      </c>
      <c r="E59" s="128" t="e">
        <f>_xll.qlRateHelperQuoteName(D59)</f>
        <v>#VALUE!</v>
      </c>
      <c r="F59" s="129" t="e">
        <f>_xll.qlRateHelperQuoteValue($D59)</f>
        <v>#VALUE!</v>
      </c>
      <c r="G59" s="129" t="str">
        <f>IF(ISERROR(_xll.qlSwapRateHelperSpread($D59)),IF(ISERROR(_xll.qlFuturesRateHelperConvexityAdjustment($D59)),"--",_xll.qlFuturesRateHelperConvexityAdjustment($D59)),_xll.qlSwapRateHelperSpread($D59))</f>
        <v>--</v>
      </c>
      <c r="H59" s="130" t="e">
        <f>_xll.qlRateHelperEarliestDate($D59)</f>
        <v>#VALUE!</v>
      </c>
      <c r="I59" s="130" t="e">
        <f>_xll.qlRateHelperMaturityDate(D59)</f>
        <v>#VALUE!</v>
      </c>
      <c r="J59" s="131" t="e">
        <f>_xll.qlRateHelperPillarDate($D59)</f>
        <v>#VALUE!</v>
      </c>
      <c r="K59" s="123" t="e">
        <v>#N/A</v>
      </c>
      <c r="L59" s="15" t="e">
        <v>#N/A</v>
      </c>
      <c r="U59" s="140"/>
      <c r="V59" s="140"/>
    </row>
    <row r="60" spans="4:22" x14ac:dyDescent="0.2">
      <c r="D60" s="128" t="e">
        <v>#N/A</v>
      </c>
      <c r="E60" s="128" t="e">
        <f>_xll.qlRateHelperQuoteName(D60)</f>
        <v>#VALUE!</v>
      </c>
      <c r="F60" s="129" t="e">
        <f>_xll.qlRateHelperQuoteValue($D60)</f>
        <v>#VALUE!</v>
      </c>
      <c r="G60" s="129" t="str">
        <f>IF(ISERROR(_xll.qlSwapRateHelperSpread($D60)),IF(ISERROR(_xll.qlFuturesRateHelperConvexityAdjustment($D60)),"--",_xll.qlFuturesRateHelperConvexityAdjustment($D60)),_xll.qlSwapRateHelperSpread($D60))</f>
        <v>--</v>
      </c>
      <c r="H60" s="130" t="e">
        <f>_xll.qlRateHelperEarliestDate($D60)</f>
        <v>#VALUE!</v>
      </c>
      <c r="I60" s="130" t="e">
        <f>_xll.qlRateHelperMaturityDate(D60)</f>
        <v>#VALUE!</v>
      </c>
      <c r="J60" s="131" t="e">
        <f>_xll.qlRateHelperPillarDate($D60)</f>
        <v>#VALUE!</v>
      </c>
      <c r="K60" s="123" t="e">
        <v>#N/A</v>
      </c>
      <c r="L60" s="15" t="e">
        <v>#N/A</v>
      </c>
      <c r="U60" s="140"/>
      <c r="V60" s="140"/>
    </row>
    <row r="61" spans="4:22" x14ac:dyDescent="0.2">
      <c r="D61" s="128" t="e">
        <v>#N/A</v>
      </c>
      <c r="E61" s="128" t="e">
        <f>_xll.qlRateHelperQuoteName(D61)</f>
        <v>#VALUE!</v>
      </c>
      <c r="F61" s="129" t="e">
        <f>_xll.qlRateHelperQuoteValue($D61)</f>
        <v>#VALUE!</v>
      </c>
      <c r="G61" s="129" t="str">
        <f>IF(ISERROR(_xll.qlSwapRateHelperSpread($D61)),IF(ISERROR(_xll.qlFuturesRateHelperConvexityAdjustment($D61)),"--",_xll.qlFuturesRateHelperConvexityAdjustment($D61)),_xll.qlSwapRateHelperSpread($D61))</f>
        <v>--</v>
      </c>
      <c r="H61" s="130" t="e">
        <f>_xll.qlRateHelperEarliestDate($D61)</f>
        <v>#VALUE!</v>
      </c>
      <c r="I61" s="130" t="e">
        <f>_xll.qlRateHelperMaturityDate(D61)</f>
        <v>#VALUE!</v>
      </c>
      <c r="J61" s="131" t="e">
        <f>_xll.qlRateHelperPillarDate($D61)</f>
        <v>#VALUE!</v>
      </c>
      <c r="K61" s="123" t="e">
        <v>#N/A</v>
      </c>
      <c r="L61" s="15" t="e">
        <v>#N/A</v>
      </c>
      <c r="U61" s="140"/>
      <c r="V61" s="140"/>
    </row>
    <row r="62" spans="4:22" x14ac:dyDescent="0.2">
      <c r="D62" s="128" t="e">
        <v>#N/A</v>
      </c>
      <c r="E62" s="128" t="e">
        <f>_xll.qlRateHelperQuoteName(D62)</f>
        <v>#VALUE!</v>
      </c>
      <c r="F62" s="129" t="e">
        <f>_xll.qlRateHelperQuoteValue($D62)</f>
        <v>#VALUE!</v>
      </c>
      <c r="G62" s="129" t="str">
        <f>IF(ISERROR(_xll.qlSwapRateHelperSpread($D62)),IF(ISERROR(_xll.qlFuturesRateHelperConvexityAdjustment($D62)),"--",_xll.qlFuturesRateHelperConvexityAdjustment($D62)),_xll.qlSwapRateHelperSpread($D62))</f>
        <v>--</v>
      </c>
      <c r="H62" s="130" t="e">
        <f>_xll.qlRateHelperEarliestDate($D62)</f>
        <v>#VALUE!</v>
      </c>
      <c r="I62" s="130" t="e">
        <f>_xll.qlRateHelperMaturityDate(D62)</f>
        <v>#VALUE!</v>
      </c>
      <c r="J62" s="131" t="e">
        <f>_xll.qlRateHelperPillarDate($D62)</f>
        <v>#VALUE!</v>
      </c>
      <c r="K62" s="123" t="e">
        <v>#N/A</v>
      </c>
      <c r="L62" s="15" t="e">
        <v>#N/A</v>
      </c>
      <c r="U62" s="140"/>
      <c r="V62" s="140"/>
    </row>
    <row r="63" spans="4:22" x14ac:dyDescent="0.2">
      <c r="D63" s="128" t="e">
        <v>#N/A</v>
      </c>
      <c r="E63" s="128" t="e">
        <f>_xll.qlRateHelperQuoteName(D63)</f>
        <v>#VALUE!</v>
      </c>
      <c r="F63" s="129" t="e">
        <f>_xll.qlRateHelperQuoteValue($D63)</f>
        <v>#VALUE!</v>
      </c>
      <c r="G63" s="129" t="str">
        <f>IF(ISERROR(_xll.qlSwapRateHelperSpread($D63)),IF(ISERROR(_xll.qlFuturesRateHelperConvexityAdjustment($D63)),"--",_xll.qlFuturesRateHelperConvexityAdjustment($D63)),_xll.qlSwapRateHelperSpread($D63))</f>
        <v>--</v>
      </c>
      <c r="H63" s="130" t="e">
        <f>_xll.qlRateHelperEarliestDate($D63)</f>
        <v>#VALUE!</v>
      </c>
      <c r="I63" s="130" t="e">
        <f>_xll.qlRateHelperMaturityDate(D63)</f>
        <v>#VALUE!</v>
      </c>
      <c r="J63" s="131" t="e">
        <f>_xll.qlRateHelperPillarDate($D63)</f>
        <v>#VALUE!</v>
      </c>
      <c r="K63" s="123" t="e">
        <v>#N/A</v>
      </c>
      <c r="L63" s="15" t="e">
        <v>#N/A</v>
      </c>
      <c r="U63" s="140"/>
      <c r="V63" s="140"/>
    </row>
    <row r="64" spans="4:22" x14ac:dyDescent="0.2">
      <c r="D64" s="128" t="e">
        <v>#N/A</v>
      </c>
      <c r="E64" s="128" t="e">
        <f>_xll.qlRateHelperQuoteName(D64)</f>
        <v>#VALUE!</v>
      </c>
      <c r="F64" s="129" t="e">
        <f>_xll.qlRateHelperQuoteValue($D64)</f>
        <v>#VALUE!</v>
      </c>
      <c r="G64" s="129" t="str">
        <f>IF(ISERROR(_xll.qlSwapRateHelperSpread($D64)),IF(ISERROR(_xll.qlFuturesRateHelperConvexityAdjustment($D64)),"--",_xll.qlFuturesRateHelperConvexityAdjustment($D64)),_xll.qlSwapRateHelperSpread($D64))</f>
        <v>--</v>
      </c>
      <c r="H64" s="130" t="e">
        <f>_xll.qlRateHelperEarliestDate($D64)</f>
        <v>#VALUE!</v>
      </c>
      <c r="I64" s="130" t="e">
        <f>_xll.qlRateHelperMaturityDate(D64)</f>
        <v>#VALUE!</v>
      </c>
      <c r="J64" s="131" t="e">
        <f>_xll.qlRateHelperPillarDate($D64)</f>
        <v>#VALUE!</v>
      </c>
      <c r="K64" s="123" t="e">
        <v>#N/A</v>
      </c>
      <c r="L64" s="15" t="e">
        <v>#N/A</v>
      </c>
      <c r="U64" s="140"/>
      <c r="V64" s="140"/>
    </row>
    <row r="65" spans="4:22" x14ac:dyDescent="0.2">
      <c r="D65" s="128" t="e">
        <v>#N/A</v>
      </c>
      <c r="E65" s="128" t="e">
        <f>_xll.qlRateHelperQuoteName(D65)</f>
        <v>#VALUE!</v>
      </c>
      <c r="F65" s="129" t="e">
        <f>_xll.qlRateHelperQuoteValue($D65)</f>
        <v>#VALUE!</v>
      </c>
      <c r="G65" s="129" t="str">
        <f>IF(ISERROR(_xll.qlSwapRateHelperSpread($D65)),IF(ISERROR(_xll.qlFuturesRateHelperConvexityAdjustment($D65)),"--",_xll.qlFuturesRateHelperConvexityAdjustment($D65)),_xll.qlSwapRateHelperSpread($D65))</f>
        <v>--</v>
      </c>
      <c r="H65" s="130" t="e">
        <f>_xll.qlRateHelperEarliestDate($D65)</f>
        <v>#VALUE!</v>
      </c>
      <c r="I65" s="130" t="e">
        <f>_xll.qlRateHelperMaturityDate(D65)</f>
        <v>#VALUE!</v>
      </c>
      <c r="J65" s="131" t="e">
        <f>_xll.qlRateHelperPillarDate($D65)</f>
        <v>#VALUE!</v>
      </c>
      <c r="K65" s="123" t="e">
        <v>#N/A</v>
      </c>
      <c r="L65" s="15" t="e">
        <v>#N/A</v>
      </c>
      <c r="U65" s="140"/>
      <c r="V65" s="140"/>
    </row>
    <row r="66" spans="4:22" x14ac:dyDescent="0.2">
      <c r="D66" s="128" t="e">
        <v>#N/A</v>
      </c>
      <c r="E66" s="128" t="e">
        <f>_xll.qlRateHelperQuoteName(D66)</f>
        <v>#VALUE!</v>
      </c>
      <c r="F66" s="129" t="e">
        <f>_xll.qlRateHelperQuoteValue($D66)</f>
        <v>#VALUE!</v>
      </c>
      <c r="G66" s="129" t="str">
        <f>IF(ISERROR(_xll.qlSwapRateHelperSpread($D66)),IF(ISERROR(_xll.qlFuturesRateHelperConvexityAdjustment($D66)),"--",_xll.qlFuturesRateHelperConvexityAdjustment($D66)),_xll.qlSwapRateHelperSpread($D66))</f>
        <v>--</v>
      </c>
      <c r="H66" s="130" t="e">
        <f>_xll.qlRateHelperEarliestDate($D66)</f>
        <v>#VALUE!</v>
      </c>
      <c r="I66" s="130" t="e">
        <f>_xll.qlRateHelperMaturityDate(D66)</f>
        <v>#VALUE!</v>
      </c>
      <c r="J66" s="131" t="e">
        <f>_xll.qlRateHelperPillarDate($D66)</f>
        <v>#VALUE!</v>
      </c>
      <c r="K66" s="123" t="e">
        <v>#N/A</v>
      </c>
      <c r="L66" s="15" t="e">
        <v>#N/A</v>
      </c>
      <c r="U66" s="140"/>
      <c r="V66" s="140"/>
    </row>
    <row r="67" spans="4:22" x14ac:dyDescent="0.2">
      <c r="D67" s="128" t="e">
        <v>#N/A</v>
      </c>
      <c r="E67" s="128" t="e">
        <f>_xll.qlRateHelperQuoteName(D67)</f>
        <v>#VALUE!</v>
      </c>
      <c r="F67" s="129" t="e">
        <f>_xll.qlRateHelperQuoteValue($D67)</f>
        <v>#VALUE!</v>
      </c>
      <c r="G67" s="129" t="str">
        <f>IF(ISERROR(_xll.qlSwapRateHelperSpread($D67)),IF(ISERROR(_xll.qlFuturesRateHelperConvexityAdjustment($D67)),"--",_xll.qlFuturesRateHelperConvexityAdjustment($D67)),_xll.qlSwapRateHelperSpread($D67))</f>
        <v>--</v>
      </c>
      <c r="H67" s="130" t="e">
        <f>_xll.qlRateHelperEarliestDate($D67)</f>
        <v>#VALUE!</v>
      </c>
      <c r="I67" s="130" t="e">
        <f>_xll.qlRateHelperMaturityDate(D67)</f>
        <v>#VALUE!</v>
      </c>
      <c r="J67" s="131" t="e">
        <f>_xll.qlRateHelperPillarDate($D67)</f>
        <v>#VALUE!</v>
      </c>
      <c r="K67" s="123" t="e">
        <v>#N/A</v>
      </c>
      <c r="L67" s="15" t="e">
        <v>#N/A</v>
      </c>
      <c r="U67" s="140"/>
      <c r="V67" s="140"/>
    </row>
    <row r="68" spans="4:22" x14ac:dyDescent="0.2">
      <c r="D68" s="128" t="e">
        <v>#N/A</v>
      </c>
      <c r="E68" s="128" t="e">
        <f>_xll.qlRateHelperQuoteName(D68)</f>
        <v>#VALUE!</v>
      </c>
      <c r="F68" s="129" t="e">
        <f>_xll.qlRateHelperQuoteValue($D68)</f>
        <v>#VALUE!</v>
      </c>
      <c r="G68" s="129" t="str">
        <f>IF(ISERROR(_xll.qlSwapRateHelperSpread($D68)),IF(ISERROR(_xll.qlFuturesRateHelperConvexityAdjustment($D68)),"--",_xll.qlFuturesRateHelperConvexityAdjustment($D68)),_xll.qlSwapRateHelperSpread($D68))</f>
        <v>--</v>
      </c>
      <c r="H68" s="130" t="e">
        <f>_xll.qlRateHelperEarliestDate($D68)</f>
        <v>#VALUE!</v>
      </c>
      <c r="I68" s="130" t="e">
        <f>_xll.qlRateHelperMaturityDate(D68)</f>
        <v>#VALUE!</v>
      </c>
      <c r="J68" s="131" t="e">
        <f>_xll.qlRateHelperPillarDate($D68)</f>
        <v>#VALUE!</v>
      </c>
      <c r="K68" s="123" t="e">
        <v>#N/A</v>
      </c>
      <c r="L68" s="15" t="e">
        <v>#N/A</v>
      </c>
      <c r="U68" s="140"/>
      <c r="V68" s="140"/>
    </row>
    <row r="69" spans="4:22" x14ac:dyDescent="0.2">
      <c r="D69" s="128" t="e">
        <v>#N/A</v>
      </c>
      <c r="E69" s="128" t="e">
        <f>_xll.qlRateHelperQuoteName(D69)</f>
        <v>#VALUE!</v>
      </c>
      <c r="F69" s="129" t="e">
        <f>_xll.qlRateHelperQuoteValue($D69)</f>
        <v>#VALUE!</v>
      </c>
      <c r="G69" s="129" t="str">
        <f>IF(ISERROR(_xll.qlSwapRateHelperSpread($D69)),IF(ISERROR(_xll.qlFuturesRateHelperConvexityAdjustment($D69)),"--",_xll.qlFuturesRateHelperConvexityAdjustment($D69)),_xll.qlSwapRateHelperSpread($D69))</f>
        <v>--</v>
      </c>
      <c r="H69" s="130" t="e">
        <f>_xll.qlRateHelperEarliestDate($D69)</f>
        <v>#VALUE!</v>
      </c>
      <c r="I69" s="130" t="e">
        <f>_xll.qlRateHelperMaturityDate(D69)</f>
        <v>#VALUE!</v>
      </c>
      <c r="J69" s="131" t="e">
        <f>_xll.qlRateHelperPillarDate($D69)</f>
        <v>#VALUE!</v>
      </c>
      <c r="K69" s="123" t="e">
        <v>#N/A</v>
      </c>
      <c r="L69" s="15" t="e">
        <v>#N/A</v>
      </c>
      <c r="U69" s="140"/>
      <c r="V69" s="140"/>
    </row>
    <row r="70" spans="4:22" x14ac:dyDescent="0.2">
      <c r="D70" s="128" t="e">
        <v>#N/A</v>
      </c>
      <c r="E70" s="128" t="e">
        <f>_xll.qlRateHelperQuoteName(D70)</f>
        <v>#VALUE!</v>
      </c>
      <c r="F70" s="129" t="e">
        <f>_xll.qlRateHelperQuoteValue($D70)</f>
        <v>#VALUE!</v>
      </c>
      <c r="G70" s="129" t="str">
        <f>IF(ISERROR(_xll.qlSwapRateHelperSpread($D70)),IF(ISERROR(_xll.qlFuturesRateHelperConvexityAdjustment($D70)),"--",_xll.qlFuturesRateHelperConvexityAdjustment($D70)),_xll.qlSwapRateHelperSpread($D70))</f>
        <v>--</v>
      </c>
      <c r="H70" s="130" t="e">
        <f>_xll.qlRateHelperEarliestDate($D70)</f>
        <v>#VALUE!</v>
      </c>
      <c r="I70" s="130" t="e">
        <f>_xll.qlRateHelperMaturityDate(D70)</f>
        <v>#VALUE!</v>
      </c>
      <c r="J70" s="131" t="e">
        <f>_xll.qlRateHelperPillarDate($D70)</f>
        <v>#VALUE!</v>
      </c>
      <c r="K70" s="123" t="e">
        <v>#N/A</v>
      </c>
      <c r="L70" s="15" t="e">
        <v>#N/A</v>
      </c>
      <c r="U70" s="140"/>
      <c r="V70" s="140"/>
    </row>
    <row r="71" spans="4:22" x14ac:dyDescent="0.2">
      <c r="D71" s="128" t="e">
        <v>#N/A</v>
      </c>
      <c r="E71" s="128" t="e">
        <f>_xll.qlRateHelperQuoteName(D71)</f>
        <v>#VALUE!</v>
      </c>
      <c r="F71" s="129" t="e">
        <f>_xll.qlRateHelperQuoteValue($D71)</f>
        <v>#VALUE!</v>
      </c>
      <c r="G71" s="129" t="str">
        <f>IF(ISERROR(_xll.qlSwapRateHelperSpread($D71)),IF(ISERROR(_xll.qlFuturesRateHelperConvexityAdjustment($D71)),"--",_xll.qlFuturesRateHelperConvexityAdjustment($D71)),_xll.qlSwapRateHelperSpread($D71))</f>
        <v>--</v>
      </c>
      <c r="H71" s="130" t="e">
        <f>_xll.qlRateHelperEarliestDate($D71)</f>
        <v>#VALUE!</v>
      </c>
      <c r="I71" s="130" t="e">
        <f>_xll.qlRateHelperMaturityDate(D71)</f>
        <v>#VALUE!</v>
      </c>
      <c r="J71" s="131" t="e">
        <f>_xll.qlRateHelperPillarDate($D71)</f>
        <v>#VALUE!</v>
      </c>
      <c r="K71" s="123" t="e">
        <v>#N/A</v>
      </c>
      <c r="L71" s="15" t="e">
        <v>#N/A</v>
      </c>
      <c r="U71" s="140"/>
      <c r="V71" s="140"/>
    </row>
    <row r="72" spans="4:22" x14ac:dyDescent="0.2">
      <c r="D72" s="128" t="e">
        <v>#N/A</v>
      </c>
      <c r="E72" s="128" t="e">
        <f>_xll.qlRateHelperQuoteName(D72)</f>
        <v>#VALUE!</v>
      </c>
      <c r="F72" s="129" t="e">
        <f>_xll.qlRateHelperQuoteValue($D72)</f>
        <v>#VALUE!</v>
      </c>
      <c r="G72" s="129" t="str">
        <f>IF(ISERROR(_xll.qlSwapRateHelperSpread($D72)),IF(ISERROR(_xll.qlFuturesRateHelperConvexityAdjustment($D72)),"--",_xll.qlFuturesRateHelperConvexityAdjustment($D72)),_xll.qlSwapRateHelperSpread($D72))</f>
        <v>--</v>
      </c>
      <c r="H72" s="130" t="e">
        <f>_xll.qlRateHelperEarliestDate($D72)</f>
        <v>#VALUE!</v>
      </c>
      <c r="I72" s="130" t="e">
        <f>_xll.qlRateHelperMaturityDate(D72)</f>
        <v>#VALUE!</v>
      </c>
      <c r="J72" s="131" t="e">
        <f>_xll.qlRateHelperPillarDate($D72)</f>
        <v>#VALUE!</v>
      </c>
      <c r="K72" s="123" t="e">
        <v>#N/A</v>
      </c>
      <c r="L72" s="15" t="e">
        <v>#N/A</v>
      </c>
      <c r="U72" s="140"/>
      <c r="V72" s="140"/>
    </row>
    <row r="73" spans="4:22" x14ac:dyDescent="0.2">
      <c r="D73" s="128" t="e">
        <v>#N/A</v>
      </c>
      <c r="E73" s="128" t="e">
        <f>_xll.qlRateHelperQuoteName(D73)</f>
        <v>#VALUE!</v>
      </c>
      <c r="F73" s="129" t="e">
        <f>_xll.qlRateHelperQuoteValue($D73)</f>
        <v>#VALUE!</v>
      </c>
      <c r="G73" s="129" t="str">
        <f>IF(ISERROR(_xll.qlSwapRateHelperSpread($D73)),IF(ISERROR(_xll.qlFuturesRateHelperConvexityAdjustment($D73)),"--",_xll.qlFuturesRateHelperConvexityAdjustment($D73)),_xll.qlSwapRateHelperSpread($D73))</f>
        <v>--</v>
      </c>
      <c r="H73" s="130" t="e">
        <f>_xll.qlRateHelperEarliestDate($D73)</f>
        <v>#VALUE!</v>
      </c>
      <c r="I73" s="130" t="e">
        <f>_xll.qlRateHelperMaturityDate(D73)</f>
        <v>#VALUE!</v>
      </c>
      <c r="J73" s="131" t="e">
        <f>_xll.qlRateHelperPillarDate($D73)</f>
        <v>#VALUE!</v>
      </c>
      <c r="K73" s="123" t="e">
        <v>#N/A</v>
      </c>
      <c r="L73" s="15" t="e">
        <v>#N/A</v>
      </c>
      <c r="U73" s="140"/>
      <c r="V73" s="140"/>
    </row>
    <row r="74" spans="4:22" x14ac:dyDescent="0.2">
      <c r="D74" s="128" t="e">
        <v>#N/A</v>
      </c>
      <c r="E74" s="128" t="e">
        <f>_xll.qlRateHelperQuoteName(D74)</f>
        <v>#VALUE!</v>
      </c>
      <c r="F74" s="129" t="e">
        <f>_xll.qlRateHelperQuoteValue($D74)</f>
        <v>#VALUE!</v>
      </c>
      <c r="G74" s="129" t="str">
        <f>IF(ISERROR(_xll.qlSwapRateHelperSpread($D74)),IF(ISERROR(_xll.qlFuturesRateHelperConvexityAdjustment($D74)),"--",_xll.qlFuturesRateHelperConvexityAdjustment($D74)),_xll.qlSwapRateHelperSpread($D74))</f>
        <v>--</v>
      </c>
      <c r="H74" s="130" t="e">
        <f>_xll.qlRateHelperEarliestDate($D74)</f>
        <v>#VALUE!</v>
      </c>
      <c r="I74" s="130" t="e">
        <f>_xll.qlRateHelperMaturityDate(D74)</f>
        <v>#VALUE!</v>
      </c>
      <c r="J74" s="131" t="e">
        <f>_xll.qlRateHelperPillarDate($D74)</f>
        <v>#VALUE!</v>
      </c>
      <c r="K74" s="123" t="e">
        <v>#N/A</v>
      </c>
      <c r="L74" s="15" t="e">
        <v>#N/A</v>
      </c>
      <c r="U74" s="140"/>
      <c r="V74" s="140"/>
    </row>
    <row r="75" spans="4:22" x14ac:dyDescent="0.2">
      <c r="D75" s="128" t="e">
        <v>#N/A</v>
      </c>
      <c r="E75" s="128" t="e">
        <f>_xll.qlRateHelperQuoteName(D75)</f>
        <v>#VALUE!</v>
      </c>
      <c r="F75" s="129" t="e">
        <f>_xll.qlRateHelperQuoteValue($D75)</f>
        <v>#VALUE!</v>
      </c>
      <c r="G75" s="129" t="str">
        <f>IF(ISERROR(_xll.qlSwapRateHelperSpread($D75)),IF(ISERROR(_xll.qlFuturesRateHelperConvexityAdjustment($D75)),"--",_xll.qlFuturesRateHelperConvexityAdjustment($D75)),_xll.qlSwapRateHelperSpread($D75))</f>
        <v>--</v>
      </c>
      <c r="H75" s="130" t="e">
        <f>_xll.qlRateHelperEarliestDate($D75)</f>
        <v>#VALUE!</v>
      </c>
      <c r="I75" s="130" t="e">
        <f>_xll.qlRateHelperMaturityDate(D75)</f>
        <v>#VALUE!</v>
      </c>
      <c r="J75" s="131" t="e">
        <f>_xll.qlRateHelperPillarDate($D75)</f>
        <v>#VALUE!</v>
      </c>
      <c r="K75" s="123" t="e">
        <v>#N/A</v>
      </c>
      <c r="L75" s="15" t="e">
        <v>#N/A</v>
      </c>
      <c r="U75" s="140"/>
      <c r="V75" s="140"/>
    </row>
    <row r="76" spans="4:22" x14ac:dyDescent="0.2">
      <c r="D76" s="128" t="e">
        <v>#N/A</v>
      </c>
      <c r="E76" s="128" t="e">
        <f>_xll.qlRateHelperQuoteName(D76)</f>
        <v>#VALUE!</v>
      </c>
      <c r="F76" s="129" t="e">
        <f>_xll.qlRateHelperQuoteValue($D76)</f>
        <v>#VALUE!</v>
      </c>
      <c r="G76" s="129" t="str">
        <f>IF(ISERROR(_xll.qlSwapRateHelperSpread($D76)),IF(ISERROR(_xll.qlFuturesRateHelperConvexityAdjustment($D76)),"--",_xll.qlFuturesRateHelperConvexityAdjustment($D76)),_xll.qlSwapRateHelperSpread($D76))</f>
        <v>--</v>
      </c>
      <c r="H76" s="130" t="e">
        <f>_xll.qlRateHelperEarliestDate($D76)</f>
        <v>#VALUE!</v>
      </c>
      <c r="I76" s="130" t="e">
        <f>_xll.qlRateHelperMaturityDate(D76)</f>
        <v>#VALUE!</v>
      </c>
      <c r="J76" s="131" t="e">
        <f>_xll.qlRateHelperPillarDate($D76)</f>
        <v>#VALUE!</v>
      </c>
      <c r="K76" s="123" t="e">
        <v>#N/A</v>
      </c>
      <c r="L76" s="15" t="e">
        <v>#N/A</v>
      </c>
      <c r="U76" s="140"/>
      <c r="V76" s="140"/>
    </row>
    <row r="77" spans="4:22" x14ac:dyDescent="0.2">
      <c r="D77" s="128" t="e">
        <v>#N/A</v>
      </c>
      <c r="E77" s="128" t="e">
        <f>_xll.qlRateHelperQuoteName(D77)</f>
        <v>#VALUE!</v>
      </c>
      <c r="F77" s="129" t="e">
        <f>_xll.qlRateHelperQuoteValue($D77)</f>
        <v>#VALUE!</v>
      </c>
      <c r="G77" s="129" t="str">
        <f>IF(ISERROR(_xll.qlSwapRateHelperSpread($D77)),IF(ISERROR(_xll.qlFuturesRateHelperConvexityAdjustment($D77)),"--",_xll.qlFuturesRateHelperConvexityAdjustment($D77)),_xll.qlSwapRateHelperSpread($D77))</f>
        <v>--</v>
      </c>
      <c r="H77" s="130" t="e">
        <f>_xll.qlRateHelperEarliestDate($D77)</f>
        <v>#VALUE!</v>
      </c>
      <c r="I77" s="130" t="e">
        <f>_xll.qlRateHelperMaturityDate(D77)</f>
        <v>#VALUE!</v>
      </c>
      <c r="J77" s="131" t="e">
        <f>_xll.qlRateHelperPillarDate($D77)</f>
        <v>#VALUE!</v>
      </c>
      <c r="K77" s="123" t="e">
        <v>#N/A</v>
      </c>
      <c r="L77" s="15" t="e">
        <v>#N/A</v>
      </c>
    </row>
    <row r="78" spans="4:22" x14ac:dyDescent="0.2">
      <c r="D78" s="128" t="e">
        <v>#N/A</v>
      </c>
      <c r="E78" s="128" t="e">
        <f>_xll.qlRateHelperQuoteName(D78)</f>
        <v>#VALUE!</v>
      </c>
      <c r="F78" s="129" t="e">
        <f>_xll.qlRateHelperQuoteValue($D78)</f>
        <v>#VALUE!</v>
      </c>
      <c r="G78" s="129" t="str">
        <f>IF(ISERROR(_xll.qlSwapRateHelperSpread($D78)),IF(ISERROR(_xll.qlFuturesRateHelperConvexityAdjustment($D78)),"--",_xll.qlFuturesRateHelperConvexityAdjustment($D78)),_xll.qlSwapRateHelperSpread($D78))</f>
        <v>--</v>
      </c>
      <c r="H78" s="130" t="e">
        <f>_xll.qlRateHelperEarliestDate($D78)</f>
        <v>#VALUE!</v>
      </c>
      <c r="I78" s="130" t="e">
        <f>_xll.qlRateHelperMaturityDate(D78)</f>
        <v>#VALUE!</v>
      </c>
      <c r="J78" s="131" t="e">
        <f>_xll.qlRateHelperPillarDate($D78)</f>
        <v>#VALUE!</v>
      </c>
      <c r="K78" s="123" t="e">
        <v>#N/A</v>
      </c>
      <c r="L78" s="15" t="e">
        <v>#N/A</v>
      </c>
    </row>
    <row r="79" spans="4:22" x14ac:dyDescent="0.2">
      <c r="D79" s="128" t="e">
        <v>#N/A</v>
      </c>
      <c r="E79" s="128" t="e">
        <f>_xll.qlRateHelperQuoteName(D79)</f>
        <v>#VALUE!</v>
      </c>
      <c r="F79" s="129" t="e">
        <f>_xll.qlRateHelperQuoteValue($D79)</f>
        <v>#VALUE!</v>
      </c>
      <c r="G79" s="129" t="str">
        <f>IF(ISERROR(_xll.qlSwapRateHelperSpread($D79)),IF(ISERROR(_xll.qlFuturesRateHelperConvexityAdjustment($D79)),"--",_xll.qlFuturesRateHelperConvexityAdjustment($D79)),_xll.qlSwapRateHelperSpread($D79))</f>
        <v>--</v>
      </c>
      <c r="H79" s="130" t="e">
        <f>_xll.qlRateHelperEarliestDate($D79)</f>
        <v>#VALUE!</v>
      </c>
      <c r="I79" s="130" t="e">
        <f>_xll.qlRateHelperMaturityDate(D79)</f>
        <v>#VALUE!</v>
      </c>
      <c r="J79" s="131" t="e">
        <f>_xll.qlRateHelperPillarDate($D79)</f>
        <v>#VALUE!</v>
      </c>
      <c r="K79" s="123" t="e">
        <v>#N/A</v>
      </c>
      <c r="L79" s="15" t="e">
        <v>#N/A</v>
      </c>
    </row>
    <row r="80" spans="4:22" x14ac:dyDescent="0.2">
      <c r="D80" s="128" t="e">
        <v>#N/A</v>
      </c>
      <c r="E80" s="128" t="e">
        <f>_xll.qlRateHelperQuoteName(D80)</f>
        <v>#VALUE!</v>
      </c>
      <c r="F80" s="129" t="e">
        <f>_xll.qlRateHelperQuoteValue($D80)</f>
        <v>#VALUE!</v>
      </c>
      <c r="G80" s="129" t="str">
        <f>IF(ISERROR(_xll.qlSwapRateHelperSpread($D80)),IF(ISERROR(_xll.qlFuturesRateHelperConvexityAdjustment($D80)),"--",_xll.qlFuturesRateHelperConvexityAdjustment($D80)),_xll.qlSwapRateHelperSpread($D80))</f>
        <v>--</v>
      </c>
      <c r="H80" s="130" t="e">
        <f>_xll.qlRateHelperEarliestDate($D80)</f>
        <v>#VALUE!</v>
      </c>
      <c r="I80" s="130" t="e">
        <f>_xll.qlRateHelperMaturityDate(D80)</f>
        <v>#VALUE!</v>
      </c>
      <c r="J80" s="131" t="e">
        <f>_xll.qlRateHelperPillarDate($D80)</f>
        <v>#VALUE!</v>
      </c>
      <c r="K80" s="123" t="e">
        <v>#N/A</v>
      </c>
      <c r="L80" s="15" t="e">
        <v>#N/A</v>
      </c>
    </row>
    <row r="81" spans="4:12" x14ac:dyDescent="0.2">
      <c r="D81" s="128" t="e">
        <v>#N/A</v>
      </c>
      <c r="E81" s="128" t="e">
        <f>_xll.qlRateHelperQuoteName(D81)</f>
        <v>#VALUE!</v>
      </c>
      <c r="F81" s="129" t="e">
        <f>_xll.qlRateHelperQuoteValue($D81)</f>
        <v>#VALUE!</v>
      </c>
      <c r="G81" s="129" t="str">
        <f>IF(ISERROR(_xll.qlSwapRateHelperSpread($D81)),IF(ISERROR(_xll.qlFuturesRateHelperConvexityAdjustment($D81)),"--",_xll.qlFuturesRateHelperConvexityAdjustment($D81)),_xll.qlSwapRateHelperSpread($D81))</f>
        <v>--</v>
      </c>
      <c r="H81" s="130" t="e">
        <f>_xll.qlRateHelperEarliestDate($D81)</f>
        <v>#VALUE!</v>
      </c>
      <c r="I81" s="130" t="e">
        <f>_xll.qlRateHelperMaturityDate(D81)</f>
        <v>#VALUE!</v>
      </c>
      <c r="J81" s="131" t="e">
        <f>_xll.qlRateHelperPillarDate($D81)</f>
        <v>#VALUE!</v>
      </c>
      <c r="K81" s="123" t="e">
        <v>#N/A</v>
      </c>
      <c r="L81" s="15" t="e">
        <v>#N/A</v>
      </c>
    </row>
    <row r="82" spans="4:12" x14ac:dyDescent="0.2">
      <c r="D82" s="128" t="e">
        <v>#N/A</v>
      </c>
      <c r="E82" s="128" t="e">
        <f>_xll.qlRateHelperQuoteName(D82)</f>
        <v>#VALUE!</v>
      </c>
      <c r="F82" s="129" t="e">
        <f>_xll.qlRateHelperQuoteValue($D82)</f>
        <v>#VALUE!</v>
      </c>
      <c r="G82" s="129" t="str">
        <f>IF(ISERROR(_xll.qlSwapRateHelperSpread($D82)),IF(ISERROR(_xll.qlFuturesRateHelperConvexityAdjustment($D82)),"--",_xll.qlFuturesRateHelperConvexityAdjustment($D82)),_xll.qlSwapRateHelperSpread($D82))</f>
        <v>--</v>
      </c>
      <c r="H82" s="130" t="e">
        <f>_xll.qlRateHelperEarliestDate($D82)</f>
        <v>#VALUE!</v>
      </c>
      <c r="I82" s="130" t="e">
        <f>_xll.qlRateHelperMaturityDate(D82)</f>
        <v>#VALUE!</v>
      </c>
      <c r="J82" s="131" t="e">
        <f>_xll.qlRateHelperPillarDate($D82)</f>
        <v>#VALUE!</v>
      </c>
      <c r="K82" s="123" t="e">
        <v>#N/A</v>
      </c>
      <c r="L82" s="15" t="e">
        <v>#N/A</v>
      </c>
    </row>
    <row r="83" spans="4:12" x14ac:dyDescent="0.2">
      <c r="D83" s="128" t="e">
        <v>#N/A</v>
      </c>
      <c r="E83" s="128" t="e">
        <f>_xll.qlRateHelperQuoteName(D83)</f>
        <v>#VALUE!</v>
      </c>
      <c r="F83" s="129" t="e">
        <f>_xll.qlRateHelperQuoteValue($D83)</f>
        <v>#VALUE!</v>
      </c>
      <c r="G83" s="129" t="str">
        <f>IF(ISERROR(_xll.qlSwapRateHelperSpread($D83)),IF(ISERROR(_xll.qlFuturesRateHelperConvexityAdjustment($D83)),"--",_xll.qlFuturesRateHelperConvexityAdjustment($D83)),_xll.qlSwapRateHelperSpread($D83))</f>
        <v>--</v>
      </c>
      <c r="H83" s="130" t="e">
        <f>_xll.qlRateHelperEarliestDate($D83)</f>
        <v>#VALUE!</v>
      </c>
      <c r="I83" s="130" t="e">
        <f>_xll.qlRateHelperMaturityDate(D83)</f>
        <v>#VALUE!</v>
      </c>
      <c r="J83" s="131" t="e">
        <f>_xll.qlRateHelperPillarDate($D83)</f>
        <v>#VALUE!</v>
      </c>
      <c r="K83" s="123" t="e">
        <v>#N/A</v>
      </c>
      <c r="L83" s="15" t="e">
        <v>#N/A</v>
      </c>
    </row>
    <row r="84" spans="4:12" x14ac:dyDescent="0.2">
      <c r="D84" s="128" t="e">
        <v>#N/A</v>
      </c>
      <c r="E84" s="128" t="e">
        <f>_xll.qlRateHelperQuoteName(D84)</f>
        <v>#VALUE!</v>
      </c>
      <c r="F84" s="129" t="e">
        <f>_xll.qlRateHelperQuoteValue($D84)</f>
        <v>#VALUE!</v>
      </c>
      <c r="G84" s="129" t="str">
        <f>IF(ISERROR(_xll.qlSwapRateHelperSpread($D84)),IF(ISERROR(_xll.qlFuturesRateHelperConvexityAdjustment($D84)),"--",_xll.qlFuturesRateHelperConvexityAdjustment($D84)),_xll.qlSwapRateHelperSpread($D84))</f>
        <v>--</v>
      </c>
      <c r="H84" s="130" t="e">
        <f>_xll.qlRateHelperEarliestDate($D84)</f>
        <v>#VALUE!</v>
      </c>
      <c r="I84" s="130" t="e">
        <f>_xll.qlRateHelperMaturityDate(D84)</f>
        <v>#VALUE!</v>
      </c>
      <c r="J84" s="131" t="e">
        <f>_xll.qlRateHelperPillarDate($D84)</f>
        <v>#VALUE!</v>
      </c>
      <c r="K84" s="123" t="e">
        <v>#N/A</v>
      </c>
      <c r="L84" s="15" t="e">
        <v>#N/A</v>
      </c>
    </row>
    <row r="85" spans="4:12" x14ac:dyDescent="0.2">
      <c r="D85" s="128" t="e">
        <v>#N/A</v>
      </c>
      <c r="E85" s="128" t="e">
        <f>_xll.qlRateHelperQuoteName(D85)</f>
        <v>#VALUE!</v>
      </c>
      <c r="F85" s="129" t="e">
        <f>_xll.qlRateHelperQuoteValue($D85)</f>
        <v>#VALUE!</v>
      </c>
      <c r="G85" s="129" t="str">
        <f>IF(ISERROR(_xll.qlSwapRateHelperSpread($D85)),IF(ISERROR(_xll.qlFuturesRateHelperConvexityAdjustment($D85)),"--",_xll.qlFuturesRateHelperConvexityAdjustment($D85)),_xll.qlSwapRateHelperSpread($D85))</f>
        <v>--</v>
      </c>
      <c r="H85" s="130" t="e">
        <f>_xll.qlRateHelperEarliestDate($D85)</f>
        <v>#VALUE!</v>
      </c>
      <c r="I85" s="130" t="e">
        <f>_xll.qlRateHelperMaturityDate(D85)</f>
        <v>#VALUE!</v>
      </c>
      <c r="J85" s="131" t="e">
        <f>_xll.qlRateHelperPillarDate($D85)</f>
        <v>#VALUE!</v>
      </c>
      <c r="K85" s="123" t="e">
        <v>#N/A</v>
      </c>
      <c r="L85" s="15" t="e">
        <v>#N/A</v>
      </c>
    </row>
    <row r="86" spans="4:12" x14ac:dyDescent="0.2">
      <c r="D86" s="128" t="e">
        <v>#N/A</v>
      </c>
      <c r="E86" s="128" t="e">
        <f>_xll.qlRateHelperQuoteName(D86)</f>
        <v>#VALUE!</v>
      </c>
      <c r="F86" s="129" t="e">
        <f>_xll.qlRateHelperQuoteValue($D86)</f>
        <v>#VALUE!</v>
      </c>
      <c r="G86" s="129" t="str">
        <f>IF(ISERROR(_xll.qlSwapRateHelperSpread($D86)),IF(ISERROR(_xll.qlFuturesRateHelperConvexityAdjustment($D86)),"--",_xll.qlFuturesRateHelperConvexityAdjustment($D86)),_xll.qlSwapRateHelperSpread($D86))</f>
        <v>--</v>
      </c>
      <c r="H86" s="130" t="e">
        <f>_xll.qlRateHelperEarliestDate($D86)</f>
        <v>#VALUE!</v>
      </c>
      <c r="I86" s="130" t="e">
        <f>_xll.qlRateHelperMaturityDate(D86)</f>
        <v>#VALUE!</v>
      </c>
      <c r="J86" s="131" t="e">
        <f>_xll.qlRateHelperPillarDate($D86)</f>
        <v>#VALUE!</v>
      </c>
      <c r="K86" s="123" t="e">
        <v>#N/A</v>
      </c>
      <c r="L86" s="15" t="e">
        <v>#N/A</v>
      </c>
    </row>
    <row r="87" spans="4:12" x14ac:dyDescent="0.2">
      <c r="D87" s="128" t="e">
        <v>#N/A</v>
      </c>
      <c r="E87" s="128" t="e">
        <f>_xll.qlRateHelperQuoteName(D87)</f>
        <v>#VALUE!</v>
      </c>
      <c r="F87" s="129" t="e">
        <f>_xll.qlRateHelperQuoteValue($D87)</f>
        <v>#VALUE!</v>
      </c>
      <c r="G87" s="129" t="str">
        <f>IF(ISERROR(_xll.qlSwapRateHelperSpread($D87)),IF(ISERROR(_xll.qlFuturesRateHelperConvexityAdjustment($D87)),"--",_xll.qlFuturesRateHelperConvexityAdjustment($D87)),_xll.qlSwapRateHelperSpread($D87))</f>
        <v>--</v>
      </c>
      <c r="H87" s="130" t="e">
        <f>_xll.qlRateHelperEarliestDate($D87)</f>
        <v>#VALUE!</v>
      </c>
      <c r="I87" s="130" t="e">
        <f>_xll.qlRateHelperMaturityDate(D87)</f>
        <v>#VALUE!</v>
      </c>
      <c r="J87" s="131" t="e">
        <f>_xll.qlRateHelperPillarDate($D87)</f>
        <v>#VALUE!</v>
      </c>
      <c r="K87" s="123" t="e">
        <v>#N/A</v>
      </c>
      <c r="L87" s="15" t="e">
        <v>#N/A</v>
      </c>
    </row>
    <row r="88" spans="4:12" x14ac:dyDescent="0.2">
      <c r="D88" s="128" t="e">
        <v>#N/A</v>
      </c>
      <c r="E88" s="128" t="e">
        <f>_xll.qlRateHelperQuoteName(D88)</f>
        <v>#VALUE!</v>
      </c>
      <c r="F88" s="129" t="e">
        <f>_xll.qlRateHelperQuoteValue($D88)</f>
        <v>#VALUE!</v>
      </c>
      <c r="G88" s="129" t="str">
        <f>IF(ISERROR(_xll.qlSwapRateHelperSpread($D88)),IF(ISERROR(_xll.qlFuturesRateHelperConvexityAdjustment($D88)),"--",_xll.qlFuturesRateHelperConvexityAdjustment($D88)),_xll.qlSwapRateHelperSpread($D88))</f>
        <v>--</v>
      </c>
      <c r="H88" s="130" t="e">
        <f>_xll.qlRateHelperEarliestDate($D88)</f>
        <v>#VALUE!</v>
      </c>
      <c r="I88" s="130" t="e">
        <f>_xll.qlRateHelperMaturityDate(D88)</f>
        <v>#VALUE!</v>
      </c>
      <c r="J88" s="131" t="e">
        <f>_xll.qlRateHelperPillarDate($D88)</f>
        <v>#VALUE!</v>
      </c>
      <c r="K88" s="123" t="e">
        <v>#N/A</v>
      </c>
      <c r="L88" s="15" t="e">
        <v>#N/A</v>
      </c>
    </row>
    <row r="89" spans="4:12" x14ac:dyDescent="0.2">
      <c r="D89" s="128" t="e">
        <v>#N/A</v>
      </c>
      <c r="E89" s="128" t="e">
        <f>_xll.qlRateHelperQuoteName(D89)</f>
        <v>#VALUE!</v>
      </c>
      <c r="F89" s="129" t="e">
        <f>_xll.qlRateHelperQuoteValue($D89)</f>
        <v>#VALUE!</v>
      </c>
      <c r="G89" s="129" t="str">
        <f>IF(ISERROR(_xll.qlSwapRateHelperSpread($D89)),IF(ISERROR(_xll.qlFuturesRateHelperConvexityAdjustment($D89)),"--",_xll.qlFuturesRateHelperConvexityAdjustment($D89)),_xll.qlSwapRateHelperSpread($D89))</f>
        <v>--</v>
      </c>
      <c r="H89" s="130" t="e">
        <f>_xll.qlRateHelperEarliestDate($D89)</f>
        <v>#VALUE!</v>
      </c>
      <c r="I89" s="130" t="e">
        <f>_xll.qlRateHelperMaturityDate(D89)</f>
        <v>#VALUE!</v>
      </c>
      <c r="J89" s="131" t="e">
        <f>_xll.qlRateHelperPillarDate($D89)</f>
        <v>#VALUE!</v>
      </c>
      <c r="K89" s="123" t="e">
        <v>#N/A</v>
      </c>
      <c r="L89" s="15" t="e">
        <v>#N/A</v>
      </c>
    </row>
    <row r="90" spans="4:12" x14ac:dyDescent="0.2">
      <c r="D90" s="128" t="e">
        <v>#N/A</v>
      </c>
      <c r="E90" s="128" t="e">
        <f>_xll.qlRateHelperQuoteName(D90)</f>
        <v>#VALUE!</v>
      </c>
      <c r="F90" s="129" t="e">
        <f>_xll.qlRateHelperQuoteValue($D90)</f>
        <v>#VALUE!</v>
      </c>
      <c r="G90" s="129" t="str">
        <f>IF(ISERROR(_xll.qlSwapRateHelperSpread($D90)),IF(ISERROR(_xll.qlFuturesRateHelperConvexityAdjustment($D90)),"--",_xll.qlFuturesRateHelperConvexityAdjustment($D90)),_xll.qlSwapRateHelperSpread($D90))</f>
        <v>--</v>
      </c>
      <c r="H90" s="130" t="e">
        <f>_xll.qlRateHelperEarliestDate($D90)</f>
        <v>#VALUE!</v>
      </c>
      <c r="I90" s="130" t="e">
        <f>_xll.qlRateHelperMaturityDate(D90)</f>
        <v>#VALUE!</v>
      </c>
      <c r="J90" s="131" t="e">
        <f>_xll.qlRateHelperPillarDate($D90)</f>
        <v>#VALUE!</v>
      </c>
      <c r="K90" s="123" t="e">
        <v>#N/A</v>
      </c>
      <c r="L90" s="15" t="e">
        <v>#N/A</v>
      </c>
    </row>
    <row r="91" spans="4:12" x14ac:dyDescent="0.2">
      <c r="D91" s="128" t="e">
        <v>#N/A</v>
      </c>
      <c r="E91" s="128" t="e">
        <f>_xll.qlRateHelperQuoteName(D91)</f>
        <v>#VALUE!</v>
      </c>
      <c r="F91" s="129" t="e">
        <f>_xll.qlRateHelperQuoteValue($D91)</f>
        <v>#VALUE!</v>
      </c>
      <c r="G91" s="129" t="str">
        <f>IF(ISERROR(_xll.qlSwapRateHelperSpread($D91)),IF(ISERROR(_xll.qlFuturesRateHelperConvexityAdjustment($D91)),"--",_xll.qlFuturesRateHelperConvexityAdjustment($D91)),_xll.qlSwapRateHelperSpread($D91))</f>
        <v>--</v>
      </c>
      <c r="H91" s="130" t="e">
        <f>_xll.qlRateHelperEarliestDate($D91)</f>
        <v>#VALUE!</v>
      </c>
      <c r="I91" s="130" t="e">
        <f>_xll.qlRateHelperMaturityDate(D91)</f>
        <v>#VALUE!</v>
      </c>
      <c r="J91" s="131" t="e">
        <f>_xll.qlRateHelperPillarDate($D91)</f>
        <v>#VALUE!</v>
      </c>
      <c r="K91" s="123" t="e">
        <v>#N/A</v>
      </c>
      <c r="L91" s="15" t="e">
        <v>#N/A</v>
      </c>
    </row>
    <row r="92" spans="4:12" x14ac:dyDescent="0.2">
      <c r="D92" s="128" t="e">
        <v>#N/A</v>
      </c>
      <c r="E92" s="128" t="e">
        <f>_xll.qlRateHelperQuoteName(D92)</f>
        <v>#VALUE!</v>
      </c>
      <c r="F92" s="129" t="e">
        <f>_xll.qlRateHelperQuoteValue($D92)</f>
        <v>#VALUE!</v>
      </c>
      <c r="G92" s="129" t="str">
        <f>IF(ISERROR(_xll.qlSwapRateHelperSpread($D92)),IF(ISERROR(_xll.qlFuturesRateHelperConvexityAdjustment($D92)),"--",_xll.qlFuturesRateHelperConvexityAdjustment($D92)),_xll.qlSwapRateHelperSpread($D92))</f>
        <v>--</v>
      </c>
      <c r="H92" s="130" t="e">
        <f>_xll.qlRateHelperEarliestDate($D92)</f>
        <v>#VALUE!</v>
      </c>
      <c r="I92" s="130" t="e">
        <f>_xll.qlRateHelperMaturityDate(D92)</f>
        <v>#VALUE!</v>
      </c>
      <c r="J92" s="131" t="e">
        <f>_xll.qlRateHelperPillarDate($D92)</f>
        <v>#VALUE!</v>
      </c>
      <c r="K92" s="123" t="e">
        <v>#N/A</v>
      </c>
      <c r="L92" s="15" t="e">
        <v>#N/A</v>
      </c>
    </row>
    <row r="93" spans="4:12" x14ac:dyDescent="0.2">
      <c r="D93" s="128" t="e">
        <v>#N/A</v>
      </c>
      <c r="E93" s="128" t="e">
        <f>_xll.qlRateHelperQuoteName(D93)</f>
        <v>#VALUE!</v>
      </c>
      <c r="F93" s="129" t="e">
        <f>_xll.qlRateHelperQuoteValue($D93)</f>
        <v>#VALUE!</v>
      </c>
      <c r="G93" s="129" t="str">
        <f>IF(ISERROR(_xll.qlSwapRateHelperSpread($D93)),IF(ISERROR(_xll.qlFuturesRateHelperConvexityAdjustment($D93)),"--",_xll.qlFuturesRateHelperConvexityAdjustment($D93)),_xll.qlSwapRateHelperSpread($D93))</f>
        <v>--</v>
      </c>
      <c r="H93" s="130" t="e">
        <f>_xll.qlRateHelperEarliestDate($D93)</f>
        <v>#VALUE!</v>
      </c>
      <c r="I93" s="130" t="e">
        <f>_xll.qlRateHelperMaturityDate(D93)</f>
        <v>#VALUE!</v>
      </c>
      <c r="J93" s="131" t="e">
        <f>_xll.qlRateHelperPillarDate($D93)</f>
        <v>#VALUE!</v>
      </c>
      <c r="K93" s="123" t="e">
        <v>#N/A</v>
      </c>
      <c r="L93" s="15" t="e">
        <v>#N/A</v>
      </c>
    </row>
    <row r="94" spans="4:12" x14ac:dyDescent="0.2">
      <c r="D94" s="128" t="e">
        <v>#N/A</v>
      </c>
      <c r="E94" s="128" t="e">
        <f>_xll.qlRateHelperQuoteName(D94)</f>
        <v>#VALUE!</v>
      </c>
      <c r="F94" s="129" t="e">
        <f>_xll.qlRateHelperQuoteValue($D94)</f>
        <v>#VALUE!</v>
      </c>
      <c r="G94" s="129" t="str">
        <f>IF(ISERROR(_xll.qlSwapRateHelperSpread($D94)),IF(ISERROR(_xll.qlFuturesRateHelperConvexityAdjustment($D94)),"--",_xll.qlFuturesRateHelperConvexityAdjustment($D94)),_xll.qlSwapRateHelperSpread($D94))</f>
        <v>--</v>
      </c>
      <c r="H94" s="130" t="e">
        <f>_xll.qlRateHelperEarliestDate($D94)</f>
        <v>#VALUE!</v>
      </c>
      <c r="I94" s="130" t="e">
        <f>_xll.qlRateHelperMaturityDate(D94)</f>
        <v>#VALUE!</v>
      </c>
      <c r="J94" s="131" t="e">
        <f>_xll.qlRateHelperPillarDate($D94)</f>
        <v>#VALUE!</v>
      </c>
      <c r="K94" s="123" t="e">
        <v>#N/A</v>
      </c>
      <c r="L94" s="15" t="e">
        <v>#N/A</v>
      </c>
    </row>
    <row r="95" spans="4:12" x14ac:dyDescent="0.2">
      <c r="D95" s="128" t="e">
        <v>#N/A</v>
      </c>
      <c r="E95" s="128" t="e">
        <f>_xll.qlRateHelperQuoteName(D95)</f>
        <v>#VALUE!</v>
      </c>
      <c r="F95" s="129" t="e">
        <f>_xll.qlRateHelperQuoteValue($D95)</f>
        <v>#VALUE!</v>
      </c>
      <c r="G95" s="129" t="str">
        <f>IF(ISERROR(_xll.qlSwapRateHelperSpread($D95)),IF(ISERROR(_xll.qlFuturesRateHelperConvexityAdjustment($D95)),"--",_xll.qlFuturesRateHelperConvexityAdjustment($D95)),_xll.qlSwapRateHelperSpread($D95))</f>
        <v>--</v>
      </c>
      <c r="H95" s="130" t="e">
        <f>_xll.qlRateHelperEarliestDate($D95)</f>
        <v>#VALUE!</v>
      </c>
      <c r="I95" s="130" t="e">
        <f>_xll.qlRateHelperMaturityDate(D95)</f>
        <v>#VALUE!</v>
      </c>
      <c r="J95" s="131" t="e">
        <f>_xll.qlRateHelperPillarDate($D95)</f>
        <v>#VALUE!</v>
      </c>
      <c r="K95" s="123" t="e">
        <v>#N/A</v>
      </c>
      <c r="L95" s="15" t="e">
        <v>#N/A</v>
      </c>
    </row>
    <row r="96" spans="4:12" x14ac:dyDescent="0.2">
      <c r="D96" s="128" t="e">
        <v>#N/A</v>
      </c>
      <c r="E96" s="128" t="e">
        <f>_xll.qlRateHelperQuoteName(D96)</f>
        <v>#VALUE!</v>
      </c>
      <c r="F96" s="129" t="e">
        <f>_xll.qlRateHelperQuoteValue($D96)</f>
        <v>#VALUE!</v>
      </c>
      <c r="G96" s="129" t="str">
        <f>IF(ISERROR(_xll.qlSwapRateHelperSpread($D96)),IF(ISERROR(_xll.qlFuturesRateHelperConvexityAdjustment($D96)),"--",_xll.qlFuturesRateHelperConvexityAdjustment($D96)),_xll.qlSwapRateHelperSpread($D96))</f>
        <v>--</v>
      </c>
      <c r="H96" s="130" t="e">
        <f>_xll.qlRateHelperEarliestDate($D96)</f>
        <v>#VALUE!</v>
      </c>
      <c r="I96" s="130" t="e">
        <f>_xll.qlRateHelperMaturityDate(D96)</f>
        <v>#VALUE!</v>
      </c>
      <c r="J96" s="131" t="e">
        <f>_xll.qlRateHelperPillarDate($D96)</f>
        <v>#VALUE!</v>
      </c>
      <c r="K96" s="123" t="e">
        <v>#N/A</v>
      </c>
      <c r="L96" s="15" t="e">
        <v>#N/A</v>
      </c>
    </row>
    <row r="97" spans="4:12" x14ac:dyDescent="0.2">
      <c r="D97" s="128" t="e">
        <v>#N/A</v>
      </c>
      <c r="E97" s="128" t="e">
        <f>_xll.qlRateHelperQuoteName(D97)</f>
        <v>#VALUE!</v>
      </c>
      <c r="F97" s="129" t="e">
        <f>_xll.qlRateHelperQuoteValue($D97)</f>
        <v>#VALUE!</v>
      </c>
      <c r="G97" s="129" t="str">
        <f>IF(ISERROR(_xll.qlSwapRateHelperSpread($D97)),IF(ISERROR(_xll.qlFuturesRateHelperConvexityAdjustment($D97)),"--",_xll.qlFuturesRateHelperConvexityAdjustment($D97)),_xll.qlSwapRateHelperSpread($D97))</f>
        <v>--</v>
      </c>
      <c r="H97" s="130" t="e">
        <f>_xll.qlRateHelperEarliestDate($D97)</f>
        <v>#VALUE!</v>
      </c>
      <c r="I97" s="130" t="e">
        <f>_xll.qlRateHelperMaturityDate(D97)</f>
        <v>#VALUE!</v>
      </c>
      <c r="J97" s="131" t="e">
        <f>_xll.qlRateHelperPillarDate($D97)</f>
        <v>#VALUE!</v>
      </c>
      <c r="K97" s="123" t="e">
        <v>#N/A</v>
      </c>
      <c r="L97" s="15" t="e">
        <v>#N/A</v>
      </c>
    </row>
    <row r="98" spans="4:12" x14ac:dyDescent="0.2">
      <c r="D98" s="128" t="e">
        <v>#N/A</v>
      </c>
      <c r="E98" s="128" t="e">
        <f>_xll.qlRateHelperQuoteName(D98)</f>
        <v>#VALUE!</v>
      </c>
      <c r="F98" s="129" t="e">
        <f>_xll.qlRateHelperQuoteValue($D98)</f>
        <v>#VALUE!</v>
      </c>
      <c r="G98" s="129" t="str">
        <f>IF(ISERROR(_xll.qlSwapRateHelperSpread($D98)),IF(ISERROR(_xll.qlFuturesRateHelperConvexityAdjustment($D98)),"--",_xll.qlFuturesRateHelperConvexityAdjustment($D98)),_xll.qlSwapRateHelperSpread($D98))</f>
        <v>--</v>
      </c>
      <c r="H98" s="130" t="e">
        <f>_xll.qlRateHelperEarliestDate($D98)</f>
        <v>#VALUE!</v>
      </c>
      <c r="I98" s="130" t="e">
        <f>_xll.qlRateHelperMaturityDate(D98)</f>
        <v>#VALUE!</v>
      </c>
      <c r="J98" s="131" t="e">
        <f>_xll.qlRateHelperPillarDate($D98)</f>
        <v>#VALUE!</v>
      </c>
      <c r="K98" s="123" t="e">
        <v>#N/A</v>
      </c>
      <c r="L98" s="15" t="e">
        <v>#N/A</v>
      </c>
    </row>
    <row r="99" spans="4:12" x14ac:dyDescent="0.2">
      <c r="D99" s="128" t="e">
        <v>#N/A</v>
      </c>
      <c r="E99" s="128" t="e">
        <f>_xll.qlRateHelperQuoteName(D99)</f>
        <v>#VALUE!</v>
      </c>
      <c r="F99" s="129" t="e">
        <f>_xll.qlRateHelperQuoteValue($D99)</f>
        <v>#VALUE!</v>
      </c>
      <c r="G99" s="129" t="str">
        <f>IF(ISERROR(_xll.qlSwapRateHelperSpread($D99)),IF(ISERROR(_xll.qlFuturesRateHelperConvexityAdjustment($D99)),"--",_xll.qlFuturesRateHelperConvexityAdjustment($D99)),_xll.qlSwapRateHelperSpread($D99))</f>
        <v>--</v>
      </c>
      <c r="H99" s="130" t="e">
        <f>_xll.qlRateHelperEarliestDate($D99)</f>
        <v>#VALUE!</v>
      </c>
      <c r="I99" s="130" t="e">
        <f>_xll.qlRateHelperMaturityDate(D99)</f>
        <v>#VALUE!</v>
      </c>
      <c r="J99" s="131" t="e">
        <f>_xll.qlRateHelperPillarDate($D99)</f>
        <v>#VALUE!</v>
      </c>
      <c r="K99" s="123" t="e">
        <v>#N/A</v>
      </c>
      <c r="L99" s="15" t="e">
        <v>#N/A</v>
      </c>
    </row>
    <row r="100" spans="4:12" x14ac:dyDescent="0.2">
      <c r="D100" s="128" t="e">
        <v>#N/A</v>
      </c>
      <c r="E100" s="128" t="e">
        <f>_xll.qlRateHelperQuoteName(D100)</f>
        <v>#VALUE!</v>
      </c>
      <c r="F100" s="129" t="e">
        <f>_xll.qlRateHelperQuoteValue($D100)</f>
        <v>#VALUE!</v>
      </c>
      <c r="G100" s="12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30" t="e">
        <f>_xll.qlRateHelperEarliestDate($D100)</f>
        <v>#VALUE!</v>
      </c>
      <c r="I100" s="130" t="e">
        <f>_xll.qlRateHelperMaturityDate(D100)</f>
        <v>#VALUE!</v>
      </c>
      <c r="J100" s="131" t="e">
        <f>_xll.qlRateHelperPillarDate($D100)</f>
        <v>#VALUE!</v>
      </c>
      <c r="K100" s="123" t="e">
        <v>#N/A</v>
      </c>
      <c r="L100" s="15" t="e">
        <v>#N/A</v>
      </c>
    </row>
    <row r="101" spans="4:12" x14ac:dyDescent="0.2">
      <c r="D101" s="128" t="e">
        <v>#N/A</v>
      </c>
      <c r="E101" s="128" t="e">
        <f>_xll.qlRateHelperQuoteName(D101)</f>
        <v>#VALUE!</v>
      </c>
      <c r="F101" s="129" t="e">
        <f>_xll.qlRateHelperQuoteValue($D101)</f>
        <v>#VALUE!</v>
      </c>
      <c r="G101" s="12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30" t="e">
        <f>_xll.qlRateHelperEarliestDate($D101)</f>
        <v>#VALUE!</v>
      </c>
      <c r="I101" s="130" t="e">
        <f>_xll.qlRateHelperMaturityDate(D101)</f>
        <v>#VALUE!</v>
      </c>
      <c r="J101" s="131" t="e">
        <f>_xll.qlRateHelperPillarDate($D101)</f>
        <v>#VALUE!</v>
      </c>
      <c r="K101" s="123" t="e">
        <v>#N/A</v>
      </c>
      <c r="L101" s="15" t="e">
        <v>#N/A</v>
      </c>
    </row>
    <row r="102" spans="4:12" x14ac:dyDescent="0.2">
      <c r="D102" s="128" t="e">
        <v>#N/A</v>
      </c>
      <c r="E102" s="128" t="e">
        <f>_xll.qlRateHelperQuoteName(D102)</f>
        <v>#VALUE!</v>
      </c>
      <c r="F102" s="129" t="e">
        <f>_xll.qlRateHelperQuoteValue($D102)</f>
        <v>#VALUE!</v>
      </c>
      <c r="G102" s="12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30" t="e">
        <f>_xll.qlRateHelperEarliestDate($D102)</f>
        <v>#VALUE!</v>
      </c>
      <c r="I102" s="130" t="e">
        <f>_xll.qlRateHelperMaturityDate(D102)</f>
        <v>#VALUE!</v>
      </c>
      <c r="J102" s="131" t="e">
        <f>_xll.qlRateHelperPillarDate($D102)</f>
        <v>#VALUE!</v>
      </c>
      <c r="K102" s="123" t="e">
        <v>#N/A</v>
      </c>
      <c r="L102" s="15" t="e">
        <v>#N/A</v>
      </c>
    </row>
    <row r="103" spans="4:12" x14ac:dyDescent="0.2">
      <c r="D103" s="128" t="e">
        <v>#N/A</v>
      </c>
      <c r="E103" s="128" t="e">
        <f>_xll.qlRateHelperQuoteName(D103)</f>
        <v>#VALUE!</v>
      </c>
      <c r="F103" s="129" t="e">
        <f>_xll.qlRateHelperQuoteValue($D103)</f>
        <v>#VALUE!</v>
      </c>
      <c r="G103" s="12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30" t="e">
        <f>_xll.qlRateHelperEarliestDate($D103)</f>
        <v>#VALUE!</v>
      </c>
      <c r="I103" s="130" t="e">
        <f>_xll.qlRateHelperMaturityDate(D103)</f>
        <v>#VALUE!</v>
      </c>
      <c r="J103" s="131" t="e">
        <f>_xll.qlRateHelperPillarDate($D103)</f>
        <v>#VALUE!</v>
      </c>
      <c r="K103" s="123" t="e">
        <v>#N/A</v>
      </c>
      <c r="L103" s="15" t="e">
        <v>#N/A</v>
      </c>
    </row>
    <row r="104" spans="4:12" x14ac:dyDescent="0.2">
      <c r="D104" s="128" t="e">
        <v>#N/A</v>
      </c>
      <c r="E104" s="128" t="e">
        <f>_xll.qlRateHelperQuoteName(D104)</f>
        <v>#VALUE!</v>
      </c>
      <c r="F104" s="129" t="e">
        <f>_xll.qlRateHelperQuoteValue($D104)</f>
        <v>#VALUE!</v>
      </c>
      <c r="G104" s="12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30" t="e">
        <f>_xll.qlRateHelperEarliestDate($D104)</f>
        <v>#VALUE!</v>
      </c>
      <c r="I104" s="130" t="e">
        <f>_xll.qlRateHelperMaturityDate(D104)</f>
        <v>#VALUE!</v>
      </c>
      <c r="J104" s="131" t="e">
        <f>_xll.qlRateHelperPillarDate($D104)</f>
        <v>#VALUE!</v>
      </c>
      <c r="K104" s="123" t="e">
        <v>#N/A</v>
      </c>
      <c r="L104" s="15" t="e">
        <v>#N/A</v>
      </c>
    </row>
    <row r="105" spans="4:12" x14ac:dyDescent="0.2">
      <c r="D105" s="128" t="e">
        <v>#N/A</v>
      </c>
      <c r="E105" s="128" t="e">
        <f>_xll.qlRateHelperQuoteName(D105)</f>
        <v>#VALUE!</v>
      </c>
      <c r="F105" s="129" t="e">
        <f>_xll.qlRateHelperQuoteValue($D105)</f>
        <v>#VALUE!</v>
      </c>
      <c r="G105" s="12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30" t="e">
        <f>_xll.qlRateHelperEarliestDate($D105)</f>
        <v>#VALUE!</v>
      </c>
      <c r="I105" s="130" t="e">
        <f>_xll.qlRateHelperMaturityDate(D105)</f>
        <v>#VALUE!</v>
      </c>
      <c r="J105" s="131" t="e">
        <f>_xll.qlRateHelperPillarDate($D105)</f>
        <v>#VALUE!</v>
      </c>
      <c r="K105" s="123" t="e">
        <v>#N/A</v>
      </c>
      <c r="L105" s="15" t="e">
        <v>#N/A</v>
      </c>
    </row>
    <row r="106" spans="4:12" x14ac:dyDescent="0.2">
      <c r="D106" s="128" t="e">
        <v>#N/A</v>
      </c>
      <c r="E106" s="128" t="e">
        <f>_xll.qlRateHelperQuoteName(D106)</f>
        <v>#VALUE!</v>
      </c>
      <c r="F106" s="129" t="e">
        <f>_xll.qlRateHelperQuoteValue($D106)</f>
        <v>#VALUE!</v>
      </c>
      <c r="G106" s="12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30" t="e">
        <f>_xll.qlRateHelperEarliestDate($D106)</f>
        <v>#VALUE!</v>
      </c>
      <c r="I106" s="130" t="e">
        <f>_xll.qlRateHelperMaturityDate(D106)</f>
        <v>#VALUE!</v>
      </c>
      <c r="J106" s="131" t="e">
        <f>_xll.qlRateHelperPillarDate($D106)</f>
        <v>#VALUE!</v>
      </c>
      <c r="K106" s="123" t="e">
        <v>#N/A</v>
      </c>
      <c r="L106" s="15" t="e">
        <v>#N/A</v>
      </c>
    </row>
    <row r="107" spans="4:12" x14ac:dyDescent="0.2">
      <c r="D107" s="128" t="e">
        <v>#N/A</v>
      </c>
      <c r="E107" s="128" t="e">
        <f>_xll.qlRateHelperQuoteName(D107)</f>
        <v>#VALUE!</v>
      </c>
      <c r="F107" s="129" t="e">
        <f>_xll.qlRateHelperQuoteValue($D107)</f>
        <v>#VALUE!</v>
      </c>
      <c r="G107" s="12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30" t="e">
        <f>_xll.qlRateHelperEarliestDate($D107)</f>
        <v>#VALUE!</v>
      </c>
      <c r="I107" s="130" t="e">
        <f>_xll.qlRateHelperMaturityDate(D107)</f>
        <v>#VALUE!</v>
      </c>
      <c r="J107" s="131" t="e">
        <f>_xll.qlRateHelperPillarDate($D107)</f>
        <v>#VALUE!</v>
      </c>
      <c r="K107" s="123" t="e">
        <v>#N/A</v>
      </c>
      <c r="L107" s="15" t="e">
        <v>#N/A</v>
      </c>
    </row>
    <row r="108" spans="4:12" x14ac:dyDescent="0.2">
      <c r="D108" s="128" t="e">
        <v>#N/A</v>
      </c>
      <c r="E108" s="128" t="e">
        <f>_xll.qlRateHelperQuoteName(D108)</f>
        <v>#VALUE!</v>
      </c>
      <c r="F108" s="129" t="e">
        <f>_xll.qlRateHelperQuoteValue($D108)</f>
        <v>#VALUE!</v>
      </c>
      <c r="G108" s="12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30" t="e">
        <f>_xll.qlRateHelperEarliestDate($D108)</f>
        <v>#VALUE!</v>
      </c>
      <c r="I108" s="130" t="e">
        <f>_xll.qlRateHelperMaturityDate(D108)</f>
        <v>#VALUE!</v>
      </c>
      <c r="J108" s="131" t="e">
        <f>_xll.qlRateHelperPillarDate($D108)</f>
        <v>#VALUE!</v>
      </c>
      <c r="K108" s="123" t="e">
        <v>#N/A</v>
      </c>
      <c r="L108" s="15" t="e">
        <v>#N/A</v>
      </c>
    </row>
    <row r="109" spans="4:12" x14ac:dyDescent="0.2">
      <c r="D109" s="128" t="e">
        <v>#N/A</v>
      </c>
      <c r="E109" s="128" t="e">
        <f>_xll.qlRateHelperQuoteName(D109)</f>
        <v>#VALUE!</v>
      </c>
      <c r="F109" s="129" t="e">
        <f>_xll.qlRateHelperQuoteValue($D109)</f>
        <v>#VALUE!</v>
      </c>
      <c r="G109" s="12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30" t="e">
        <f>_xll.qlRateHelperEarliestDate($D109)</f>
        <v>#VALUE!</v>
      </c>
      <c r="I109" s="130" t="e">
        <f>_xll.qlRateHelperMaturityDate(D109)</f>
        <v>#VALUE!</v>
      </c>
      <c r="J109" s="131" t="e">
        <f>_xll.qlRateHelperPillarDate($D109)</f>
        <v>#VALUE!</v>
      </c>
      <c r="K109" s="123" t="e">
        <v>#N/A</v>
      </c>
      <c r="L109" s="15" t="e">
        <v>#N/A</v>
      </c>
    </row>
    <row r="110" spans="4:12" x14ac:dyDescent="0.2">
      <c r="D110" s="128" t="e">
        <v>#N/A</v>
      </c>
      <c r="E110" s="128" t="e">
        <f>_xll.qlRateHelperQuoteName(D110)</f>
        <v>#VALUE!</v>
      </c>
      <c r="F110" s="129" t="e">
        <f>_xll.qlRateHelperQuoteValue($D110)</f>
        <v>#VALUE!</v>
      </c>
      <c r="G110" s="12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30" t="e">
        <f>_xll.qlRateHelperEarliestDate($D110)</f>
        <v>#VALUE!</v>
      </c>
      <c r="I110" s="130" t="e">
        <f>_xll.qlRateHelperMaturityDate(D110)</f>
        <v>#VALUE!</v>
      </c>
      <c r="J110" s="131" t="e">
        <f>_xll.qlRateHelperPillarDate($D110)</f>
        <v>#VALUE!</v>
      </c>
      <c r="K110" s="123" t="e">
        <v>#N/A</v>
      </c>
      <c r="L110" s="15" t="e">
        <v>#N/A</v>
      </c>
    </row>
    <row r="111" spans="4:12" x14ac:dyDescent="0.2">
      <c r="D111" s="128" t="e">
        <v>#N/A</v>
      </c>
      <c r="E111" s="128" t="e">
        <f>_xll.qlRateHelperQuoteName(D111)</f>
        <v>#VALUE!</v>
      </c>
      <c r="F111" s="129" t="e">
        <f>_xll.qlRateHelperQuoteValue($D111)</f>
        <v>#VALUE!</v>
      </c>
      <c r="G111" s="12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30" t="e">
        <f>_xll.qlRateHelperEarliestDate($D111)</f>
        <v>#VALUE!</v>
      </c>
      <c r="I111" s="130" t="e">
        <f>_xll.qlRateHelperMaturityDate(D111)</f>
        <v>#VALUE!</v>
      </c>
      <c r="J111" s="131" t="e">
        <f>_xll.qlRateHelperPillarDate($D111)</f>
        <v>#VALUE!</v>
      </c>
      <c r="K111" s="123" t="e">
        <v>#N/A</v>
      </c>
      <c r="L111" s="15" t="e">
        <v>#N/A</v>
      </c>
    </row>
    <row r="112" spans="4:12" x14ac:dyDescent="0.2">
      <c r="D112" s="128" t="e">
        <v>#N/A</v>
      </c>
      <c r="E112" s="128" t="e">
        <f>_xll.qlRateHelperQuoteName(D112)</f>
        <v>#VALUE!</v>
      </c>
      <c r="F112" s="129" t="e">
        <f>_xll.qlRateHelperQuoteValue($D112)</f>
        <v>#VALUE!</v>
      </c>
      <c r="G112" s="12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30" t="e">
        <f>_xll.qlRateHelperEarliestDate($D112)</f>
        <v>#VALUE!</v>
      </c>
      <c r="I112" s="130" t="e">
        <f>_xll.qlRateHelperMaturityDate(D112)</f>
        <v>#VALUE!</v>
      </c>
      <c r="J112" s="131" t="e">
        <f>_xll.qlRateHelperPillarDate($D112)</f>
        <v>#VALUE!</v>
      </c>
      <c r="K112" s="123" t="e">
        <v>#N/A</v>
      </c>
      <c r="L112" s="15" t="e">
        <v>#N/A</v>
      </c>
    </row>
    <row r="113" spans="4:12" x14ac:dyDescent="0.2">
      <c r="D113" s="128" t="e">
        <v>#N/A</v>
      </c>
      <c r="E113" s="128" t="e">
        <f>_xll.qlRateHelperQuoteName(D113)</f>
        <v>#VALUE!</v>
      </c>
      <c r="F113" s="129" t="e">
        <f>_xll.qlRateHelperQuoteValue($D113)</f>
        <v>#VALUE!</v>
      </c>
      <c r="G113" s="12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30" t="e">
        <f>_xll.qlRateHelperEarliestDate($D113)</f>
        <v>#VALUE!</v>
      </c>
      <c r="I113" s="130" t="e">
        <f>_xll.qlRateHelperMaturityDate(D113)</f>
        <v>#VALUE!</v>
      </c>
      <c r="J113" s="131" t="e">
        <f>_xll.qlRateHelperPillarDate($D113)</f>
        <v>#VALUE!</v>
      </c>
      <c r="K113" s="123" t="e">
        <v>#N/A</v>
      </c>
      <c r="L113" s="15" t="e">
        <v>#N/A</v>
      </c>
    </row>
    <row r="114" spans="4:12" x14ac:dyDescent="0.2">
      <c r="D114" s="128" t="e">
        <v>#N/A</v>
      </c>
      <c r="E114" s="128" t="e">
        <f>_xll.qlRateHelperQuoteName(D114)</f>
        <v>#VALUE!</v>
      </c>
      <c r="F114" s="129" t="e">
        <f>_xll.qlRateHelperQuoteValue($D114)</f>
        <v>#VALUE!</v>
      </c>
      <c r="G114" s="12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30" t="e">
        <f>_xll.qlRateHelperEarliestDate($D114)</f>
        <v>#VALUE!</v>
      </c>
      <c r="I114" s="130" t="e">
        <f>_xll.qlRateHelperMaturityDate(D114)</f>
        <v>#VALUE!</v>
      </c>
      <c r="J114" s="131" t="e">
        <f>_xll.qlRateHelperPillarDate($D114)</f>
        <v>#VALUE!</v>
      </c>
      <c r="K114" s="123" t="e">
        <v>#N/A</v>
      </c>
      <c r="L114" s="15" t="e">
        <v>#N/A</v>
      </c>
    </row>
    <row r="115" spans="4:12" x14ac:dyDescent="0.2">
      <c r="D115" s="128" t="e">
        <v>#N/A</v>
      </c>
      <c r="E115" s="128" t="e">
        <f>_xll.qlRateHelperQuoteName(D115)</f>
        <v>#VALUE!</v>
      </c>
      <c r="F115" s="129" t="e">
        <f>_xll.qlRateHelperQuoteValue($D115)</f>
        <v>#VALUE!</v>
      </c>
      <c r="G115" s="12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30" t="e">
        <f>_xll.qlRateHelperEarliestDate($D115)</f>
        <v>#VALUE!</v>
      </c>
      <c r="I115" s="130" t="e">
        <f>_xll.qlRateHelperMaturityDate(D115)</f>
        <v>#VALUE!</v>
      </c>
      <c r="J115" s="131" t="e">
        <f>_xll.qlRateHelperPillarDate($D115)</f>
        <v>#VALUE!</v>
      </c>
      <c r="K115" s="123" t="e">
        <v>#N/A</v>
      </c>
      <c r="L115" s="15" t="e">
        <v>#N/A</v>
      </c>
    </row>
    <row r="116" spans="4:12" x14ac:dyDescent="0.2">
      <c r="D116" s="128" t="e">
        <v>#N/A</v>
      </c>
      <c r="E116" s="128" t="e">
        <f>_xll.qlRateHelperQuoteName(D116)</f>
        <v>#VALUE!</v>
      </c>
      <c r="F116" s="129" t="e">
        <f>_xll.qlRateHelperQuoteValue($D116)</f>
        <v>#VALUE!</v>
      </c>
      <c r="G116" s="12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30" t="e">
        <f>_xll.qlRateHelperEarliestDate($D116)</f>
        <v>#VALUE!</v>
      </c>
      <c r="I116" s="130" t="e">
        <f>_xll.qlRateHelperMaturityDate(D116)</f>
        <v>#VALUE!</v>
      </c>
      <c r="J116" s="131" t="e">
        <f>_xll.qlRateHelperPillarDate($D116)</f>
        <v>#VALUE!</v>
      </c>
      <c r="K116" s="123" t="e">
        <v>#N/A</v>
      </c>
      <c r="L116" s="15" t="e">
        <v>#N/A</v>
      </c>
    </row>
    <row r="117" spans="4:12" x14ac:dyDescent="0.2">
      <c r="D117" s="128" t="e">
        <v>#N/A</v>
      </c>
      <c r="E117" s="128" t="e">
        <f>_xll.qlRateHelperQuoteName(D117)</f>
        <v>#VALUE!</v>
      </c>
      <c r="F117" s="129" t="e">
        <f>_xll.qlRateHelperQuoteValue($D117)</f>
        <v>#VALUE!</v>
      </c>
      <c r="G117" s="12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30" t="e">
        <f>_xll.qlRateHelperEarliestDate($D117)</f>
        <v>#VALUE!</v>
      </c>
      <c r="I117" s="130" t="e">
        <f>_xll.qlRateHelperMaturityDate(D117)</f>
        <v>#VALUE!</v>
      </c>
      <c r="J117" s="131" t="e">
        <f>_xll.qlRateHelperPillarDate($D117)</f>
        <v>#VALUE!</v>
      </c>
      <c r="K117" s="123" t="e">
        <v>#N/A</v>
      </c>
      <c r="L117" s="15" t="e">
        <v>#N/A</v>
      </c>
    </row>
    <row r="118" spans="4:12" x14ac:dyDescent="0.2">
      <c r="D118" s="128" t="e">
        <v>#N/A</v>
      </c>
      <c r="E118" s="128" t="e">
        <f>_xll.qlRateHelperQuoteName(D118)</f>
        <v>#VALUE!</v>
      </c>
      <c r="F118" s="129" t="e">
        <f>_xll.qlRateHelperQuoteValue($D118)</f>
        <v>#VALUE!</v>
      </c>
      <c r="G118" s="12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30" t="e">
        <f>_xll.qlRateHelperEarliestDate($D118)</f>
        <v>#VALUE!</v>
      </c>
      <c r="I118" s="130" t="e">
        <f>_xll.qlRateHelperMaturityDate(D118)</f>
        <v>#VALUE!</v>
      </c>
      <c r="J118" s="131" t="e">
        <f>_xll.qlRateHelperPillarDate($D118)</f>
        <v>#VALUE!</v>
      </c>
      <c r="K118" s="123" t="e">
        <v>#N/A</v>
      </c>
      <c r="L118" s="15" t="e">
        <v>#N/A</v>
      </c>
    </row>
    <row r="119" spans="4:12" x14ac:dyDescent="0.2">
      <c r="D119" s="128" t="e">
        <v>#N/A</v>
      </c>
      <c r="E119" s="128" t="e">
        <f>_xll.qlRateHelperQuoteName(D119)</f>
        <v>#VALUE!</v>
      </c>
      <c r="F119" s="129" t="e">
        <f>_xll.qlRateHelperQuoteValue($D119)</f>
        <v>#VALUE!</v>
      </c>
      <c r="G119" s="12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30" t="e">
        <f>_xll.qlRateHelperEarliestDate($D119)</f>
        <v>#VALUE!</v>
      </c>
      <c r="I119" s="130" t="e">
        <f>_xll.qlRateHelperMaturityDate(D119)</f>
        <v>#VALUE!</v>
      </c>
      <c r="J119" s="131" t="e">
        <f>_xll.qlRateHelperPillarDate($D119)</f>
        <v>#VALUE!</v>
      </c>
      <c r="K119" s="123" t="e">
        <v>#N/A</v>
      </c>
      <c r="L119" s="15" t="e">
        <v>#N/A</v>
      </c>
    </row>
    <row r="120" spans="4:12" x14ac:dyDescent="0.2">
      <c r="D120" s="128" t="e">
        <v>#N/A</v>
      </c>
      <c r="E120" s="128" t="e">
        <f>_xll.qlRateHelperQuoteName(D120)</f>
        <v>#VALUE!</v>
      </c>
      <c r="F120" s="129" t="e">
        <f>_xll.qlRateHelperQuoteValue($D120)</f>
        <v>#VALUE!</v>
      </c>
      <c r="G120" s="12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30" t="e">
        <f>_xll.qlRateHelperEarliestDate($D120)</f>
        <v>#VALUE!</v>
      </c>
      <c r="I120" s="130" t="e">
        <f>_xll.qlRateHelperMaturityDate(D120)</f>
        <v>#VALUE!</v>
      </c>
      <c r="J120" s="131" t="e">
        <f>_xll.qlRateHelperPillarDate($D120)</f>
        <v>#VALUE!</v>
      </c>
      <c r="K120" s="123" t="e">
        <v>#N/A</v>
      </c>
      <c r="L120" s="15" t="e">
        <v>#N/A</v>
      </c>
    </row>
    <row r="121" spans="4:12" x14ac:dyDescent="0.2">
      <c r="D121" s="128" t="e">
        <v>#N/A</v>
      </c>
      <c r="E121" s="128" t="e">
        <f>_xll.qlRateHelperQuoteName(D121)</f>
        <v>#VALUE!</v>
      </c>
      <c r="F121" s="129" t="e">
        <f>_xll.qlRateHelperQuoteValue($D121)</f>
        <v>#VALUE!</v>
      </c>
      <c r="G121" s="12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30" t="e">
        <f>_xll.qlRateHelperEarliestDate($D121)</f>
        <v>#VALUE!</v>
      </c>
      <c r="I121" s="130" t="e">
        <f>_xll.qlRateHelperMaturityDate(D121)</f>
        <v>#VALUE!</v>
      </c>
      <c r="J121" s="131" t="e">
        <f>_xll.qlRateHelperPillarDate($D121)</f>
        <v>#VALUE!</v>
      </c>
      <c r="K121" s="123" t="e">
        <v>#N/A</v>
      </c>
      <c r="L121" s="15" t="e">
        <v>#N/A</v>
      </c>
    </row>
    <row r="122" spans="4:12" x14ac:dyDescent="0.2">
      <c r="D122" s="128" t="e">
        <v>#N/A</v>
      </c>
      <c r="E122" s="128" t="e">
        <f>_xll.qlRateHelperQuoteName(D122)</f>
        <v>#VALUE!</v>
      </c>
      <c r="F122" s="129" t="e">
        <f>_xll.qlRateHelperQuoteValue($D122)</f>
        <v>#VALUE!</v>
      </c>
      <c r="G122" s="12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30" t="e">
        <f>_xll.qlRateHelperEarliestDate($D122)</f>
        <v>#VALUE!</v>
      </c>
      <c r="I122" s="130" t="e">
        <f>_xll.qlRateHelperMaturityDate(D122)</f>
        <v>#VALUE!</v>
      </c>
      <c r="J122" s="131" t="e">
        <f>_xll.qlRateHelperPillarDate($D122)</f>
        <v>#VALUE!</v>
      </c>
      <c r="K122" s="123" t="e">
        <v>#N/A</v>
      </c>
      <c r="L122" s="15" t="e">
        <v>#N/A</v>
      </c>
    </row>
    <row r="123" spans="4:12" x14ac:dyDescent="0.2">
      <c r="D123" s="128" t="e">
        <v>#N/A</v>
      </c>
      <c r="E123" s="128" t="e">
        <f>_xll.qlRateHelperQuoteName(D123)</f>
        <v>#VALUE!</v>
      </c>
      <c r="F123" s="129" t="e">
        <f>_xll.qlRateHelperQuoteValue($D123)</f>
        <v>#VALUE!</v>
      </c>
      <c r="G123" s="12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30" t="e">
        <f>_xll.qlRateHelperEarliestDate($D123)</f>
        <v>#VALUE!</v>
      </c>
      <c r="I123" s="130" t="e">
        <f>_xll.qlRateHelperMaturityDate(D123)</f>
        <v>#VALUE!</v>
      </c>
      <c r="J123" s="131" t="e">
        <f>_xll.qlRateHelperPillarDate($D123)</f>
        <v>#VALUE!</v>
      </c>
      <c r="K123" s="123" t="e">
        <v>#N/A</v>
      </c>
      <c r="L123" s="15" t="e">
        <v>#N/A</v>
      </c>
    </row>
    <row r="124" spans="4:12" x14ac:dyDescent="0.2">
      <c r="D124" s="128" t="e">
        <v>#N/A</v>
      </c>
      <c r="E124" s="128" t="e">
        <f>_xll.qlRateHelperQuoteName(D124)</f>
        <v>#VALUE!</v>
      </c>
      <c r="F124" s="129" t="e">
        <f>_xll.qlRateHelperQuoteValue($D124)</f>
        <v>#VALUE!</v>
      </c>
      <c r="G124" s="12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30" t="e">
        <f>_xll.qlRateHelperEarliestDate($D124)</f>
        <v>#VALUE!</v>
      </c>
      <c r="I124" s="130" t="e">
        <f>_xll.qlRateHelperMaturityDate(D124)</f>
        <v>#VALUE!</v>
      </c>
      <c r="J124" s="131" t="e">
        <f>_xll.qlRateHelperPillarDate($D124)</f>
        <v>#VALUE!</v>
      </c>
      <c r="K124" s="123" t="e">
        <v>#N/A</v>
      </c>
      <c r="L124" s="15" t="e">
        <v>#N/A</v>
      </c>
    </row>
    <row r="125" spans="4:12" x14ac:dyDescent="0.2">
      <c r="D125" s="128" t="e">
        <v>#N/A</v>
      </c>
      <c r="E125" s="128" t="e">
        <f>_xll.qlRateHelperQuoteName(D125)</f>
        <v>#VALUE!</v>
      </c>
      <c r="F125" s="129" t="e">
        <f>_xll.qlRateHelperQuoteValue($D125)</f>
        <v>#VALUE!</v>
      </c>
      <c r="G125" s="12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30" t="e">
        <f>_xll.qlRateHelperEarliestDate($D125)</f>
        <v>#VALUE!</v>
      </c>
      <c r="I125" s="130" t="e">
        <f>_xll.qlRateHelperMaturityDate(D125)</f>
        <v>#VALUE!</v>
      </c>
      <c r="J125" s="131" t="e">
        <f>_xll.qlRateHelperPillarDate($D125)</f>
        <v>#VALUE!</v>
      </c>
      <c r="K125" s="123" t="e">
        <v>#N/A</v>
      </c>
      <c r="L125" s="15" t="e">
        <v>#N/A</v>
      </c>
    </row>
    <row r="126" spans="4:12" ht="12" thickBot="1" x14ac:dyDescent="0.25">
      <c r="D126" s="141" t="e">
        <v>#N/A</v>
      </c>
      <c r="E126" s="141" t="e">
        <f>_xll.qlRateHelperQuoteName(D126)</f>
        <v>#VALUE!</v>
      </c>
      <c r="F126" s="142" t="e">
        <f>_xll.qlRateHelperQuoteValue($D126)</f>
        <v>#VALUE!</v>
      </c>
      <c r="G126" s="14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43" t="e">
        <f>_xll.qlRateHelperEarliestDate($D126)</f>
        <v>#VALUE!</v>
      </c>
      <c r="I126" s="143" t="e">
        <f>_xll.qlRateHelperMaturityDate(D126)</f>
        <v>#VALUE!</v>
      </c>
      <c r="J126" s="144" t="e">
        <f>_xll.qlRateHelperPillarDate($D126)</f>
        <v>#VALUE!</v>
      </c>
      <c r="K126" s="123" t="e">
        <v>#N/A</v>
      </c>
      <c r="L126" s="15" t="e">
        <v>#N/A</v>
      </c>
    </row>
  </sheetData>
  <mergeCells count="1">
    <mergeCell ref="A1:B1"/>
  </mergeCells>
  <phoneticPr fontId="4" type="noConversion"/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"/>
  <sheetViews>
    <sheetView workbookViewId="0">
      <selection activeCell="E3" sqref="E3"/>
    </sheetView>
  </sheetViews>
  <sheetFormatPr defaultRowHeight="11.25" x14ac:dyDescent="0.2"/>
  <cols>
    <col min="1" max="1" width="2.7109375" style="108" customWidth="1"/>
    <col min="2" max="2" width="3" style="108" bestFit="1" customWidth="1"/>
    <col min="3" max="3" width="12" style="108" bestFit="1" customWidth="1"/>
    <col min="4" max="4" width="20.42578125" style="108" bestFit="1" customWidth="1"/>
    <col min="5" max="5" width="19.5703125" style="109" customWidth="1"/>
    <col min="6" max="6" width="25" style="108" bestFit="1" customWidth="1"/>
    <col min="7" max="7" width="20.7109375" style="108" customWidth="1"/>
    <col min="8" max="8" width="2.7109375" style="108" customWidth="1"/>
    <col min="9" max="16384" width="9.140625" style="110"/>
  </cols>
  <sheetData>
    <row r="1" spans="1:8" ht="11.25" customHeight="1" x14ac:dyDescent="0.2">
      <c r="A1" s="111"/>
      <c r="B1" s="112"/>
      <c r="C1" s="113" t="s">
        <v>49</v>
      </c>
      <c r="D1" s="114" t="str">
        <f>Currency&amp;"_YC"&amp;$C$1&amp;"RH"</f>
        <v>USD_YCONRH</v>
      </c>
      <c r="E1" s="115"/>
      <c r="F1" s="116" t="str">
        <f>$D$1&amp;"_Deposits.xml"</f>
        <v>USD_YCONRH_Deposits.xml</v>
      </c>
      <c r="G1" s="117"/>
      <c r="H1" s="118"/>
    </row>
    <row r="2" spans="1:8" ht="22.5" customHeight="1" x14ac:dyDescent="0.2">
      <c r="A2" s="17"/>
      <c r="B2" s="105"/>
      <c r="C2" s="105" t="s">
        <v>80</v>
      </c>
      <c r="D2" s="105" t="s">
        <v>75</v>
      </c>
      <c r="E2" s="105" t="s">
        <v>87</v>
      </c>
      <c r="F2" s="101" t="str">
        <f>IF(Serialize,_xll.ohObjectSave(#REF!,SerializationPath&amp;F1,FileOverwrite,Serialize),"---")</f>
        <v>---</v>
      </c>
      <c r="G2" s="92"/>
      <c r="H2" s="16"/>
    </row>
    <row r="3" spans="1:8" x14ac:dyDescent="0.2">
      <c r="A3" s="98"/>
      <c r="B3" s="92"/>
      <c r="C3" s="92"/>
      <c r="D3" s="92"/>
      <c r="E3" s="237" t="b">
        <v>1</v>
      </c>
      <c r="F3" s="102"/>
      <c r="G3" s="92"/>
      <c r="H3" s="99"/>
    </row>
    <row r="4" spans="1:8" ht="11.25" customHeight="1" x14ac:dyDescent="0.2">
      <c r="A4" s="17"/>
      <c r="B4" s="54" t="s">
        <v>49</v>
      </c>
      <c r="C4" s="106" t="s">
        <v>132</v>
      </c>
      <c r="D4" s="100" t="str">
        <f>Currency&amp;$B4&amp;"D"&amp;QuoteSuffix</f>
        <v>USDOND_Quote</v>
      </c>
      <c r="E4" s="107" t="str">
        <f>Currency&amp;"1DOIS"&amp;LCHQuoteSuffix</f>
        <v>USD1DOIS_LCHQuote</v>
      </c>
      <c r="F4" s="103" t="str">
        <f>_xll.qlDepositRateHelper(,IF($E$3,E4,D4),C4,Permanent,Trigger,ObjectOverwrite)</f>
        <v>obj_00293#0000</v>
      </c>
      <c r="G4" s="104" t="str">
        <f>_xll.ohRangeRetrieveError(F4)</f>
        <v/>
      </c>
      <c r="H4" s="16"/>
    </row>
    <row r="5" spans="1:8" ht="11.25" customHeight="1" x14ac:dyDescent="0.2">
      <c r="A5" s="17"/>
      <c r="B5" s="54" t="s">
        <v>133</v>
      </c>
      <c r="C5" s="106" t="s">
        <v>132</v>
      </c>
      <c r="D5" s="100" t="str">
        <f>Currency&amp;$B5&amp;"D"&amp;QuoteSuffix</f>
        <v>USDTND_Quote</v>
      </c>
      <c r="E5" s="107" t="str">
        <f>Currency&amp;"2DOIS"&amp;LCHQuoteSuffix</f>
        <v>USD2DOIS_LCHQuote</v>
      </c>
      <c r="F5" s="103" t="str">
        <f>_xll.qlFraRateHelper(,IF($E$3,$E5,$D5),"1d",C5,,,Permanent,Trigger,ObjectOverwrite)</f>
        <v>obj_0028f#0000</v>
      </c>
      <c r="G5" s="104"/>
      <c r="H5" s="16"/>
    </row>
    <row r="6" spans="1:8" ht="11.25" customHeight="1" thickBot="1" x14ac:dyDescent="0.25">
      <c r="A6" s="18"/>
      <c r="B6" s="19"/>
      <c r="C6" s="19"/>
      <c r="D6" s="19"/>
      <c r="E6" s="31"/>
      <c r="F6" s="19"/>
      <c r="G6" s="19"/>
      <c r="H6" s="20"/>
    </row>
  </sheetData>
  <dataValidations count="1">
    <dataValidation type="list" allowBlank="1" showInputMessage="1" showErrorMessage="1" sqref="E3">
      <formula1>"TRUE, 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3"/>
  <sheetViews>
    <sheetView workbookViewId="0">
      <selection activeCell="F4" sqref="F4"/>
    </sheetView>
  </sheetViews>
  <sheetFormatPr defaultRowHeight="11.25" x14ac:dyDescent="0.2"/>
  <cols>
    <col min="1" max="1" width="2.7109375" style="96" customWidth="1"/>
    <col min="2" max="2" width="6" style="96" bestFit="1" customWidth="1"/>
    <col min="3" max="3" width="7" style="96" bestFit="1" customWidth="1"/>
    <col min="4" max="4" width="4" style="96" bestFit="1" customWidth="1"/>
    <col min="5" max="5" width="16.140625" style="96" bestFit="1" customWidth="1"/>
    <col min="6" max="6" width="28.5703125" style="96" bestFit="1" customWidth="1"/>
    <col min="7" max="7" width="16.85546875" style="97" customWidth="1"/>
    <col min="8" max="8" width="20.7109375" style="96" customWidth="1"/>
    <col min="9" max="9" width="2.7109375" style="96" customWidth="1"/>
    <col min="10" max="10" width="4.28515625" style="96" customWidth="1"/>
    <col min="11" max="11" width="15.140625" style="96" bestFit="1" customWidth="1"/>
    <col min="12" max="16384" width="9.140625" style="96"/>
  </cols>
  <sheetData>
    <row r="1" spans="1:9" ht="11.25" customHeight="1" x14ac:dyDescent="0.2">
      <c r="A1" s="13"/>
      <c r="B1" s="12"/>
      <c r="C1" s="12"/>
      <c r="D1" s="12"/>
      <c r="E1" s="12"/>
      <c r="F1" s="12"/>
      <c r="G1" s="12"/>
      <c r="H1" s="12"/>
      <c r="I1" s="11"/>
    </row>
    <row r="2" spans="1:9" ht="11.25" customHeight="1" x14ac:dyDescent="0.2">
      <c r="A2" s="5"/>
      <c r="B2" s="7"/>
      <c r="C2" s="7"/>
      <c r="D2" s="3" t="s">
        <v>49</v>
      </c>
      <c r="E2" s="3" t="str">
        <f>Currency&amp;"_YC"&amp;$D$2&amp;"RH"</f>
        <v>USD_YCONRH</v>
      </c>
      <c r="F2" s="3"/>
      <c r="G2" s="10" t="str">
        <f>E2&amp;"_Swaps.xml"</f>
        <v>USD_YCONRH_Swaps.xml</v>
      </c>
      <c r="H2" s="7"/>
      <c r="I2" s="4"/>
    </row>
    <row r="3" spans="1:9" ht="22.5" customHeight="1" x14ac:dyDescent="0.2">
      <c r="A3" s="5"/>
      <c r="B3" s="89" t="s">
        <v>86</v>
      </c>
      <c r="C3" s="89" t="s">
        <v>76</v>
      </c>
      <c r="D3" s="89"/>
      <c r="E3" s="89" t="s">
        <v>75</v>
      </c>
      <c r="F3" s="89" t="s">
        <v>87</v>
      </c>
      <c r="G3" s="90" t="str">
        <f>IF(Serialize,_xll.ohObjectSave(_xll.ohPack(G4:G22),SerializationPath&amp;G2,FileOverwrite,Serialize),"---")</f>
        <v>---</v>
      </c>
      <c r="H3" s="91" t="str">
        <f>_xll.ohRangeRetrieveError(G3)</f>
        <v/>
      </c>
      <c r="I3" s="4"/>
    </row>
    <row r="4" spans="1:9" ht="11.25" customHeight="1" x14ac:dyDescent="0.2">
      <c r="A4" s="8"/>
      <c r="B4" s="91"/>
      <c r="C4" s="91"/>
      <c r="D4" s="91"/>
      <c r="E4" s="91"/>
      <c r="F4" s="236" t="b">
        <v>1</v>
      </c>
      <c r="G4" s="9" t="str">
        <f>_xll.qlOvernightIndex(,"usd-no-fix",0,Currency,Calendar,"actual/360",,Permanent,Trigger,ObjectOverwrite)</f>
        <v>obj_0028a#0000</v>
      </c>
      <c r="H4" s="91" t="str">
        <f>_xll.ohRangeRetrieveError(G4)</f>
        <v/>
      </c>
      <c r="I4" s="4"/>
    </row>
    <row r="5" spans="1:9" ht="11.25" customHeight="1" x14ac:dyDescent="0.2">
      <c r="A5" s="5"/>
      <c r="B5" s="21">
        <v>2</v>
      </c>
      <c r="C5" s="22" t="s">
        <v>74</v>
      </c>
      <c r="D5" s="22" t="s">
        <v>63</v>
      </c>
      <c r="E5" s="32" t="str">
        <f t="shared" ref="E5:E21" si="0">Currency&amp;D5&amp;IF($C5="1W","SW",C5)&amp;QuoteSuffix</f>
        <v>USDOISSW_Quote</v>
      </c>
      <c r="F5" s="231" t="str">
        <f t="shared" ref="F5:F21" si="1">Currency&amp;C5&amp;D5&amp;LCHQuoteSuffix</f>
        <v>USD1WOIS_LCHQuote</v>
      </c>
      <c r="G5" s="35" t="str">
        <f>_xll.qlOISRateHelper(,B5,C5,IF($F$4,F5,E5),$G$4,,Permanent,Trigger,ObjectOverwrite)</f>
        <v>obj_0029a#0000</v>
      </c>
      <c r="H5" s="92" t="str">
        <f>_xll.ohRangeRetrieveError(G5)</f>
        <v/>
      </c>
      <c r="I5" s="4"/>
    </row>
    <row r="6" spans="1:9" ht="11.25" customHeight="1" x14ac:dyDescent="0.2">
      <c r="A6" s="5"/>
      <c r="B6" s="23">
        <v>2</v>
      </c>
      <c r="C6" s="24" t="s">
        <v>51</v>
      </c>
      <c r="D6" s="24" t="s">
        <v>63</v>
      </c>
      <c r="E6" s="33" t="str">
        <f t="shared" si="0"/>
        <v>USDOIS2W_Quote</v>
      </c>
      <c r="F6" s="232" t="str">
        <f t="shared" si="1"/>
        <v>USD2WOIS_LCHQuote</v>
      </c>
      <c r="G6" s="36" t="str">
        <f>_xll.qlOISRateHelper(,B6,C6,IF($F$4,F6,E6),$G$4,,Permanent,Trigger,ObjectOverwrite)</f>
        <v>obj_002a1#0000</v>
      </c>
      <c r="H6" s="93" t="str">
        <f>_xll.ohRangeRetrieveError(G6)</f>
        <v/>
      </c>
      <c r="I6" s="4"/>
    </row>
    <row r="7" spans="1:9" ht="11.25" customHeight="1" x14ac:dyDescent="0.2">
      <c r="A7" s="5"/>
      <c r="B7" s="23">
        <v>2</v>
      </c>
      <c r="C7" s="24" t="s">
        <v>134</v>
      </c>
      <c r="D7" s="24" t="s">
        <v>63</v>
      </c>
      <c r="E7" s="33" t="str">
        <f t="shared" si="0"/>
        <v>USDOIS3W_Quote</v>
      </c>
      <c r="F7" s="232" t="str">
        <f t="shared" ref="F7" si="2">Currency&amp;C7&amp;D7&amp;LCHQuoteSuffix</f>
        <v>USD3WOIS_LCHQuote</v>
      </c>
      <c r="G7" s="36" t="str">
        <f>_xll.qlOISRateHelper(,B7,C7,IF($F$4,F7,E7),$G$4,,Permanent,Trigger,ObjectOverwrite)</f>
        <v>obj_0028c#0000</v>
      </c>
      <c r="H7" s="93" t="str">
        <f>_xll.ohRangeRetrieveError(G7)</f>
        <v/>
      </c>
      <c r="I7" s="4"/>
    </row>
    <row r="8" spans="1:9" ht="11.25" customHeight="1" x14ac:dyDescent="0.2">
      <c r="A8" s="5"/>
      <c r="B8" s="23">
        <v>2</v>
      </c>
      <c r="C8" s="24" t="s">
        <v>52</v>
      </c>
      <c r="D8" s="24" t="s">
        <v>63</v>
      </c>
      <c r="E8" s="33" t="str">
        <f t="shared" si="0"/>
        <v>USDOIS1M_Quote</v>
      </c>
      <c r="F8" s="232" t="str">
        <f t="shared" si="1"/>
        <v>USD1MOIS_LCHQuote</v>
      </c>
      <c r="G8" s="36" t="str">
        <f>_xll.qlOISRateHelper(,B8,C8,IF($F$4,F8,E8),$G$4,,Permanent,Trigger,ObjectOverwrite)</f>
        <v>obj_00297#0000</v>
      </c>
      <c r="H8" s="93" t="str">
        <f>_xll.ohRangeRetrieveError(G8)</f>
        <v/>
      </c>
      <c r="I8" s="4"/>
    </row>
    <row r="9" spans="1:9" ht="11.25" customHeight="1" x14ac:dyDescent="0.2">
      <c r="A9" s="5"/>
      <c r="B9" s="23">
        <v>2</v>
      </c>
      <c r="C9" s="24" t="s">
        <v>53</v>
      </c>
      <c r="D9" s="24" t="s">
        <v>63</v>
      </c>
      <c r="E9" s="33" t="str">
        <f t="shared" si="0"/>
        <v>USDOIS2M_Quote</v>
      </c>
      <c r="F9" s="232" t="str">
        <f t="shared" si="1"/>
        <v>USD2MOIS_LCHQuote</v>
      </c>
      <c r="G9" s="36" t="str">
        <f>_xll.qlOISRateHelper(,B9,C9,IF($F$4,F9,E9),$G$4,,Permanent,Trigger,ObjectOverwrite)</f>
        <v>obj_0029c#0000</v>
      </c>
      <c r="H9" s="93" t="str">
        <f>_xll.ohRangeRetrieveError(G9)</f>
        <v/>
      </c>
      <c r="I9" s="4"/>
    </row>
    <row r="10" spans="1:9" ht="11.25" customHeight="1" x14ac:dyDescent="0.2">
      <c r="A10" s="5"/>
      <c r="B10" s="23">
        <v>2</v>
      </c>
      <c r="C10" s="24" t="s">
        <v>54</v>
      </c>
      <c r="D10" s="24" t="s">
        <v>63</v>
      </c>
      <c r="E10" s="33" t="str">
        <f t="shared" si="0"/>
        <v>USDOIS3M_Quote</v>
      </c>
      <c r="F10" s="232" t="str">
        <f t="shared" si="1"/>
        <v>USD3MOIS_LCHQuote</v>
      </c>
      <c r="G10" s="36" t="str">
        <f>_xll.qlOISRateHelper(,B10,C10,IF($F$4,F10,E10),$G$4,,Permanent,Trigger,ObjectOverwrite)</f>
        <v>obj_002a0#0000</v>
      </c>
      <c r="H10" s="93" t="str">
        <f>_xll.ohRangeRetrieveError(G10)</f>
        <v/>
      </c>
      <c r="I10" s="4"/>
    </row>
    <row r="11" spans="1:9" ht="11.25" customHeight="1" x14ac:dyDescent="0.2">
      <c r="A11" s="5"/>
      <c r="B11" s="23">
        <v>2</v>
      </c>
      <c r="C11" s="24" t="s">
        <v>55</v>
      </c>
      <c r="D11" s="24" t="s">
        <v>63</v>
      </c>
      <c r="E11" s="33" t="str">
        <f t="shared" si="0"/>
        <v>USDOIS4M_Quote</v>
      </c>
      <c r="F11" s="232" t="str">
        <f t="shared" si="1"/>
        <v>USD4MOIS_LCHQuote</v>
      </c>
      <c r="G11" s="36" t="str">
        <f>_xll.qlOISRateHelper(,B11,C11,IF($F$4,F11,E11),$G$4,,Permanent,Trigger,ObjectOverwrite)</f>
        <v>obj_00298#0000</v>
      </c>
      <c r="H11" s="93" t="str">
        <f>_xll.ohRangeRetrieveError(G11)</f>
        <v/>
      </c>
      <c r="I11" s="4"/>
    </row>
    <row r="12" spans="1:9" ht="11.25" customHeight="1" x14ac:dyDescent="0.2">
      <c r="A12" s="5"/>
      <c r="B12" s="23">
        <v>2</v>
      </c>
      <c r="C12" s="24" t="s">
        <v>56</v>
      </c>
      <c r="D12" s="24" t="s">
        <v>63</v>
      </c>
      <c r="E12" s="33" t="str">
        <f t="shared" si="0"/>
        <v>USDOIS5M_Quote</v>
      </c>
      <c r="F12" s="232" t="str">
        <f t="shared" si="1"/>
        <v>USD5MOIS_LCHQuote</v>
      </c>
      <c r="G12" s="36" t="str">
        <f>_xll.qlOISRateHelper(,B12,C12,IF($F$4,F12,E12),$G$4,,Permanent,Trigger,ObjectOverwrite)</f>
        <v>obj_0029f#0000</v>
      </c>
      <c r="H12" s="93" t="str">
        <f>_xll.ohRangeRetrieveError(G12)</f>
        <v/>
      </c>
      <c r="I12" s="4"/>
    </row>
    <row r="13" spans="1:9" ht="11.25" customHeight="1" x14ac:dyDescent="0.2">
      <c r="A13" s="5"/>
      <c r="B13" s="23">
        <v>2</v>
      </c>
      <c r="C13" s="24" t="s">
        <v>57</v>
      </c>
      <c r="D13" s="24" t="s">
        <v>63</v>
      </c>
      <c r="E13" s="33" t="str">
        <f t="shared" si="0"/>
        <v>USDOIS6M_Quote</v>
      </c>
      <c r="F13" s="232" t="str">
        <f t="shared" si="1"/>
        <v>USD6MOIS_LCHQuote</v>
      </c>
      <c r="G13" s="36" t="str">
        <f>_xll.qlOISRateHelper(,B13,C13,IF($F$4,F13,E13),$G$4,,Permanent,Trigger,ObjectOverwrite)</f>
        <v>obj_002a3#0000</v>
      </c>
      <c r="H13" s="93" t="str">
        <f>_xll.ohRangeRetrieveError(G13)</f>
        <v/>
      </c>
      <c r="I13" s="4"/>
    </row>
    <row r="14" spans="1:9" ht="11.25" customHeight="1" x14ac:dyDescent="0.2">
      <c r="A14" s="5"/>
      <c r="B14" s="23">
        <v>2</v>
      </c>
      <c r="C14" s="24" t="s">
        <v>58</v>
      </c>
      <c r="D14" s="24" t="s">
        <v>63</v>
      </c>
      <c r="E14" s="33" t="str">
        <f t="shared" si="0"/>
        <v>USDOIS7M_Quote</v>
      </c>
      <c r="F14" s="232" t="str">
        <f t="shared" si="1"/>
        <v>USD7MOIS_LCHQuote</v>
      </c>
      <c r="G14" s="36" t="str">
        <f>_xll.qlOISRateHelper(,B14,C14,IF($F$4,F14,E14),$G$4,,Permanent,Trigger,ObjectOverwrite)</f>
        <v>obj_002a2#0000</v>
      </c>
      <c r="H14" s="93" t="str">
        <f>_xll.ohRangeRetrieveError(G14)</f>
        <v/>
      </c>
      <c r="I14" s="4"/>
    </row>
    <row r="15" spans="1:9" ht="11.25" customHeight="1" x14ac:dyDescent="0.2">
      <c r="A15" s="5"/>
      <c r="B15" s="23">
        <v>2</v>
      </c>
      <c r="C15" s="24" t="s">
        <v>59</v>
      </c>
      <c r="D15" s="24" t="s">
        <v>63</v>
      </c>
      <c r="E15" s="33" t="str">
        <f t="shared" si="0"/>
        <v>USDOIS8M_Quote</v>
      </c>
      <c r="F15" s="232" t="str">
        <f t="shared" si="1"/>
        <v>USD8MOIS_LCHQuote</v>
      </c>
      <c r="G15" s="36" t="str">
        <f>_xll.qlOISRateHelper(,B15,C15,IF($F$4,F15,E15),$G$4,,Permanent,Trigger,ObjectOverwrite)</f>
        <v>obj_00299#0000</v>
      </c>
      <c r="H15" s="93" t="str">
        <f>_xll.ohRangeRetrieveError(G15)</f>
        <v/>
      </c>
      <c r="I15" s="4"/>
    </row>
    <row r="16" spans="1:9" ht="11.25" customHeight="1" x14ac:dyDescent="0.2">
      <c r="A16" s="5"/>
      <c r="B16" s="23">
        <v>2</v>
      </c>
      <c r="C16" s="24" t="s">
        <v>60</v>
      </c>
      <c r="D16" s="24" t="s">
        <v>63</v>
      </c>
      <c r="E16" s="33" t="str">
        <f t="shared" si="0"/>
        <v>USDOIS9M_Quote</v>
      </c>
      <c r="F16" s="232" t="str">
        <f t="shared" si="1"/>
        <v>USD9MOIS_LCHQuote</v>
      </c>
      <c r="G16" s="36" t="str">
        <f>_xll.qlOISRateHelper(,B16,C16,IF($F$4,F16,E16),$G$4,,Permanent,Trigger,ObjectOverwrite)</f>
        <v>obj_0029b#0000</v>
      </c>
      <c r="H16" s="93" t="str">
        <f>_xll.ohRangeRetrieveError(G16)</f>
        <v/>
      </c>
      <c r="I16" s="4"/>
    </row>
    <row r="17" spans="1:9" ht="11.25" customHeight="1" x14ac:dyDescent="0.2">
      <c r="A17" s="5"/>
      <c r="B17" s="23">
        <v>2</v>
      </c>
      <c r="C17" s="24" t="s">
        <v>61</v>
      </c>
      <c r="D17" s="24" t="s">
        <v>63</v>
      </c>
      <c r="E17" s="33" t="str">
        <f t="shared" si="0"/>
        <v>USDOIS10M_Quote</v>
      </c>
      <c r="F17" s="232" t="str">
        <f t="shared" si="1"/>
        <v>USD10MOIS_LCHQuote</v>
      </c>
      <c r="G17" s="36" t="str">
        <f>_xll.qlOISRateHelper(,B17,C17,IF($F$4,F17,E17),$G$4,,Permanent,Trigger,ObjectOverwrite)</f>
        <v>obj_00296#0000</v>
      </c>
      <c r="H17" s="93" t="str">
        <f>_xll.ohRangeRetrieveError(G17)</f>
        <v/>
      </c>
      <c r="I17" s="4"/>
    </row>
    <row r="18" spans="1:9" ht="11.25" customHeight="1" x14ac:dyDescent="0.2">
      <c r="A18" s="5"/>
      <c r="B18" s="23">
        <v>2</v>
      </c>
      <c r="C18" s="24" t="s">
        <v>62</v>
      </c>
      <c r="D18" s="24" t="s">
        <v>63</v>
      </c>
      <c r="E18" s="33" t="str">
        <f t="shared" si="0"/>
        <v>USDOIS11M_Quote</v>
      </c>
      <c r="F18" s="232" t="str">
        <f t="shared" si="1"/>
        <v>USD11MOIS_LCHQuote</v>
      </c>
      <c r="G18" s="36" t="str">
        <f>_xll.qlOISRateHelper(,B18,C18,IF($F$4,F18,E18),$G$4,,Permanent,Trigger,ObjectOverwrite)</f>
        <v>obj_00295#0000</v>
      </c>
      <c r="H18" s="93" t="str">
        <f>_xll.ohRangeRetrieveError(G18)</f>
        <v/>
      </c>
      <c r="I18" s="4"/>
    </row>
    <row r="19" spans="1:9" ht="11.25" customHeight="1" x14ac:dyDescent="0.2">
      <c r="A19" s="5"/>
      <c r="B19" s="23">
        <v>2</v>
      </c>
      <c r="C19" s="24" t="s">
        <v>23</v>
      </c>
      <c r="D19" s="24" t="s">
        <v>63</v>
      </c>
      <c r="E19" s="33" t="str">
        <f t="shared" si="0"/>
        <v>USDOIS1Y_Quote</v>
      </c>
      <c r="F19" s="232" t="str">
        <f t="shared" si="1"/>
        <v>USD1YOIS_LCHQuote</v>
      </c>
      <c r="G19" s="36" t="str">
        <f>_xll.qlOISRateHelper(,B19,C19,IF($F$4,F19,E19),$G$4,,Permanent,Trigger,ObjectOverwrite)</f>
        <v>obj_00294#0000</v>
      </c>
      <c r="H19" s="93" t="str">
        <f>_xll.ohRangeRetrieveError(G19)</f>
        <v/>
      </c>
      <c r="I19" s="4"/>
    </row>
    <row r="20" spans="1:9" ht="11.25" customHeight="1" x14ac:dyDescent="0.2">
      <c r="A20" s="5"/>
      <c r="B20" s="23">
        <v>2</v>
      </c>
      <c r="C20" s="24" t="s">
        <v>24</v>
      </c>
      <c r="D20" s="24" t="s">
        <v>63</v>
      </c>
      <c r="E20" s="33" t="str">
        <f t="shared" si="0"/>
        <v>USDOIS18M_Quote</v>
      </c>
      <c r="F20" s="232" t="str">
        <f t="shared" si="1"/>
        <v>USD18MOIS_LCHQuote</v>
      </c>
      <c r="G20" s="36" t="str">
        <f>_xll.qlOISRateHelper(,B20,C20,IF($F$4,F20,E20),$G$4,,Permanent,Trigger,ObjectOverwrite)</f>
        <v>obj_0029e#0000</v>
      </c>
      <c r="H20" s="93" t="str">
        <f>_xll.ohRangeRetrieveError(G20)</f>
        <v/>
      </c>
      <c r="I20" s="4"/>
    </row>
    <row r="21" spans="1:9" ht="11.25" customHeight="1" x14ac:dyDescent="0.2">
      <c r="A21" s="5"/>
      <c r="B21" s="25">
        <v>2</v>
      </c>
      <c r="C21" s="26" t="s">
        <v>25</v>
      </c>
      <c r="D21" s="26" t="s">
        <v>63</v>
      </c>
      <c r="E21" s="34" t="str">
        <f t="shared" si="0"/>
        <v>USDOIS2Y_Quote</v>
      </c>
      <c r="F21" s="233" t="str">
        <f t="shared" si="1"/>
        <v>USD2YOIS_LCHQuote</v>
      </c>
      <c r="G21" s="37" t="str">
        <f>_xll.qlOISRateHelper(,B21,C21,IF($F$4,F21,E21),$G$4,,Permanent,Trigger,ObjectOverwrite)</f>
        <v>obj_0029d#0000</v>
      </c>
      <c r="H21" s="93" t="str">
        <f>_xll.ohRangeRetrieveError(G21)</f>
        <v/>
      </c>
      <c r="I21" s="4"/>
    </row>
    <row r="22" spans="1:9" ht="11.25" customHeight="1" thickBot="1" x14ac:dyDescent="0.25">
      <c r="A22" s="5"/>
      <c r="B22" s="2"/>
      <c r="C22" s="2"/>
      <c r="D22" s="2"/>
      <c r="E22" s="6"/>
      <c r="F22" s="6"/>
      <c r="G22" s="6"/>
      <c r="H22" s="6"/>
      <c r="I22" s="4"/>
    </row>
    <row r="23" spans="1:9" ht="11.25" customHeight="1" x14ac:dyDescent="0.2">
      <c r="A23" s="94"/>
      <c r="B23" s="94"/>
      <c r="C23" s="94"/>
      <c r="D23" s="94"/>
      <c r="E23" s="94"/>
      <c r="F23" s="94"/>
      <c r="G23" s="95"/>
      <c r="H23" s="94"/>
      <c r="I23" s="94"/>
    </row>
  </sheetData>
  <dataValidations count="1">
    <dataValidation type="list" allowBlank="1" showInputMessage="1" showErrorMessage="1" sqref="F4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K3" sqref="K3"/>
    </sheetView>
  </sheetViews>
  <sheetFormatPr defaultRowHeight="11.25" customHeight="1" x14ac:dyDescent="0.2"/>
  <cols>
    <col min="1" max="1" width="3.28515625" style="78" customWidth="1"/>
    <col min="2" max="2" width="4" style="78" customWidth="1"/>
    <col min="3" max="4" width="5.7109375" style="78" customWidth="1"/>
    <col min="5" max="5" width="4.28515625" style="78" customWidth="1"/>
    <col min="6" max="6" width="8.140625" style="78" customWidth="1"/>
    <col min="7" max="7" width="24.42578125" style="78" bestFit="1" customWidth="1"/>
    <col min="8" max="8" width="21.42578125" style="78" bestFit="1" customWidth="1"/>
    <col min="9" max="9" width="10.28515625" style="78" bestFit="1" customWidth="1"/>
    <col min="10" max="10" width="22" style="78" bestFit="1" customWidth="1"/>
    <col min="11" max="11" width="24.140625" style="78" customWidth="1"/>
    <col min="12" max="12" width="15.140625" style="78" bestFit="1" customWidth="1"/>
    <col min="13" max="13" width="14.5703125" style="78" customWidth="1"/>
    <col min="14" max="15" width="9.140625" style="78"/>
    <col min="16" max="16" width="13.140625" style="78" bestFit="1" customWidth="1"/>
    <col min="17" max="17" width="9.28515625" style="78" bestFit="1" customWidth="1"/>
    <col min="18" max="18" width="15.140625" style="78" bestFit="1" customWidth="1"/>
    <col min="19" max="19" width="10.28515625" style="78" bestFit="1" customWidth="1"/>
    <col min="20" max="16384" width="9.140625" style="78"/>
  </cols>
  <sheetData>
    <row r="1" spans="1:23" ht="11.25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40"/>
      <c r="O1" s="76"/>
      <c r="P1" s="77"/>
      <c r="Q1" s="77"/>
      <c r="R1" s="77"/>
      <c r="S1" s="77"/>
      <c r="T1" s="77"/>
      <c r="U1" s="77"/>
      <c r="V1" s="77"/>
      <c r="W1" s="76"/>
    </row>
    <row r="2" spans="1:23" ht="11.25" customHeight="1" x14ac:dyDescent="0.2">
      <c r="A2" s="41"/>
      <c r="B2" s="56" t="s">
        <v>88</v>
      </c>
      <c r="C2" s="56"/>
      <c r="D2" s="56"/>
      <c r="E2" s="56"/>
      <c r="F2" s="56" t="s">
        <v>89</v>
      </c>
      <c r="G2" s="56" t="s">
        <v>90</v>
      </c>
      <c r="H2" s="56" t="s">
        <v>91</v>
      </c>
      <c r="I2" s="56" t="s">
        <v>92</v>
      </c>
      <c r="J2" s="56" t="s">
        <v>75</v>
      </c>
      <c r="K2" s="79" t="s">
        <v>87</v>
      </c>
      <c r="L2" s="80"/>
      <c r="M2" s="80"/>
      <c r="N2" s="42"/>
      <c r="O2" s="76"/>
      <c r="P2" s="77"/>
      <c r="Q2" s="77"/>
      <c r="R2" s="77"/>
      <c r="S2" s="77"/>
      <c r="T2" s="77"/>
      <c r="U2" s="77"/>
      <c r="V2" s="77"/>
      <c r="W2" s="76"/>
    </row>
    <row r="3" spans="1:23" ht="11.25" customHeight="1" x14ac:dyDescent="0.2">
      <c r="A3" s="41"/>
      <c r="B3" s="80"/>
      <c r="C3" s="80"/>
      <c r="D3" s="80"/>
      <c r="E3" s="80"/>
      <c r="F3" s="80"/>
      <c r="G3" s="80"/>
      <c r="H3" s="80"/>
      <c r="I3" s="80"/>
      <c r="J3" s="80"/>
      <c r="K3" s="238" t="b">
        <v>1</v>
      </c>
      <c r="L3" s="84" t="str">
        <f>_xll.qlOvernightIndex(,"usd-no-fix",0,Currency,Calendar,"actual/360",,Permanent,Trigger,ObjectOverwrite)</f>
        <v>obj_00287#0000</v>
      </c>
      <c r="M3" s="80"/>
      <c r="N3" s="42"/>
      <c r="O3" s="76"/>
      <c r="P3" s="77"/>
      <c r="Q3" s="77"/>
      <c r="R3" s="77"/>
      <c r="S3" s="77"/>
      <c r="T3" s="77"/>
      <c r="U3" s="77"/>
      <c r="V3" s="77"/>
      <c r="W3" s="76"/>
    </row>
    <row r="4" spans="1:23" ht="11.25" customHeight="1" x14ac:dyDescent="0.2">
      <c r="A4" s="41"/>
      <c r="B4" s="44" t="s">
        <v>93</v>
      </c>
      <c r="C4" s="44" t="s">
        <v>26</v>
      </c>
      <c r="D4" s="44" t="s">
        <v>135</v>
      </c>
      <c r="E4" s="44" t="s">
        <v>121</v>
      </c>
      <c r="F4" s="44" t="s">
        <v>137</v>
      </c>
      <c r="G4" s="44" t="s">
        <v>94</v>
      </c>
      <c r="H4" s="44" t="s">
        <v>139</v>
      </c>
      <c r="I4" s="45">
        <v>0</v>
      </c>
      <c r="J4" s="86" t="str">
        <f t="shared" ref="J4:J19" si="0">Currency&amp;IF($C4="1W","SW",C4)&amp;"OIS"&amp;QuoteSuffix</f>
        <v>USD3YOIS_Quote</v>
      </c>
      <c r="K4" s="47" t="str">
        <f t="shared" ref="K4:K19" si="1">Currency&amp;D4&amp;E4&amp;C4&amp;LCHQuoteSuffix</f>
        <v>USD3FF3L3Y_LCHQuote</v>
      </c>
      <c r="L4" s="44" t="str">
        <f>IF($K$3,_xll.qlSwapRateHelper2(,K4,2,C4,Calendar,F4,G4,H4,"UsdFedFunds",I4,B4,,,,Permanent,Trigger,ObjectOverwrite),_xll.qlOISRateHelper(,2,C4,J4,$L$3,,Permanent,Trigger,ObjectOverwrite))</f>
        <v>obj_00284#0000</v>
      </c>
      <c r="M4" s="81" t="str">
        <f>_xll.ohRangeRetrieveError(L4)</f>
        <v/>
      </c>
      <c r="N4" s="42"/>
      <c r="O4" s="76"/>
      <c r="S4" s="77"/>
      <c r="T4" s="77"/>
      <c r="U4" s="77"/>
      <c r="V4" s="77"/>
      <c r="W4" s="76"/>
    </row>
    <row r="5" spans="1:23" ht="11.25" customHeight="1" x14ac:dyDescent="0.2">
      <c r="A5" s="41"/>
      <c r="B5" s="48" t="s">
        <v>93</v>
      </c>
      <c r="C5" s="48" t="s">
        <v>27</v>
      </c>
      <c r="D5" s="48" t="s">
        <v>135</v>
      </c>
      <c r="E5" s="48" t="s">
        <v>121</v>
      </c>
      <c r="F5" s="48" t="s">
        <v>137</v>
      </c>
      <c r="G5" s="48" t="s">
        <v>94</v>
      </c>
      <c r="H5" s="48" t="s">
        <v>139</v>
      </c>
      <c r="I5" s="49">
        <v>0</v>
      </c>
      <c r="J5" s="87" t="str">
        <f t="shared" si="0"/>
        <v>USD4YOIS_Quote</v>
      </c>
      <c r="K5" s="50" t="str">
        <f t="shared" si="1"/>
        <v>USD3FF3L4Y_LCHQuote</v>
      </c>
      <c r="L5" s="48" t="str">
        <f>IF($K$3,_xll.qlSwapRateHelper2(,K5,2,C5,Calendar,F5,G5,H5,"UsdFedFunds",I5,B5,,,,Permanent,Trigger,ObjectOverwrite),_xll.qlOISRateHelper(,2,C5,J5,$L$3,,Permanent,Trigger,ObjectOverwrite))</f>
        <v>obj_00282#0000</v>
      </c>
      <c r="M5" s="82" t="str">
        <f>_xll.ohRangeRetrieveError(L5)</f>
        <v/>
      </c>
      <c r="N5" s="42"/>
      <c r="O5" s="76"/>
      <c r="S5" s="77"/>
      <c r="T5" s="77"/>
      <c r="U5" s="77"/>
      <c r="V5" s="77"/>
      <c r="W5" s="76"/>
    </row>
    <row r="6" spans="1:23" ht="11.25" customHeight="1" x14ac:dyDescent="0.2">
      <c r="A6" s="41"/>
      <c r="B6" s="48" t="s">
        <v>93</v>
      </c>
      <c r="C6" s="48" t="s">
        <v>28</v>
      </c>
      <c r="D6" s="48" t="s">
        <v>135</v>
      </c>
      <c r="E6" s="48" t="s">
        <v>121</v>
      </c>
      <c r="F6" s="48" t="s">
        <v>137</v>
      </c>
      <c r="G6" s="48" t="s">
        <v>94</v>
      </c>
      <c r="H6" s="48" t="s">
        <v>139</v>
      </c>
      <c r="I6" s="49">
        <v>0</v>
      </c>
      <c r="J6" s="87" t="str">
        <f t="shared" si="0"/>
        <v>USD5YOIS_Quote</v>
      </c>
      <c r="K6" s="50" t="str">
        <f t="shared" si="1"/>
        <v>USD3FF3L5Y_LCHQuote</v>
      </c>
      <c r="L6" s="48" t="str">
        <f>IF($K$3,_xll.qlSwapRateHelper2(,K6,2,C6,Calendar,F6,G6,H6,"UsdFedFunds",I6,B6,,,,Permanent,Trigger,ObjectOverwrite),_xll.qlOISRateHelper(,2,C6,J6,$L$3,,Permanent,Trigger,ObjectOverwrite))</f>
        <v>obj_00291#0000</v>
      </c>
      <c r="M6" s="82" t="str">
        <f>_xll.ohRangeRetrieveError(L6)</f>
        <v/>
      </c>
      <c r="N6" s="42"/>
      <c r="O6" s="76"/>
      <c r="S6" s="77"/>
      <c r="T6" s="77"/>
      <c r="U6" s="77"/>
      <c r="V6" s="77"/>
      <c r="W6" s="76"/>
    </row>
    <row r="7" spans="1:23" ht="11.25" customHeight="1" x14ac:dyDescent="0.2">
      <c r="A7" s="41"/>
      <c r="B7" s="48" t="s">
        <v>93</v>
      </c>
      <c r="C7" s="48" t="s">
        <v>29</v>
      </c>
      <c r="D7" s="48" t="s">
        <v>135</v>
      </c>
      <c r="E7" s="48" t="s">
        <v>121</v>
      </c>
      <c r="F7" s="48" t="s">
        <v>137</v>
      </c>
      <c r="G7" s="48" t="s">
        <v>94</v>
      </c>
      <c r="H7" s="48" t="s">
        <v>139</v>
      </c>
      <c r="I7" s="49">
        <v>0</v>
      </c>
      <c r="J7" s="87" t="str">
        <f t="shared" si="0"/>
        <v>USD6YOIS_Quote</v>
      </c>
      <c r="K7" s="50" t="str">
        <f t="shared" si="1"/>
        <v>USD3FF3L6Y_LCHQuote</v>
      </c>
      <c r="L7" s="48" t="str">
        <f>IF($K$3,_xll.qlSwapRateHelper2(,K7,2,C7,Calendar,F7,G7,H7,"UsdFedFunds",I7,B7,,,,Permanent,Trigger,ObjectOverwrite),_xll.qlOISRateHelper(,2,C7,J7,$L$3,,Permanent,Trigger,ObjectOverwrite))</f>
        <v>obj_00289#0000</v>
      </c>
      <c r="M7" s="82" t="str">
        <f>_xll.ohRangeRetrieveError(L7)</f>
        <v/>
      </c>
      <c r="N7" s="42"/>
      <c r="O7" s="76"/>
      <c r="S7" s="77"/>
      <c r="T7" s="77"/>
      <c r="U7" s="77"/>
      <c r="V7" s="77"/>
      <c r="W7" s="76"/>
    </row>
    <row r="8" spans="1:23" ht="11.25" customHeight="1" x14ac:dyDescent="0.2">
      <c r="A8" s="41"/>
      <c r="B8" s="48" t="s">
        <v>93</v>
      </c>
      <c r="C8" s="48" t="s">
        <v>30</v>
      </c>
      <c r="D8" s="48" t="s">
        <v>135</v>
      </c>
      <c r="E8" s="48" t="s">
        <v>121</v>
      </c>
      <c r="F8" s="48" t="s">
        <v>137</v>
      </c>
      <c r="G8" s="48" t="s">
        <v>94</v>
      </c>
      <c r="H8" s="48" t="s">
        <v>139</v>
      </c>
      <c r="I8" s="49">
        <v>0</v>
      </c>
      <c r="J8" s="87" t="str">
        <f t="shared" si="0"/>
        <v>USD7YOIS_Quote</v>
      </c>
      <c r="K8" s="50" t="str">
        <f t="shared" si="1"/>
        <v>USD3FF3L7Y_LCHQuote</v>
      </c>
      <c r="L8" s="48" t="str">
        <f>IF($K$3,_xll.qlSwapRateHelper2(,K8,2,C8,Calendar,F8,G8,H8,"UsdFedFunds",I8,B8,,,,Permanent,Trigger,ObjectOverwrite),_xll.qlOISRateHelper(,2,C8,J8,$L$3,,Permanent,Trigger,ObjectOverwrite))</f>
        <v>obj_00283#0000</v>
      </c>
      <c r="M8" s="82" t="str">
        <f>_xll.ohRangeRetrieveError(L8)</f>
        <v/>
      </c>
      <c r="N8" s="42"/>
      <c r="O8" s="76"/>
      <c r="S8" s="77"/>
      <c r="T8" s="77"/>
      <c r="U8" s="77"/>
      <c r="V8" s="77"/>
      <c r="W8" s="76"/>
    </row>
    <row r="9" spans="1:23" ht="11.25" customHeight="1" x14ac:dyDescent="0.2">
      <c r="A9" s="41"/>
      <c r="B9" s="48" t="s">
        <v>93</v>
      </c>
      <c r="C9" s="48" t="s">
        <v>31</v>
      </c>
      <c r="D9" s="48" t="s">
        <v>135</v>
      </c>
      <c r="E9" s="48" t="s">
        <v>121</v>
      </c>
      <c r="F9" s="48" t="s">
        <v>137</v>
      </c>
      <c r="G9" s="48" t="s">
        <v>94</v>
      </c>
      <c r="H9" s="48" t="s">
        <v>139</v>
      </c>
      <c r="I9" s="49">
        <v>0</v>
      </c>
      <c r="J9" s="87" t="str">
        <f t="shared" si="0"/>
        <v>USD8YOIS_Quote</v>
      </c>
      <c r="K9" s="50" t="str">
        <f t="shared" si="1"/>
        <v>USD3FF3L8Y_LCHQuote</v>
      </c>
      <c r="L9" s="48" t="str">
        <f>IF($K$3,_xll.qlSwapRateHelper2(,K9,2,C9,Calendar,F9,G9,H9,"UsdFedFunds",I9,B9,,,,Permanent,Trigger,ObjectOverwrite),_xll.qlOISRateHelper(,2,C9,J9,$L$3,,Permanent,Trigger,ObjectOverwrite))</f>
        <v>obj_0027f#0000</v>
      </c>
      <c r="M9" s="82" t="str">
        <f>_xll.ohRangeRetrieveError(L9)</f>
        <v/>
      </c>
      <c r="N9" s="42"/>
      <c r="O9" s="76"/>
      <c r="S9" s="77"/>
      <c r="T9" s="77"/>
      <c r="U9" s="77"/>
      <c r="V9" s="77"/>
      <c r="W9" s="76"/>
    </row>
    <row r="10" spans="1:23" ht="11.25" customHeight="1" x14ac:dyDescent="0.2">
      <c r="A10" s="41"/>
      <c r="B10" s="48" t="s">
        <v>93</v>
      </c>
      <c r="C10" s="48" t="s">
        <v>32</v>
      </c>
      <c r="D10" s="48" t="s">
        <v>135</v>
      </c>
      <c r="E10" s="48" t="s">
        <v>121</v>
      </c>
      <c r="F10" s="48" t="s">
        <v>137</v>
      </c>
      <c r="G10" s="48" t="s">
        <v>94</v>
      </c>
      <c r="H10" s="48" t="s">
        <v>139</v>
      </c>
      <c r="I10" s="49">
        <v>0</v>
      </c>
      <c r="J10" s="87" t="str">
        <f t="shared" si="0"/>
        <v>USD9YOIS_Quote</v>
      </c>
      <c r="K10" s="50" t="str">
        <f t="shared" si="1"/>
        <v>USD3FF3L9Y_LCHQuote</v>
      </c>
      <c r="L10" s="48" t="str">
        <f>IF($K$3,_xll.qlSwapRateHelper2(,K10,2,C10,Calendar,F10,G10,H10,"UsdFedFunds",I10,B10,,,,Permanent,Trigger,ObjectOverwrite),_xll.qlOISRateHelper(,2,C10,J10,$L$3,,Permanent,Trigger,ObjectOverwrite))</f>
        <v>obj_0028d#0000</v>
      </c>
      <c r="M10" s="82" t="str">
        <f>_xll.ohRangeRetrieveError(L10)</f>
        <v/>
      </c>
      <c r="N10" s="42"/>
      <c r="O10" s="76"/>
      <c r="S10" s="77"/>
      <c r="T10" s="77"/>
      <c r="U10" s="77"/>
      <c r="V10" s="77"/>
      <c r="W10" s="76"/>
    </row>
    <row r="11" spans="1:23" ht="11.25" customHeight="1" x14ac:dyDescent="0.2">
      <c r="A11" s="41"/>
      <c r="B11" s="48" t="s">
        <v>93</v>
      </c>
      <c r="C11" s="48" t="s">
        <v>33</v>
      </c>
      <c r="D11" s="48" t="s">
        <v>135</v>
      </c>
      <c r="E11" s="48" t="s">
        <v>121</v>
      </c>
      <c r="F11" s="48" t="s">
        <v>137</v>
      </c>
      <c r="G11" s="48" t="s">
        <v>94</v>
      </c>
      <c r="H11" s="48" t="s">
        <v>139</v>
      </c>
      <c r="I11" s="49">
        <v>0</v>
      </c>
      <c r="J11" s="87" t="str">
        <f t="shared" si="0"/>
        <v>USD10YOIS_Quote</v>
      </c>
      <c r="K11" s="50" t="str">
        <f t="shared" si="1"/>
        <v>USD3FF3L10Y_LCHQuote</v>
      </c>
      <c r="L11" s="48" t="str">
        <f>IF($K$3,_xll.qlSwapRateHelper2(,K11,2,C11,Calendar,F11,G11,H11,"UsdFedFunds",I11,B11,,,,Permanent,Trigger,ObjectOverwrite),_xll.qlOISRateHelper(,2,C11,J11,$L$3,,Permanent,Trigger,ObjectOverwrite))</f>
        <v>obj_00288#0000</v>
      </c>
      <c r="M11" s="82" t="str">
        <f>_xll.ohRangeRetrieveError(L11)</f>
        <v/>
      </c>
      <c r="N11" s="42"/>
      <c r="O11" s="76"/>
      <c r="S11" s="77"/>
      <c r="T11" s="77"/>
      <c r="U11" s="77"/>
      <c r="V11" s="77"/>
      <c r="W11" s="76"/>
    </row>
    <row r="12" spans="1:23" ht="11.25" customHeight="1" x14ac:dyDescent="0.2">
      <c r="A12" s="41"/>
      <c r="B12" s="48" t="s">
        <v>93</v>
      </c>
      <c r="C12" s="48" t="s">
        <v>38</v>
      </c>
      <c r="D12" s="48" t="s">
        <v>135</v>
      </c>
      <c r="E12" s="48" t="s">
        <v>121</v>
      </c>
      <c r="F12" s="48" t="s">
        <v>137</v>
      </c>
      <c r="G12" s="48" t="s">
        <v>94</v>
      </c>
      <c r="H12" s="48" t="s">
        <v>139</v>
      </c>
      <c r="I12" s="49">
        <v>0</v>
      </c>
      <c r="J12" s="87" t="str">
        <f t="shared" si="0"/>
        <v>USD12YOIS_Quote</v>
      </c>
      <c r="K12" s="50" t="str">
        <f t="shared" si="1"/>
        <v>USD3FF3L12Y_LCHQuote</v>
      </c>
      <c r="L12" s="48" t="str">
        <f>IF($K$3,_xll.qlSwapRateHelper2(,K12,2,C12,Calendar,F12,G12,H12,"UsdFedFunds",I12,B12,,,,Permanent,Trigger,ObjectOverwrite),_xll.qlOISRateHelper(,2,C12,J12,$L$3,,Permanent,Trigger,ObjectOverwrite))</f>
        <v>obj_00280#0000</v>
      </c>
      <c r="M12" s="82" t="str">
        <f>_xll.ohRangeRetrieveError(L12)</f>
        <v/>
      </c>
      <c r="N12" s="42"/>
      <c r="O12" s="76"/>
      <c r="S12" s="77"/>
      <c r="T12" s="77"/>
      <c r="U12" s="77"/>
      <c r="V12" s="77"/>
      <c r="W12" s="76"/>
    </row>
    <row r="13" spans="1:23" ht="11.25" customHeight="1" x14ac:dyDescent="0.2">
      <c r="A13" s="41"/>
      <c r="B13" s="48" t="s">
        <v>93</v>
      </c>
      <c r="C13" s="48" t="s">
        <v>34</v>
      </c>
      <c r="D13" s="48" t="s">
        <v>135</v>
      </c>
      <c r="E13" s="48" t="s">
        <v>121</v>
      </c>
      <c r="F13" s="48" t="s">
        <v>137</v>
      </c>
      <c r="G13" s="48" t="s">
        <v>94</v>
      </c>
      <c r="H13" s="48" t="s">
        <v>139</v>
      </c>
      <c r="I13" s="49">
        <v>0</v>
      </c>
      <c r="J13" s="87" t="str">
        <f t="shared" si="0"/>
        <v>USD15YOIS_Quote</v>
      </c>
      <c r="K13" s="50" t="str">
        <f t="shared" si="1"/>
        <v>USD3FF3L15Y_LCHQuote</v>
      </c>
      <c r="L13" s="48" t="str">
        <f>IF($K$3,_xll.qlSwapRateHelper2(,K13,2,C13,Calendar,F13,G13,H13,"UsdFedFunds",I13,B13,,,,Permanent,Trigger,ObjectOverwrite),_xll.qlOISRateHelper(,2,C13,J13,$L$3,,Permanent,Trigger,ObjectOverwrite))</f>
        <v>obj_0028e#0000</v>
      </c>
      <c r="M13" s="82" t="str">
        <f>_xll.ohRangeRetrieveError(L13)</f>
        <v/>
      </c>
      <c r="N13" s="42"/>
      <c r="O13" s="76"/>
      <c r="S13" s="77"/>
      <c r="T13" s="77"/>
      <c r="U13" s="77"/>
      <c r="V13" s="77"/>
      <c r="W13" s="76"/>
    </row>
    <row r="14" spans="1:23" ht="11.25" customHeight="1" x14ac:dyDescent="0.2">
      <c r="A14" s="41"/>
      <c r="B14" s="48" t="s">
        <v>93</v>
      </c>
      <c r="C14" s="48" t="s">
        <v>35</v>
      </c>
      <c r="D14" s="48" t="s">
        <v>135</v>
      </c>
      <c r="E14" s="48" t="s">
        <v>121</v>
      </c>
      <c r="F14" s="48" t="s">
        <v>137</v>
      </c>
      <c r="G14" s="48" t="s">
        <v>94</v>
      </c>
      <c r="H14" s="48" t="s">
        <v>139</v>
      </c>
      <c r="I14" s="49">
        <v>0</v>
      </c>
      <c r="J14" s="87" t="str">
        <f t="shared" si="0"/>
        <v>USD20YOIS_Quote</v>
      </c>
      <c r="K14" s="50" t="str">
        <f t="shared" si="1"/>
        <v>USD3FF3L20Y_LCHQuote</v>
      </c>
      <c r="L14" s="48" t="str">
        <f>IF($K$3,_xll.qlSwapRateHelper2(,K14,2,C14,Calendar,F14,G14,H14,"UsdFedFunds",I14,B14,,,,Permanent,Trigger,ObjectOverwrite),_xll.qlOISRateHelper(,2,C14,J14,$L$3,,Permanent,Trigger,ObjectOverwrite))</f>
        <v>obj_00290#0000</v>
      </c>
      <c r="M14" s="82" t="str">
        <f>_xll.ohRangeRetrieveError(L14)</f>
        <v/>
      </c>
      <c r="N14" s="42"/>
      <c r="O14" s="76"/>
      <c r="S14" s="77"/>
      <c r="T14" s="77"/>
      <c r="U14" s="77"/>
      <c r="V14" s="77"/>
      <c r="W14" s="76"/>
    </row>
    <row r="15" spans="1:23" ht="11.25" customHeight="1" x14ac:dyDescent="0.2">
      <c r="A15" s="41"/>
      <c r="B15" s="48" t="s">
        <v>93</v>
      </c>
      <c r="C15" s="48" t="s">
        <v>39</v>
      </c>
      <c r="D15" s="48" t="s">
        <v>135</v>
      </c>
      <c r="E15" s="48" t="s">
        <v>121</v>
      </c>
      <c r="F15" s="48" t="s">
        <v>137</v>
      </c>
      <c r="G15" s="48" t="s">
        <v>94</v>
      </c>
      <c r="H15" s="48" t="s">
        <v>139</v>
      </c>
      <c r="I15" s="49">
        <v>0</v>
      </c>
      <c r="J15" s="87" t="str">
        <f t="shared" si="0"/>
        <v>USD25YOIS_Quote</v>
      </c>
      <c r="K15" s="50" t="str">
        <f t="shared" si="1"/>
        <v>USD3FF3L25Y_LCHQuote</v>
      </c>
      <c r="L15" s="48" t="str">
        <f>IF($K$3,_xll.qlSwapRateHelper2(,K15,2,C15,Calendar,F15,G15,H15,"UsdFedFunds",I15,B15,,,,Permanent,Trigger,ObjectOverwrite),_xll.qlOISRateHelper(,2,C15,J15,$L$3,,Permanent,Trigger,ObjectOverwrite))</f>
        <v>obj_00286#0000</v>
      </c>
      <c r="M15" s="82" t="str">
        <f>_xll.ohRangeRetrieveError(L15)</f>
        <v/>
      </c>
      <c r="N15" s="42"/>
      <c r="O15" s="76"/>
      <c r="S15" s="77"/>
      <c r="T15" s="77"/>
      <c r="U15" s="77"/>
      <c r="V15" s="77"/>
      <c r="W15" s="76"/>
    </row>
    <row r="16" spans="1:23" ht="11.25" customHeight="1" x14ac:dyDescent="0.2">
      <c r="A16" s="41"/>
      <c r="B16" s="48" t="s">
        <v>93</v>
      </c>
      <c r="C16" s="48" t="s">
        <v>36</v>
      </c>
      <c r="D16" s="48" t="s">
        <v>135</v>
      </c>
      <c r="E16" s="48" t="s">
        <v>121</v>
      </c>
      <c r="F16" s="48" t="s">
        <v>137</v>
      </c>
      <c r="G16" s="48" t="s">
        <v>94</v>
      </c>
      <c r="H16" s="48" t="s">
        <v>139</v>
      </c>
      <c r="I16" s="49">
        <v>0</v>
      </c>
      <c r="J16" s="87" t="str">
        <f t="shared" si="0"/>
        <v>USD30YOIS_Quote</v>
      </c>
      <c r="K16" s="50" t="str">
        <f t="shared" si="1"/>
        <v>USD3FF3L30Y_LCHQuote</v>
      </c>
      <c r="L16" s="48" t="str">
        <f>IF($K$3,_xll.qlSwapRateHelper2(,K16,2,C16,Calendar,F16,G16,H16,"UsdFedFunds",I16,B16,,,,Permanent,Trigger,ObjectOverwrite),_xll.qlOISRateHelper(,2,C16,J16,$L$3,,Permanent,Trigger,ObjectOverwrite))</f>
        <v>obj_00281#0000</v>
      </c>
      <c r="M16" s="82" t="str">
        <f>_xll.ohRangeRetrieveError(L16)</f>
        <v/>
      </c>
      <c r="N16" s="42"/>
      <c r="O16" s="76"/>
      <c r="S16" s="77"/>
      <c r="T16" s="77"/>
      <c r="U16" s="77"/>
      <c r="V16" s="77"/>
      <c r="W16" s="76"/>
    </row>
    <row r="17" spans="1:23" ht="11.25" customHeight="1" x14ac:dyDescent="0.2">
      <c r="A17" s="41"/>
      <c r="B17" s="48" t="s">
        <v>93</v>
      </c>
      <c r="C17" s="48" t="s">
        <v>83</v>
      </c>
      <c r="D17" s="48" t="s">
        <v>135</v>
      </c>
      <c r="E17" s="48" t="s">
        <v>121</v>
      </c>
      <c r="F17" s="48" t="s">
        <v>137</v>
      </c>
      <c r="G17" s="48" t="s">
        <v>94</v>
      </c>
      <c r="H17" s="48" t="s">
        <v>139</v>
      </c>
      <c r="I17" s="49">
        <v>0</v>
      </c>
      <c r="J17" s="87" t="str">
        <f t="shared" si="0"/>
        <v>USD40YOIS_Quote</v>
      </c>
      <c r="K17" s="50" t="str">
        <f t="shared" si="1"/>
        <v>USD3FF3L40Y_LCHQuote</v>
      </c>
      <c r="L17" s="48" t="str">
        <f>IF($K$3,_xll.qlSwapRateHelper2(,K17,2,C17,Calendar,F17,G17,H17,"UsdFedFunds",I17,B17,,,,Permanent,Trigger,ObjectOverwrite),_xll.qlOISRateHelper(,2,C17,J17,$L$3,,Permanent,Trigger,ObjectOverwrite))</f>
        <v>obj_00292#0000</v>
      </c>
      <c r="M17" s="82" t="str">
        <f>_xll.ohRangeRetrieveError(L17)</f>
        <v/>
      </c>
      <c r="N17" s="42"/>
      <c r="O17" s="76"/>
      <c r="S17" s="77"/>
      <c r="T17" s="77"/>
      <c r="U17" s="77"/>
      <c r="V17" s="77"/>
      <c r="W17" s="76"/>
    </row>
    <row r="18" spans="1:23" ht="11.25" customHeight="1" x14ac:dyDescent="0.2">
      <c r="A18" s="41"/>
      <c r="B18" s="48" t="s">
        <v>93</v>
      </c>
      <c r="C18" s="48" t="s">
        <v>84</v>
      </c>
      <c r="D18" s="48" t="s">
        <v>135</v>
      </c>
      <c r="E18" s="48" t="s">
        <v>121</v>
      </c>
      <c r="F18" s="48" t="s">
        <v>137</v>
      </c>
      <c r="G18" s="48" t="s">
        <v>94</v>
      </c>
      <c r="H18" s="48" t="s">
        <v>139</v>
      </c>
      <c r="I18" s="49">
        <v>0</v>
      </c>
      <c r="J18" s="87" t="str">
        <f t="shared" si="0"/>
        <v>USD50YOIS_Quote</v>
      </c>
      <c r="K18" s="50" t="str">
        <f t="shared" si="1"/>
        <v>USD3FF3L50Y_LCHQuote</v>
      </c>
      <c r="L18" s="48" t="str">
        <f>IF($K$3,_xll.qlSwapRateHelper2(,K18,2,C18,Calendar,F18,G18,H18,"UsdFedFunds",I18,B18,,,,Permanent,Trigger,ObjectOverwrite),_xll.qlOISRateHelper(,2,C18,J18,$L$3,,Permanent,Trigger,ObjectOverwrite))</f>
        <v>obj_0028b#0000</v>
      </c>
      <c r="M18" s="82" t="str">
        <f>_xll.ohRangeRetrieveError(L18)</f>
        <v/>
      </c>
      <c r="N18" s="42"/>
      <c r="O18" s="76"/>
      <c r="S18" s="77"/>
      <c r="T18" s="77"/>
      <c r="U18" s="77"/>
      <c r="V18" s="77"/>
      <c r="W18" s="76"/>
    </row>
    <row r="19" spans="1:23" ht="11.25" customHeight="1" x14ac:dyDescent="0.2">
      <c r="A19" s="41"/>
      <c r="B19" s="51" t="s">
        <v>93</v>
      </c>
      <c r="C19" s="51" t="s">
        <v>85</v>
      </c>
      <c r="D19" s="51" t="s">
        <v>135</v>
      </c>
      <c r="E19" s="51" t="s">
        <v>121</v>
      </c>
      <c r="F19" s="51" t="s">
        <v>137</v>
      </c>
      <c r="G19" s="51" t="s">
        <v>94</v>
      </c>
      <c r="H19" s="51" t="s">
        <v>139</v>
      </c>
      <c r="I19" s="52">
        <v>0</v>
      </c>
      <c r="J19" s="88" t="str">
        <f t="shared" si="0"/>
        <v>USD60YOIS_Quote</v>
      </c>
      <c r="K19" s="53" t="str">
        <f t="shared" si="1"/>
        <v>USD3FF3L60Y_LCHQuote</v>
      </c>
      <c r="L19" s="51" t="str">
        <f>IF($K$3,_xll.qlSwapRateHelper2(,K19,2,C19,Calendar,F19,G19,H19,"UsdFedFunds",I19,B19,,,,Permanent,Trigger,ObjectOverwrite),_xll.qlOISRateHelper(,2,C19,J19,$L$3,,Permanent,Trigger,ObjectOverwrite))</f>
        <v>obj_00285#0000</v>
      </c>
      <c r="M19" s="83" t="str">
        <f>_xll.ohRangeRetrieveError(L19)</f>
        <v/>
      </c>
      <c r="N19" s="42"/>
      <c r="O19" s="76"/>
      <c r="S19" s="77"/>
      <c r="T19" s="77"/>
      <c r="U19" s="77"/>
      <c r="V19" s="77"/>
      <c r="W19" s="76"/>
    </row>
    <row r="20" spans="1:23" ht="11.25" customHeight="1" x14ac:dyDescent="0.2">
      <c r="A20" s="41"/>
      <c r="B20" s="85" t="s">
        <v>136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2"/>
      <c r="O20" s="76"/>
      <c r="S20" s="77"/>
      <c r="T20" s="77"/>
      <c r="U20" s="77"/>
      <c r="V20" s="77"/>
      <c r="W20" s="76"/>
    </row>
    <row r="21" spans="1:23" ht="11.25" customHeight="1" thickBot="1" x14ac:dyDescent="0.25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30"/>
      <c r="O21" s="76"/>
      <c r="S21" s="77"/>
      <c r="T21" s="77"/>
      <c r="U21" s="77"/>
      <c r="V21" s="77"/>
      <c r="W21" s="76"/>
    </row>
    <row r="22" spans="1:23" ht="11.25" customHeight="1" x14ac:dyDescent="0.2">
      <c r="O22" s="76"/>
      <c r="S22" s="77"/>
      <c r="T22" s="77"/>
      <c r="U22" s="77"/>
      <c r="V22" s="77"/>
      <c r="W22" s="76"/>
    </row>
    <row r="23" spans="1:23" ht="11.25" customHeight="1" x14ac:dyDescent="0.2">
      <c r="O23" s="76"/>
      <c r="S23" s="77"/>
      <c r="T23" s="77"/>
      <c r="U23" s="77"/>
      <c r="V23" s="77"/>
      <c r="W23" s="76"/>
    </row>
    <row r="24" spans="1:23" ht="11.25" customHeight="1" x14ac:dyDescent="0.2">
      <c r="O24" s="76"/>
      <c r="S24" s="77"/>
      <c r="T24" s="77"/>
      <c r="U24" s="77"/>
      <c r="V24" s="77"/>
      <c r="W24" s="76"/>
    </row>
    <row r="25" spans="1:23" ht="11.25" customHeight="1" x14ac:dyDescent="0.2">
      <c r="O25" s="76"/>
      <c r="S25" s="77"/>
      <c r="T25" s="77"/>
      <c r="U25" s="77"/>
      <c r="V25" s="77"/>
      <c r="W25" s="76"/>
    </row>
    <row r="26" spans="1:23" ht="11.25" customHeight="1" x14ac:dyDescent="0.2">
      <c r="O26" s="76"/>
      <c r="S26" s="77"/>
      <c r="T26" s="77"/>
      <c r="U26" s="77"/>
      <c r="V26" s="77"/>
      <c r="W26" s="76"/>
    </row>
    <row r="27" spans="1:23" ht="11.25" customHeight="1" x14ac:dyDescent="0.2">
      <c r="O27" s="76"/>
      <c r="S27" s="77"/>
      <c r="T27" s="77"/>
      <c r="U27" s="77"/>
      <c r="V27" s="77"/>
      <c r="W27" s="76"/>
    </row>
    <row r="28" spans="1:23" ht="11.25" customHeight="1" x14ac:dyDescent="0.2">
      <c r="O28" s="76"/>
      <c r="S28" s="77"/>
      <c r="T28" s="77"/>
      <c r="U28" s="77"/>
      <c r="V28" s="77"/>
      <c r="W28" s="76"/>
    </row>
    <row r="29" spans="1:23" ht="11.25" customHeight="1" x14ac:dyDescent="0.2">
      <c r="O29" s="76"/>
      <c r="S29" s="77"/>
      <c r="T29" s="77"/>
      <c r="U29" s="77"/>
      <c r="V29" s="77"/>
      <c r="W29" s="76"/>
    </row>
    <row r="30" spans="1:23" ht="11.25" customHeight="1" x14ac:dyDescent="0.2">
      <c r="O30" s="76"/>
      <c r="S30" s="77"/>
      <c r="T30" s="77"/>
      <c r="U30" s="77"/>
      <c r="V30" s="77"/>
      <c r="W30" s="76"/>
    </row>
    <row r="31" spans="1:23" ht="11.25" customHeight="1" x14ac:dyDescent="0.2">
      <c r="O31" s="76"/>
      <c r="S31" s="77"/>
      <c r="T31" s="77"/>
      <c r="U31" s="77"/>
      <c r="V31" s="77"/>
      <c r="W31" s="76"/>
    </row>
    <row r="32" spans="1:23" ht="11.25" customHeight="1" x14ac:dyDescent="0.2">
      <c r="O32" s="76"/>
      <c r="S32" s="77"/>
      <c r="T32" s="77"/>
      <c r="U32" s="77"/>
      <c r="V32" s="77"/>
      <c r="W32" s="76"/>
    </row>
    <row r="33" spans="15:23" ht="11.25" customHeight="1" x14ac:dyDescent="0.2">
      <c r="O33" s="76"/>
      <c r="S33" s="77"/>
      <c r="T33" s="77"/>
      <c r="U33" s="77"/>
      <c r="V33" s="77"/>
      <c r="W33" s="76"/>
    </row>
    <row r="34" spans="15:23" ht="11.25" customHeight="1" x14ac:dyDescent="0.2">
      <c r="O34" s="76"/>
      <c r="S34" s="77"/>
      <c r="T34" s="77"/>
      <c r="U34" s="77"/>
      <c r="V34" s="77"/>
      <c r="W34" s="76"/>
    </row>
    <row r="35" spans="15:23" ht="11.25" customHeight="1" x14ac:dyDescent="0.2">
      <c r="O35" s="76"/>
      <c r="S35" s="77"/>
      <c r="T35" s="77"/>
      <c r="U35" s="77"/>
      <c r="V35" s="77"/>
      <c r="W35" s="76"/>
    </row>
    <row r="36" spans="15:23" ht="11.25" customHeight="1" x14ac:dyDescent="0.2">
      <c r="O36" s="76"/>
      <c r="P36" s="77"/>
      <c r="Q36" s="77"/>
      <c r="R36" s="77"/>
      <c r="S36" s="77"/>
      <c r="T36" s="77"/>
      <c r="U36" s="77"/>
      <c r="V36" s="77"/>
      <c r="W36" s="76"/>
    </row>
    <row r="37" spans="15:23" ht="11.25" customHeight="1" x14ac:dyDescent="0.2">
      <c r="O37" s="76"/>
      <c r="P37" s="77"/>
      <c r="Q37" s="77"/>
      <c r="R37" s="77"/>
      <c r="S37" s="77"/>
      <c r="T37" s="77"/>
      <c r="U37" s="77"/>
      <c r="V37" s="77"/>
      <c r="W37" s="76"/>
    </row>
    <row r="38" spans="15:23" ht="11.25" customHeight="1" x14ac:dyDescent="0.2">
      <c r="O38" s="76"/>
      <c r="P38" s="77"/>
      <c r="Q38" s="77"/>
      <c r="R38" s="77"/>
      <c r="S38" s="77"/>
      <c r="T38" s="77"/>
      <c r="U38" s="77"/>
      <c r="V38" s="77"/>
      <c r="W38" s="76"/>
    </row>
    <row r="39" spans="15:23" ht="11.25" customHeight="1" x14ac:dyDescent="0.2">
      <c r="O39" s="76"/>
      <c r="P39" s="77"/>
      <c r="Q39" s="77"/>
      <c r="R39" s="77"/>
      <c r="S39" s="77"/>
      <c r="T39" s="77"/>
      <c r="U39" s="77"/>
      <c r="V39" s="77"/>
      <c r="W39" s="76"/>
    </row>
    <row r="40" spans="15:23" ht="11.25" customHeight="1" x14ac:dyDescent="0.2">
      <c r="O40" s="76"/>
      <c r="P40" s="77"/>
      <c r="Q40" s="77"/>
      <c r="R40" s="77"/>
      <c r="S40" s="77"/>
      <c r="T40" s="77"/>
      <c r="U40" s="77"/>
      <c r="V40" s="77"/>
      <c r="W40" s="76"/>
    </row>
    <row r="41" spans="15:23" ht="11.25" customHeight="1" x14ac:dyDescent="0.2">
      <c r="O41" s="76"/>
      <c r="P41" s="77"/>
      <c r="Q41" s="77"/>
      <c r="R41" s="77"/>
      <c r="S41" s="77"/>
      <c r="T41" s="77"/>
      <c r="U41" s="77"/>
      <c r="V41" s="77"/>
      <c r="W41" s="76"/>
    </row>
    <row r="42" spans="15:23" ht="11.25" customHeight="1" x14ac:dyDescent="0.2">
      <c r="O42" s="76"/>
      <c r="P42" s="77"/>
      <c r="Q42" s="77"/>
      <c r="R42" s="77"/>
      <c r="S42" s="77"/>
      <c r="T42" s="77"/>
      <c r="U42" s="77"/>
      <c r="V42" s="77"/>
      <c r="W42" s="76"/>
    </row>
  </sheetData>
  <dataValidations count="4">
    <dataValidation type="list" allowBlank="1" showInputMessage="1" showErrorMessage="1" sqref="F4">
      <formula1>"Annual,Semiannual,EveryFourthMonth,Quarterly,Bimonthly,Monthly,Biweekly,Weekly,Daily,Once,NoFrequency"</formula1>
    </dataValidation>
    <dataValidation type="list" allowBlank="1" showInputMessage="1" showErrorMessage="1" sqref="G4">
      <formula1>"Following,Modified Following,Preceding,Modified Preceding,Unadjusted,Half-Month Modified Following"</formula1>
    </dataValidation>
    <dataValidation type="list" allowBlank="1" showInputMessage="1" showErrorMessage="1" sqref="H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K3">
      <formula1>"TRUE, 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6"/>
  <sheetViews>
    <sheetView topLeftCell="F1" workbookViewId="0">
      <selection activeCell="H1" sqref="H1:P1"/>
    </sheetView>
  </sheetViews>
  <sheetFormatPr defaultRowHeight="11.25" outlineLevelCol="1" x14ac:dyDescent="0.2"/>
  <cols>
    <col min="1" max="1" width="15.140625" style="74" bestFit="1" customWidth="1"/>
    <col min="2" max="2" width="18.28515625" style="74" bestFit="1" customWidth="1"/>
    <col min="3" max="3" width="10" style="74" hidden="1" customWidth="1" outlineLevel="1"/>
    <col min="4" max="4" width="9" style="74" hidden="1" customWidth="1" outlineLevel="1"/>
    <col min="5" max="5" width="7" style="74" hidden="1" customWidth="1" outlineLevel="1"/>
    <col min="6" max="6" width="17.28515625" style="74" bestFit="1" customWidth="1" collapsed="1"/>
    <col min="7" max="7" width="5" style="74" bestFit="1" customWidth="1"/>
    <col min="8" max="8" width="18.140625" style="74" bestFit="1" customWidth="1"/>
    <col min="9" max="9" width="17.28515625" style="74" bestFit="1" customWidth="1"/>
    <col min="10" max="10" width="19.28515625" style="74" hidden="1" customWidth="1" outlineLevel="1"/>
    <col min="11" max="13" width="12.85546875" style="74" hidden="1" customWidth="1" outlineLevel="1"/>
    <col min="14" max="14" width="14.42578125" style="74" customWidth="1" collapsed="1"/>
    <col min="15" max="15" width="12" style="74" bestFit="1" customWidth="1"/>
    <col min="16" max="16" width="11.5703125" style="74" bestFit="1" customWidth="1"/>
    <col min="17" max="17" width="10" style="74" bestFit="1" customWidth="1"/>
    <col min="18" max="18" width="16.140625" style="74" bestFit="1" customWidth="1"/>
    <col min="19" max="19" width="17.28515625" style="74" bestFit="1" customWidth="1"/>
    <col min="20" max="20" width="19.28515625" style="74" hidden="1" customWidth="1" outlineLevel="1"/>
    <col min="21" max="23" width="9.140625" style="74" hidden="1" customWidth="1" outlineLevel="1"/>
    <col min="24" max="24" width="13.140625" style="74" bestFit="1" customWidth="1" collapsed="1"/>
    <col min="25" max="25" width="12" style="74" bestFit="1" customWidth="1"/>
    <col min="26" max="16384" width="9.140625" style="74"/>
  </cols>
  <sheetData>
    <row r="1" spans="1:27" x14ac:dyDescent="0.2">
      <c r="A1" s="247" t="s">
        <v>97</v>
      </c>
      <c r="B1" s="248"/>
      <c r="C1" s="248"/>
      <c r="D1" s="248"/>
      <c r="E1" s="248"/>
      <c r="F1" s="249"/>
      <c r="G1" s="39"/>
      <c r="H1" s="250" t="s">
        <v>108</v>
      </c>
      <c r="I1" s="248"/>
      <c r="J1" s="248"/>
      <c r="K1" s="248"/>
      <c r="L1" s="248"/>
      <c r="M1" s="248"/>
      <c r="N1" s="248"/>
      <c r="O1" s="248"/>
      <c r="P1" s="249"/>
      <c r="Q1" s="39"/>
      <c r="R1" s="250" t="s">
        <v>109</v>
      </c>
      <c r="S1" s="248"/>
      <c r="T1" s="248"/>
      <c r="U1" s="248"/>
      <c r="V1" s="248"/>
      <c r="W1" s="248"/>
      <c r="X1" s="248"/>
      <c r="Y1" s="248"/>
      <c r="Z1" s="249"/>
      <c r="AA1" s="40"/>
    </row>
    <row r="2" spans="1:27" x14ac:dyDescent="0.2">
      <c r="A2" s="55" t="s">
        <v>82</v>
      </c>
      <c r="B2" s="56" t="s">
        <v>98</v>
      </c>
      <c r="C2" s="56" t="s">
        <v>99</v>
      </c>
      <c r="D2" s="56" t="s">
        <v>100</v>
      </c>
      <c r="E2" s="56" t="s">
        <v>14</v>
      </c>
      <c r="F2" s="56" t="s">
        <v>101</v>
      </c>
      <c r="G2" s="43"/>
      <c r="H2" s="56" t="s">
        <v>102</v>
      </c>
      <c r="I2" s="56" t="s">
        <v>103</v>
      </c>
      <c r="J2" s="56" t="s">
        <v>79</v>
      </c>
      <c r="K2" s="56" t="s">
        <v>104</v>
      </c>
      <c r="L2" s="56" t="s">
        <v>105</v>
      </c>
      <c r="M2" s="56" t="s">
        <v>14</v>
      </c>
      <c r="N2" s="56" t="s">
        <v>106</v>
      </c>
      <c r="O2" s="56" t="s">
        <v>107</v>
      </c>
      <c r="P2" s="56" t="s">
        <v>14</v>
      </c>
      <c r="Q2" s="43"/>
      <c r="R2" s="56" t="s">
        <v>102</v>
      </c>
      <c r="S2" s="56" t="s">
        <v>103</v>
      </c>
      <c r="T2" s="56" t="s">
        <v>79</v>
      </c>
      <c r="U2" s="56" t="s">
        <v>104</v>
      </c>
      <c r="V2" s="56" t="s">
        <v>105</v>
      </c>
      <c r="W2" s="56" t="s">
        <v>14</v>
      </c>
      <c r="X2" s="56" t="s">
        <v>106</v>
      </c>
      <c r="Y2" s="56" t="s">
        <v>107</v>
      </c>
      <c r="Z2" s="56" t="s">
        <v>14</v>
      </c>
      <c r="AA2" s="42"/>
    </row>
    <row r="3" spans="1:27" x14ac:dyDescent="0.2">
      <c r="A3" s="57" t="str">
        <f t="array" ref="A3:A37">[1]ON!$B$3:$B$37</f>
        <v>USD1DOIS</v>
      </c>
      <c r="B3" s="58">
        <f t="array" ref="B3:B37">[1]ON!$C$3:$C$37</f>
        <v>42193</v>
      </c>
      <c r="C3" s="59">
        <f t="array" ref="C3:C37">[1]ON!$E$3:$E$37</f>
        <v>1.2999999999999999E-3</v>
      </c>
      <c r="D3" s="59">
        <f>Selected!F2</f>
        <v>1.2999999999999999E-3</v>
      </c>
      <c r="E3" s="60">
        <f>D3-C3</f>
        <v>0</v>
      </c>
      <c r="F3" s="58">
        <f>Selected!J2</f>
        <v>42193</v>
      </c>
      <c r="G3" s="43"/>
      <c r="H3" s="65" t="s">
        <v>138</v>
      </c>
      <c r="I3" s="58">
        <v>42193</v>
      </c>
      <c r="J3" s="66">
        <f>_xll.qlDayCounterYearFraction($J$2,_xll.qlSettingsEvaluationDate(Trigger),I3,,,Trigger)</f>
        <v>2.7397260273972603E-3</v>
      </c>
      <c r="K3" s="59">
        <v>1.3180531757068701E-3</v>
      </c>
      <c r="L3" s="59">
        <f>_xll.qlYieldTSZeroRate(YieldCurve1,I3,$J$2,,,TRUE,Trigger)</f>
        <v>1.3180531757068657E-3</v>
      </c>
      <c r="M3" s="60">
        <f>K3-L3</f>
        <v>4.3368086899420177E-18</v>
      </c>
      <c r="N3" s="67">
        <v>0.99999638890192899</v>
      </c>
      <c r="O3" s="67">
        <f>_xll.qlYieldTSDiscount(YieldCurve1,I3,TRUE,Trigger)</f>
        <v>0.99999638890192899</v>
      </c>
      <c r="P3" s="60">
        <f>O3-N3</f>
        <v>0</v>
      </c>
      <c r="Q3" s="68"/>
      <c r="R3" s="65" t="s">
        <v>138</v>
      </c>
      <c r="S3" s="58">
        <v>42193</v>
      </c>
      <c r="T3" s="66">
        <f>_xll.qlDayCounterYearFraction($T$2,_xll.qlSettingsEvaluationDate(Trigger),S3,,,Trigger)</f>
        <v>2.7397260273972603E-3</v>
      </c>
      <c r="U3" s="59">
        <v>1.31805317577322E-3</v>
      </c>
      <c r="V3" s="59">
        <f>_xll.qlYieldTSZeroRate(YieldCurve2,S3,$T$2,,,TRUE,Trigger)</f>
        <v>1.3180531757068657E-3</v>
      </c>
      <c r="W3" s="60">
        <f>U3-V3</f>
        <v>6.6354257158285357E-14</v>
      </c>
      <c r="X3" s="67">
        <v>0.99999638890192899</v>
      </c>
      <c r="Y3" s="67">
        <f>_xll.qlYieldTSDiscount(YieldCurve2,S3,TRUE,Trigger)</f>
        <v>0.99999638890192899</v>
      </c>
      <c r="Z3" s="60">
        <f>X3-Y3</f>
        <v>0</v>
      </c>
      <c r="AA3" s="42"/>
    </row>
    <row r="4" spans="1:27" x14ac:dyDescent="0.2">
      <c r="A4" s="57" t="str">
        <v>USD2DOIS</v>
      </c>
      <c r="B4" s="58">
        <v>42194</v>
      </c>
      <c r="C4" s="59">
        <v>1.2999999999999999E-3</v>
      </c>
      <c r="D4" s="59">
        <f>Selected!F3</f>
        <v>1.2999999999999999E-3</v>
      </c>
      <c r="E4" s="60">
        <f t="shared" ref="E4:E37" si="0">D4-C4</f>
        <v>0</v>
      </c>
      <c r="F4" s="58">
        <f>Selected!J3</f>
        <v>42194</v>
      </c>
      <c r="G4" s="43"/>
      <c r="H4" s="65" t="s">
        <v>138</v>
      </c>
      <c r="I4" s="58">
        <v>42199</v>
      </c>
      <c r="J4" s="66">
        <f>_xll.qlDayCounterYearFraction($J$2,_xll.qlSettingsEvaluationDate(Trigger),I4,,,Trigger)</f>
        <v>1.9178082191780823E-2</v>
      </c>
      <c r="K4" s="59">
        <v>1.32508595935907E-3</v>
      </c>
      <c r="L4" s="59">
        <f>_xll.qlYieldTSZeroRate(YieldCurve1,I4,$J$2,,,TRUE,Trigger)</f>
        <v>1.3250859593908323E-3</v>
      </c>
      <c r="M4" s="60">
        <f t="shared" ref="M4:M39" si="1">K4-L4</f>
        <v>-3.1762353164266344E-14</v>
      </c>
      <c r="N4" s="67">
        <v>0.999974587715458</v>
      </c>
      <c r="O4" s="67">
        <f>_xll.qlYieldTSDiscount(YieldCurve1,I4,TRUE,Trigger)</f>
        <v>0.99997458771545711</v>
      </c>
      <c r="P4" s="60">
        <f t="shared" ref="P4:P39" si="2">O4-N4</f>
        <v>-8.8817841970012523E-16</v>
      </c>
      <c r="Q4" s="68"/>
      <c r="R4" s="65" t="s">
        <v>138</v>
      </c>
      <c r="S4" s="58">
        <v>42194</v>
      </c>
      <c r="T4" s="66">
        <f>_xll.qlDayCounterYearFraction($T$2,_xll.qlSettingsEvaluationDate(Trigger),S4,,,Trigger)</f>
        <v>5.4794520547945206E-3</v>
      </c>
      <c r="U4" s="59">
        <v>1.31805317571373E-3</v>
      </c>
      <c r="V4" s="59">
        <f>_xll.qlYieldTSZeroRate(YieldCurve2,S4,$T$2,,,TRUE,Trigger)</f>
        <v>1.3180531757273242E-3</v>
      </c>
      <c r="W4" s="60">
        <f t="shared" ref="W4:W37" si="3">U4-V4</f>
        <v>-1.3594160519492249E-14</v>
      </c>
      <c r="X4" s="67">
        <v>0.99999277781689799</v>
      </c>
      <c r="Y4" s="67">
        <f>_xll.qlYieldTSDiscount(YieldCurve2,S4,TRUE,Trigger)</f>
        <v>0.99999277781689799</v>
      </c>
      <c r="Z4" s="60">
        <f t="shared" ref="Z4:Z37" si="4">X4-Y4</f>
        <v>0</v>
      </c>
      <c r="AA4" s="42"/>
    </row>
    <row r="5" spans="1:27" x14ac:dyDescent="0.2">
      <c r="A5" s="57" t="str">
        <v>USD1WOIS</v>
      </c>
      <c r="B5" s="58">
        <v>42201</v>
      </c>
      <c r="C5" s="59">
        <v>1.3125000000000001E-3</v>
      </c>
      <c r="D5" s="59">
        <f>Selected!F4</f>
        <v>1.3125000000000001E-3</v>
      </c>
      <c r="E5" s="60">
        <f t="shared" si="0"/>
        <v>0</v>
      </c>
      <c r="F5" s="58">
        <f>Selected!J4</f>
        <v>42201</v>
      </c>
      <c r="G5" s="43"/>
      <c r="H5" s="65" t="s">
        <v>138</v>
      </c>
      <c r="I5" s="58">
        <v>42206</v>
      </c>
      <c r="J5" s="66">
        <f>_xll.qlDayCounterYearFraction($J$2,_xll.qlSettingsEvaluationDate(Trigger),I5,,,Trigger)</f>
        <v>3.8356164383561646E-2</v>
      </c>
      <c r="K5" s="59">
        <v>1.2916990957861801E-3</v>
      </c>
      <c r="L5" s="59">
        <f>_xll.qlYieldTSZeroRate(YieldCurve1,I5,$J$2,,,TRUE,Trigger)</f>
        <v>1.2916990957991435E-3</v>
      </c>
      <c r="M5" s="60">
        <f t="shared" si="1"/>
        <v>-1.2963371695540182E-14</v>
      </c>
      <c r="N5" s="67">
        <v>0.99995045660446302</v>
      </c>
      <c r="O5" s="67">
        <f>_xll.qlYieldTSDiscount(YieldCurve1,I5,TRUE,Trigger)</f>
        <v>0.99995045660446191</v>
      </c>
      <c r="P5" s="60">
        <f t="shared" si="2"/>
        <v>-1.1102230246251565E-15</v>
      </c>
      <c r="Q5" s="68"/>
      <c r="R5" s="65" t="s">
        <v>138</v>
      </c>
      <c r="S5" s="58">
        <v>42201</v>
      </c>
      <c r="T5" s="66">
        <f>_xll.qlDayCounterYearFraction($T$2,_xll.qlSettingsEvaluationDate(Trigger),S5,,,Trigger)</f>
        <v>2.4657534246575342E-2</v>
      </c>
      <c r="U5" s="59">
        <v>1.3278990728274099E-3</v>
      </c>
      <c r="V5" s="59">
        <f>_xll.qlYieldTSZeroRate(YieldCurve2,S5,$T$2,,,TRUE,Trigger)</f>
        <v>1.3278990728348608E-3</v>
      </c>
      <c r="W5" s="60">
        <f t="shared" si="3"/>
        <v>-7.4508541697548836E-15</v>
      </c>
      <c r="X5" s="67">
        <v>0.99996725781917295</v>
      </c>
      <c r="Y5" s="67">
        <f>_xll.qlYieldTSDiscount(YieldCurve2,S5,TRUE,Trigger)</f>
        <v>0.99996725781917239</v>
      </c>
      <c r="Z5" s="60">
        <f t="shared" si="4"/>
        <v>0</v>
      </c>
      <c r="AA5" s="42"/>
    </row>
    <row r="6" spans="1:27" x14ac:dyDescent="0.2">
      <c r="A6" s="57" t="str">
        <v>USD2WOIS</v>
      </c>
      <c r="B6" s="58">
        <v>42208</v>
      </c>
      <c r="C6" s="59">
        <v>1.2539999999999999E-3</v>
      </c>
      <c r="D6" s="59">
        <f>Selected!F5</f>
        <v>1.2539999999999999E-3</v>
      </c>
      <c r="E6" s="60">
        <f t="shared" si="0"/>
        <v>0</v>
      </c>
      <c r="F6" s="58">
        <f>Selected!J5</f>
        <v>42208</v>
      </c>
      <c r="G6" s="43"/>
      <c r="H6" s="65" t="s">
        <v>138</v>
      </c>
      <c r="I6" s="58">
        <v>42213</v>
      </c>
      <c r="J6" s="66">
        <f>_xll.qlDayCounterYearFraction($J$2,_xll.qlSettingsEvaluationDate(Trigger),I6,,,Trigger)</f>
        <v>5.7534246575342465E-2</v>
      </c>
      <c r="K6" s="59">
        <v>1.3162729806837799E-3</v>
      </c>
      <c r="L6" s="59">
        <f>_xll.qlYieldTSZeroRate(YieldCurve1,I6,$J$2,,,TRUE,Trigger)</f>
        <v>1.3162729806535055E-3</v>
      </c>
      <c r="M6" s="60">
        <f t="shared" si="1"/>
        <v>3.0274394102747237E-14</v>
      </c>
      <c r="N6" s="67">
        <v>0.99992427209327095</v>
      </c>
      <c r="O6" s="67">
        <f>_xll.qlYieldTSDiscount(YieldCurve1,I6,TRUE,Trigger)</f>
        <v>0.99992427209327328</v>
      </c>
      <c r="P6" s="60">
        <f t="shared" si="2"/>
        <v>2.3314683517128287E-15</v>
      </c>
      <c r="Q6" s="68"/>
      <c r="R6" s="65" t="s">
        <v>138</v>
      </c>
      <c r="S6" s="58">
        <v>42208</v>
      </c>
      <c r="T6" s="66">
        <f>_xll.qlDayCounterYearFraction($T$2,_xll.qlSettingsEvaluationDate(Trigger),S6,,,Trigger)</f>
        <v>4.3835616438356165E-2</v>
      </c>
      <c r="U6" s="59">
        <v>1.2772191049732001E-3</v>
      </c>
      <c r="V6" s="59">
        <f>_xll.qlYieldTSZeroRate(YieldCurve2,S6,$T$2,,,TRUE,Trigger)</f>
        <v>1.2772191027965848E-3</v>
      </c>
      <c r="W6" s="60">
        <f t="shared" si="3"/>
        <v>2.1766152248636761E-12</v>
      </c>
      <c r="X6" s="67">
        <v>0.99994401388048804</v>
      </c>
      <c r="Y6" s="67">
        <f>_xll.qlYieldTSDiscount(YieldCurve2,S6,TRUE,Trigger)</f>
        <v>0.99994401388058329</v>
      </c>
      <c r="Z6" s="60">
        <f t="shared" si="4"/>
        <v>-9.5257135512838431E-14</v>
      </c>
      <c r="AA6" s="42"/>
    </row>
    <row r="7" spans="1:27" x14ac:dyDescent="0.2">
      <c r="A7" s="57" t="str">
        <v>USD3WOIS</v>
      </c>
      <c r="B7" s="58">
        <v>42215</v>
      </c>
      <c r="C7" s="59">
        <v>1.315E-3</v>
      </c>
      <c r="D7" s="59">
        <f>Selected!F6</f>
        <v>1.315E-3</v>
      </c>
      <c r="E7" s="60">
        <f t="shared" si="0"/>
        <v>0</v>
      </c>
      <c r="F7" s="58">
        <f>Selected!J6</f>
        <v>42215</v>
      </c>
      <c r="G7" s="43"/>
      <c r="H7" s="65" t="s">
        <v>138</v>
      </c>
      <c r="I7" s="58">
        <v>42222</v>
      </c>
      <c r="J7" s="66">
        <f>_xll.qlDayCounterYearFraction($J$2,_xll.qlSettingsEvaluationDate(Trigger),I7,,,Trigger)</f>
        <v>8.2191780821917804E-2</v>
      </c>
      <c r="K7" s="59">
        <v>1.32607810684721E-3</v>
      </c>
      <c r="L7" s="59">
        <f>_xll.qlYieldTSZeroRate(YieldCurve1,I7,$J$2,,,TRUE,Trigger)</f>
        <v>1.3260781068342084E-3</v>
      </c>
      <c r="M7" s="60">
        <f t="shared" si="1"/>
        <v>1.3001535612011672E-14</v>
      </c>
      <c r="N7" s="67">
        <v>0.99989101321838003</v>
      </c>
      <c r="O7" s="67">
        <f>_xll.qlYieldTSDiscount(YieldCurve1,I7,TRUE,Trigger)</f>
        <v>0.99989101321838125</v>
      </c>
      <c r="P7" s="60">
        <f t="shared" si="2"/>
        <v>1.2212453270876722E-15</v>
      </c>
      <c r="Q7" s="68"/>
      <c r="R7" s="65" t="s">
        <v>138</v>
      </c>
      <c r="S7" s="58">
        <v>42215</v>
      </c>
      <c r="T7" s="66">
        <f>_xll.qlDayCounterYearFraction($T$2,_xll.qlSettingsEvaluationDate(Trigger),S7,,,Trigger)</f>
        <v>6.3013698630136991E-2</v>
      </c>
      <c r="U7" s="59">
        <v>1.3318945309702601E-3</v>
      </c>
      <c r="V7" s="59">
        <f>_xll.qlYieldTSZeroRate(YieldCurve2,S7,$T$2,,,TRUE,Trigger)</f>
        <v>1.3318945310373856E-3</v>
      </c>
      <c r="W7" s="60">
        <f t="shared" si="3"/>
        <v>-6.7125558583791545E-14</v>
      </c>
      <c r="X7" s="67">
        <v>0.99991607592124099</v>
      </c>
      <c r="Y7" s="67">
        <f>_xll.qlYieldTSDiscount(YieldCurve2,S7,TRUE,Trigger)</f>
        <v>0.99991607592123655</v>
      </c>
      <c r="Z7" s="60">
        <f t="shared" si="4"/>
        <v>4.4408920985006262E-15</v>
      </c>
      <c r="AA7" s="42"/>
    </row>
    <row r="8" spans="1:27" x14ac:dyDescent="0.2">
      <c r="A8" s="57" t="str">
        <v>USD1MOIS</v>
      </c>
      <c r="B8" s="58">
        <v>42226</v>
      </c>
      <c r="C8" s="59">
        <v>1.305E-3</v>
      </c>
      <c r="D8" s="59">
        <f>Selected!F7</f>
        <v>1.305E-3</v>
      </c>
      <c r="E8" s="60">
        <f t="shared" si="0"/>
        <v>0</v>
      </c>
      <c r="F8" s="58">
        <f>Selected!J7</f>
        <v>42226</v>
      </c>
      <c r="G8" s="68"/>
      <c r="H8" s="65" t="s">
        <v>138</v>
      </c>
      <c r="I8" s="58">
        <v>42252</v>
      </c>
      <c r="J8" s="66">
        <f>_xll.qlDayCounterYearFraction($J$2,_xll.qlSettingsEvaluationDate(Trigger),I8,,,Trigger)</f>
        <v>0.16438356164383561</v>
      </c>
      <c r="K8" s="59">
        <v>1.3426307502714199E-3</v>
      </c>
      <c r="L8" s="59">
        <f>_xll.qlYieldTSZeroRate(YieldCurve1,I8,$J$2,,,TRUE,Trigger)</f>
        <v>1.3426307375087028E-3</v>
      </c>
      <c r="M8" s="60">
        <f t="shared" si="1"/>
        <v>1.2762717098435683E-11</v>
      </c>
      <c r="N8" s="67">
        <v>0.99977931792916896</v>
      </c>
      <c r="O8" s="67">
        <f>_xll.qlYieldTSDiscount(YieldCurve1,I8,TRUE,Trigger)</f>
        <v>0.99977931793126651</v>
      </c>
      <c r="P8" s="60">
        <f t="shared" si="2"/>
        <v>2.0975443604243083E-12</v>
      </c>
      <c r="Q8" s="68"/>
      <c r="R8" s="65" t="s">
        <v>138</v>
      </c>
      <c r="S8" s="58">
        <v>42226</v>
      </c>
      <c r="T8" s="66">
        <f>_xll.qlDayCounterYearFraction($T$2,_xll.qlSettingsEvaluationDate(Trigger),S8,,,Trigger)</f>
        <v>9.3150684931506855E-2</v>
      </c>
      <c r="U8" s="59">
        <v>1.3227544359227801E-3</v>
      </c>
      <c r="V8" s="59">
        <f>_xll.qlYieldTSZeroRate(YieldCurve2,S8,$T$2,,,TRUE,Trigger)</f>
        <v>1.322754435682494E-3</v>
      </c>
      <c r="W8" s="60">
        <f t="shared" si="3"/>
        <v>2.4028608963666542E-13</v>
      </c>
      <c r="X8" s="67">
        <v>0.99987679210901304</v>
      </c>
      <c r="Y8" s="67">
        <f>_xll.qlYieldTSDiscount(YieldCurve2,S8,TRUE,Trigger)</f>
        <v>0.99987679210903557</v>
      </c>
      <c r="Z8" s="60">
        <f t="shared" si="4"/>
        <v>-2.2537527399890678E-14</v>
      </c>
      <c r="AA8" s="42"/>
    </row>
    <row r="9" spans="1:27" x14ac:dyDescent="0.2">
      <c r="A9" s="57" t="str">
        <v>USD2MOIS</v>
      </c>
      <c r="B9" s="58">
        <v>42256</v>
      </c>
      <c r="C9" s="59">
        <v>1.3282857E-3</v>
      </c>
      <c r="D9" s="59">
        <f>Selected!F8</f>
        <v>1.3282857E-3</v>
      </c>
      <c r="E9" s="60">
        <f t="shared" si="0"/>
        <v>0</v>
      </c>
      <c r="F9" s="58">
        <f>Selected!J8</f>
        <v>42256</v>
      </c>
      <c r="G9" s="68"/>
      <c r="H9" s="65" t="s">
        <v>138</v>
      </c>
      <c r="I9" s="58">
        <v>42283</v>
      </c>
      <c r="J9" s="66">
        <f>_xll.qlDayCounterYearFraction($J$2,_xll.qlSettingsEvaluationDate(Trigger),I9,,,Trigger)</f>
        <v>0.24931506849315069</v>
      </c>
      <c r="K9" s="59">
        <v>1.46766517776532E-3</v>
      </c>
      <c r="L9" s="59">
        <f>_xll.qlYieldTSZeroRate(YieldCurve1,I9,$J$2,,,TRUE,Trigger)</f>
        <v>1.4676651762948142E-3</v>
      </c>
      <c r="M9" s="60">
        <f t="shared" si="1"/>
        <v>1.4705057917868691E-12</v>
      </c>
      <c r="N9" s="67">
        <v>0.99963415589296201</v>
      </c>
      <c r="O9" s="67">
        <f>_xll.qlYieldTSDiscount(YieldCurve1,I9,TRUE,Trigger)</f>
        <v>0.99963415589332838</v>
      </c>
      <c r="P9" s="60">
        <f t="shared" si="2"/>
        <v>3.6637359812630166E-13</v>
      </c>
      <c r="Q9" s="68"/>
      <c r="R9" s="65" t="s">
        <v>138</v>
      </c>
      <c r="S9" s="58">
        <v>42256</v>
      </c>
      <c r="T9" s="66">
        <f>_xll.qlDayCounterYearFraction($T$2,_xll.qlSettingsEvaluationDate(Trigger),S9,,,Trigger)</f>
        <v>0.17534246575342466</v>
      </c>
      <c r="U9" s="59">
        <v>1.34568864478745E-3</v>
      </c>
      <c r="V9" s="59">
        <f>_xll.qlYieldTSZeroRate(YieldCurve2,S9,$T$2,,,TRUE,Trigger)</f>
        <v>1.34568863063168E-3</v>
      </c>
      <c r="W9" s="60">
        <f t="shared" si="3"/>
        <v>1.4155770089105402E-11</v>
      </c>
      <c r="X9" s="67">
        <v>0.99976407147040003</v>
      </c>
      <c r="Y9" s="67">
        <f>_xll.qlYieldTSDiscount(YieldCurve2,S9,TRUE,Trigger)</f>
        <v>0.99976407147288182</v>
      </c>
      <c r="Z9" s="60">
        <f t="shared" si="4"/>
        <v>-2.4817925492470749E-12</v>
      </c>
      <c r="AA9" s="42"/>
    </row>
    <row r="10" spans="1:27" x14ac:dyDescent="0.2">
      <c r="A10" s="57" t="str">
        <v>USD3MOIS</v>
      </c>
      <c r="B10" s="58">
        <v>42286</v>
      </c>
      <c r="C10" s="59">
        <v>1.4647E-3</v>
      </c>
      <c r="D10" s="59">
        <f>Selected!F9</f>
        <v>1.4647E-3</v>
      </c>
      <c r="E10" s="60">
        <f t="shared" si="0"/>
        <v>0</v>
      </c>
      <c r="F10" s="58">
        <f>Selected!J9</f>
        <v>42286</v>
      </c>
      <c r="G10" s="68"/>
      <c r="H10" s="65" t="s">
        <v>138</v>
      </c>
      <c r="I10" s="58">
        <v>42313</v>
      </c>
      <c r="J10" s="66">
        <f>_xll.qlDayCounterYearFraction($J$2,_xll.qlSettingsEvaluationDate(Trigger),I10,,,Trigger)</f>
        <v>0.33150684931506852</v>
      </c>
      <c r="K10" s="59">
        <v>1.53253717139295E-3</v>
      </c>
      <c r="L10" s="59">
        <f>_xll.qlYieldTSZeroRate(YieldCurve1,I10,$J$2,,,TRUE,Trigger)</f>
        <v>1.5325371713944332E-3</v>
      </c>
      <c r="M10" s="60">
        <f t="shared" si="1"/>
        <v>-1.4831885719601701E-15</v>
      </c>
      <c r="N10" s="67">
        <v>0.99949208246465904</v>
      </c>
      <c r="O10" s="67">
        <f>_xll.qlYieldTSDiscount(YieldCurve1,I10,TRUE,Trigger)</f>
        <v>0.99949208246465837</v>
      </c>
      <c r="P10" s="60">
        <f t="shared" si="2"/>
        <v>0</v>
      </c>
      <c r="Q10" s="68"/>
      <c r="R10" s="65" t="s">
        <v>138</v>
      </c>
      <c r="S10" s="58">
        <v>42286</v>
      </c>
      <c r="T10" s="66">
        <f>_xll.qlDayCounterYearFraction($T$2,_xll.qlSettingsEvaluationDate(Trigger),S10,,,Trigger)</f>
        <v>0.25753424657534246</v>
      </c>
      <c r="U10" s="59">
        <v>1.48121812587438E-3</v>
      </c>
      <c r="V10" s="59">
        <f>_xll.qlYieldTSZeroRate(YieldCurve2,S10,$T$2,,,TRUE,Trigger)</f>
        <v>1.4812181258751415E-3</v>
      </c>
      <c r="W10" s="60">
        <f t="shared" si="3"/>
        <v>-7.6154360595381831E-16</v>
      </c>
      <c r="X10" s="67">
        <v>0.999618608354231</v>
      </c>
      <c r="Y10" s="67">
        <f>_xll.qlYieldTSDiscount(YieldCurve2,S10,TRUE,Trigger)</f>
        <v>0.99961860835423033</v>
      </c>
      <c r="Z10" s="60">
        <f t="shared" si="4"/>
        <v>0</v>
      </c>
      <c r="AA10" s="42"/>
    </row>
    <row r="11" spans="1:27" x14ac:dyDescent="0.2">
      <c r="A11" s="57" t="str">
        <v>USD4MOIS</v>
      </c>
      <c r="B11" s="58">
        <v>42317</v>
      </c>
      <c r="C11" s="59">
        <v>1.523E-3</v>
      </c>
      <c r="D11" s="59">
        <f>Selected!F10</f>
        <v>1.523E-3</v>
      </c>
      <c r="E11" s="60">
        <f t="shared" si="0"/>
        <v>0</v>
      </c>
      <c r="F11" s="58">
        <f>Selected!J10</f>
        <v>42317</v>
      </c>
      <c r="G11" s="68"/>
      <c r="H11" s="65" t="s">
        <v>138</v>
      </c>
      <c r="I11" s="58">
        <v>42344</v>
      </c>
      <c r="J11" s="66">
        <f>_xll.qlDayCounterYearFraction($J$2,_xll.qlSettingsEvaluationDate(Trigger),I11,,,Trigger)</f>
        <v>0.41643835616438357</v>
      </c>
      <c r="K11" s="59">
        <v>1.62934429759248E-3</v>
      </c>
      <c r="L11" s="59">
        <f>_xll.qlYieldTSZeroRate(YieldCurve1,I11,$J$2,,,TRUE,Trigger)</f>
        <v>1.6293442975936943E-3</v>
      </c>
      <c r="M11" s="60">
        <f t="shared" si="1"/>
        <v>-1.214306433183765E-15</v>
      </c>
      <c r="N11" s="67">
        <v>0.99932170868271597</v>
      </c>
      <c r="O11" s="67">
        <f>_xll.qlYieldTSDiscount(YieldCurve1,I11,TRUE,Trigger)</f>
        <v>0.9993217086827153</v>
      </c>
      <c r="P11" s="60">
        <f t="shared" si="2"/>
        <v>0</v>
      </c>
      <c r="Q11" s="68"/>
      <c r="R11" s="65" t="s">
        <v>138</v>
      </c>
      <c r="S11" s="58">
        <v>42317</v>
      </c>
      <c r="T11" s="66">
        <f>_xll.qlDayCounterYearFraction($T$2,_xll.qlSettingsEvaluationDate(Trigger),S11,,,Trigger)</f>
        <v>0.34246575342465752</v>
      </c>
      <c r="U11" s="59">
        <v>1.54013999295225E-3</v>
      </c>
      <c r="V11" s="59">
        <f>_xll.qlYieldTSZeroRate(YieldCurve2,S11,$T$2,,,TRUE,Trigger)</f>
        <v>1.5401399929519605E-3</v>
      </c>
      <c r="W11" s="60">
        <f t="shared" si="3"/>
        <v>2.8948198005362968E-16</v>
      </c>
      <c r="X11" s="67">
        <v>0.99947269387170301</v>
      </c>
      <c r="Y11" s="67">
        <f>_xll.qlYieldTSDiscount(YieldCurve2,S11,TRUE,Trigger)</f>
        <v>0.99947269387170279</v>
      </c>
      <c r="Z11" s="60">
        <f t="shared" si="4"/>
        <v>0</v>
      </c>
      <c r="AA11" s="42"/>
    </row>
    <row r="12" spans="1:27" x14ac:dyDescent="0.2">
      <c r="A12" s="57" t="str">
        <v>USD5MOIS</v>
      </c>
      <c r="B12" s="58">
        <v>42347</v>
      </c>
      <c r="C12" s="59">
        <v>1.6214999999999999E-3</v>
      </c>
      <c r="D12" s="59">
        <f>Selected!F11</f>
        <v>1.6214999999999999E-3</v>
      </c>
      <c r="E12" s="60">
        <f t="shared" si="0"/>
        <v>0</v>
      </c>
      <c r="F12" s="58">
        <f>Selected!J11</f>
        <v>42347</v>
      </c>
      <c r="G12" s="68"/>
      <c r="H12" s="65" t="s">
        <v>138</v>
      </c>
      <c r="I12" s="58">
        <v>42374</v>
      </c>
      <c r="J12" s="66">
        <f>_xll.qlDayCounterYearFraction($J$2,_xll.qlSettingsEvaluationDate(Trigger),I12,,,Trigger)</f>
        <v>0.49863013698630138</v>
      </c>
      <c r="K12" s="59">
        <v>1.8542663727198201E-3</v>
      </c>
      <c r="L12" s="59">
        <f>_xll.qlYieldTSZeroRate(YieldCurve1,I12,$J$2,,,TRUE,Trigger)</f>
        <v>1.8542663727175407E-3</v>
      </c>
      <c r="M12" s="60">
        <f t="shared" si="1"/>
        <v>2.2794266474335245E-15</v>
      </c>
      <c r="N12" s="67">
        <v>0.99907583420905299</v>
      </c>
      <c r="O12" s="67">
        <f>_xll.qlYieldTSDiscount(YieldCurve1,I12,TRUE,Trigger)</f>
        <v>0.99907583420905444</v>
      </c>
      <c r="P12" s="60">
        <f t="shared" si="2"/>
        <v>1.4432899320127035E-15</v>
      </c>
      <c r="Q12" s="68"/>
      <c r="R12" s="65" t="s">
        <v>138</v>
      </c>
      <c r="S12" s="58">
        <v>42347</v>
      </c>
      <c r="T12" s="66">
        <f>_xll.qlDayCounterYearFraction($T$2,_xll.qlSettingsEvaluationDate(Trigger),S12,,,Trigger)</f>
        <v>0.42465753424657532</v>
      </c>
      <c r="U12" s="59">
        <v>1.63925588699726E-3</v>
      </c>
      <c r="V12" s="59">
        <f>_xll.qlYieldTSZeroRate(YieldCurve2,S12,$T$2,,,TRUE,Trigger)</f>
        <v>1.639255886997739E-3</v>
      </c>
      <c r="W12" s="60">
        <f t="shared" si="3"/>
        <v>-4.7900051980409586E-16</v>
      </c>
      <c r="X12" s="67">
        <v>0.99930411987398904</v>
      </c>
      <c r="Y12" s="67">
        <f>_xll.qlYieldTSDiscount(YieldCurve2,S12,TRUE,Trigger)</f>
        <v>0.99930411987398826</v>
      </c>
      <c r="Z12" s="60">
        <f t="shared" si="4"/>
        <v>0</v>
      </c>
      <c r="AA12" s="42"/>
    </row>
    <row r="13" spans="1:27" x14ac:dyDescent="0.2">
      <c r="A13" s="57" t="str">
        <v>USD6MOIS</v>
      </c>
      <c r="B13" s="58">
        <v>42380</v>
      </c>
      <c r="C13" s="59">
        <v>1.8831E-3</v>
      </c>
      <c r="D13" s="59">
        <f>Selected!F12</f>
        <v>1.8831E-3</v>
      </c>
      <c r="E13" s="60">
        <f t="shared" si="0"/>
        <v>0</v>
      </c>
      <c r="F13" s="58">
        <f>Selected!J12</f>
        <v>42380</v>
      </c>
      <c r="G13" s="43"/>
      <c r="H13" s="65" t="s">
        <v>138</v>
      </c>
      <c r="I13" s="58">
        <v>42404</v>
      </c>
      <c r="J13" s="66">
        <f>_xll.qlDayCounterYearFraction($J$2,_xll.qlSettingsEvaluationDate(Trigger),I13,,,Trigger)</f>
        <v>0.58082191780821912</v>
      </c>
      <c r="K13" s="59">
        <v>2.0142254595775901E-3</v>
      </c>
      <c r="L13" s="59">
        <f>_xll.qlYieldTSZeroRate(YieldCurve1,I13,$J$2,,,TRUE,Trigger)</f>
        <v>2.0142254595775524E-3</v>
      </c>
      <c r="M13" s="60">
        <f t="shared" si="1"/>
        <v>3.7730235602495554E-17</v>
      </c>
      <c r="N13" s="67">
        <v>0.998830777779245</v>
      </c>
      <c r="O13" s="67">
        <f>_xll.qlYieldTSDiscount(YieldCurve1,I13,TRUE,Trigger)</f>
        <v>0.99883077777924545</v>
      </c>
      <c r="P13" s="60">
        <f t="shared" si="2"/>
        <v>0</v>
      </c>
      <c r="Q13" s="68"/>
      <c r="R13" s="65" t="s">
        <v>138</v>
      </c>
      <c r="S13" s="58">
        <v>42380</v>
      </c>
      <c r="T13" s="66">
        <f>_xll.qlDayCounterYearFraction($T$2,_xll.qlSettingsEvaluationDate(Trigger),S13,,,Trigger)</f>
        <v>0.51506849315068493</v>
      </c>
      <c r="U13" s="59">
        <v>1.9020464806583899E-3</v>
      </c>
      <c r="V13" s="59">
        <f>_xll.qlYieldTSZeroRate(YieldCurve2,S13,$T$2,,,TRUE,Trigger)</f>
        <v>1.9020464806555005E-3</v>
      </c>
      <c r="W13" s="60">
        <f t="shared" si="3"/>
        <v>2.8893987896738693E-15</v>
      </c>
      <c r="X13" s="67">
        <v>0.99902079551920897</v>
      </c>
      <c r="Y13" s="67">
        <f>_xll.qlYieldTSDiscount(YieldCurve2,S13,TRUE,Trigger)</f>
        <v>0.99902079551921108</v>
      </c>
      <c r="Z13" s="60">
        <f t="shared" si="4"/>
        <v>-2.1094237467877974E-15</v>
      </c>
      <c r="AA13" s="42"/>
    </row>
    <row r="14" spans="1:27" x14ac:dyDescent="0.2">
      <c r="A14" s="57" t="str">
        <v>USD7MOIS</v>
      </c>
      <c r="B14" s="58">
        <v>42409</v>
      </c>
      <c r="C14" s="59">
        <v>2.0175000000000002E-3</v>
      </c>
      <c r="D14" s="59">
        <f>Selected!F13</f>
        <v>2.0175000000000002E-3</v>
      </c>
      <c r="E14" s="60">
        <f t="shared" si="0"/>
        <v>0</v>
      </c>
      <c r="F14" s="58">
        <f>Selected!J13</f>
        <v>42409</v>
      </c>
      <c r="G14" s="43"/>
      <c r="H14" s="65" t="s">
        <v>138</v>
      </c>
      <c r="I14" s="58">
        <v>42435</v>
      </c>
      <c r="J14" s="66">
        <f>_xll.qlDayCounterYearFraction($J$2,_xll.qlSettingsEvaluationDate(Trigger),I14,,,Trigger)</f>
        <v>0.66575342465753429</v>
      </c>
      <c r="K14" s="59">
        <v>2.192337498457E-3</v>
      </c>
      <c r="L14" s="59">
        <f>_xll.qlYieldTSZeroRate(YieldCurve1,I14,$J$2,,,TRUE,Trigger)</f>
        <v>2.1923374984575946E-3</v>
      </c>
      <c r="M14" s="60">
        <f t="shared" si="1"/>
        <v>-5.9457647139105063E-16</v>
      </c>
      <c r="N14" s="67">
        <v>0.99854150843651701</v>
      </c>
      <c r="O14" s="67">
        <f>_xll.qlYieldTSDiscount(YieldCurve1,I14,TRUE,Trigger)</f>
        <v>0.99854150843651635</v>
      </c>
      <c r="P14" s="60">
        <f t="shared" si="2"/>
        <v>0</v>
      </c>
      <c r="Q14" s="68"/>
      <c r="R14" s="65" t="s">
        <v>138</v>
      </c>
      <c r="S14" s="58">
        <v>42409</v>
      </c>
      <c r="T14" s="66">
        <f>_xll.qlDayCounterYearFraction($T$2,_xll.qlSettingsEvaluationDate(Trigger),S14,,,Trigger)</f>
        <v>0.59452054794520548</v>
      </c>
      <c r="U14" s="59">
        <v>2.03759608018575E-3</v>
      </c>
      <c r="V14" s="59">
        <f>_xll.qlYieldTSZeroRate(YieldCurve2,S14,$T$2,,,TRUE,Trigger)</f>
        <v>2.0375960801854208E-3</v>
      </c>
      <c r="W14" s="60">
        <f t="shared" si="3"/>
        <v>3.2916377956659915E-16</v>
      </c>
      <c r="X14" s="67">
        <v>0.99878934070190895</v>
      </c>
      <c r="Y14" s="67">
        <f>_xll.qlYieldTSDiscount(YieldCurve2,S14,TRUE,Trigger)</f>
        <v>0.99878934070190883</v>
      </c>
      <c r="Z14" s="60">
        <f t="shared" si="4"/>
        <v>0</v>
      </c>
      <c r="AA14" s="42"/>
    </row>
    <row r="15" spans="1:27" x14ac:dyDescent="0.2">
      <c r="A15" s="57" t="str">
        <v>USD8MOIS</v>
      </c>
      <c r="B15" s="58">
        <v>42438</v>
      </c>
      <c r="C15" s="59">
        <v>2.1887500000000002E-3</v>
      </c>
      <c r="D15" s="59">
        <f>Selected!F14</f>
        <v>2.1887500000000002E-3</v>
      </c>
      <c r="E15" s="60">
        <f t="shared" si="0"/>
        <v>0</v>
      </c>
      <c r="F15" s="58">
        <f>Selected!J14</f>
        <v>42438</v>
      </c>
      <c r="G15" s="43"/>
      <c r="H15" s="65" t="s">
        <v>138</v>
      </c>
      <c r="I15" s="58">
        <v>42465</v>
      </c>
      <c r="J15" s="66">
        <f>_xll.qlDayCounterYearFraction($J$2,_xll.qlSettingsEvaluationDate(Trigger),I15,,,Trigger)</f>
        <v>0.74794520547945209</v>
      </c>
      <c r="K15" s="59">
        <v>2.4138556390633299E-3</v>
      </c>
      <c r="L15" s="59">
        <f>_xll.qlYieldTSZeroRate(YieldCurve1,I15,$J$2,,,TRUE,Trigger)</f>
        <v>2.4138556102908651E-3</v>
      </c>
      <c r="M15" s="60">
        <f t="shared" si="1"/>
        <v>2.8772464879395221E-11</v>
      </c>
      <c r="N15" s="67">
        <v>0.99819619705956497</v>
      </c>
      <c r="O15" s="67">
        <f>_xll.qlYieldTSDiscount(YieldCurve1,I15,TRUE,Trigger)</f>
        <v>0.99819619708104645</v>
      </c>
      <c r="P15" s="60">
        <f t="shared" si="2"/>
        <v>2.1481483258867229E-11</v>
      </c>
      <c r="Q15" s="68"/>
      <c r="R15" s="65" t="s">
        <v>138</v>
      </c>
      <c r="S15" s="58">
        <v>42438</v>
      </c>
      <c r="T15" s="66">
        <f>_xll.qlDayCounterYearFraction($T$2,_xll.qlSettingsEvaluationDate(Trigger),S15,,,Trigger)</f>
        <v>0.67397260273972603</v>
      </c>
      <c r="U15" s="59">
        <v>2.2101922774884299E-3</v>
      </c>
      <c r="V15" s="59">
        <f>_xll.qlYieldTSZeroRate(YieldCurve2,S15,$T$2,,,TRUE,Trigger)</f>
        <v>2.2101922774873236E-3</v>
      </c>
      <c r="W15" s="60">
        <f t="shared" si="3"/>
        <v>1.1063198968042087E-15</v>
      </c>
      <c r="X15" s="67">
        <v>0.99851149987504895</v>
      </c>
      <c r="Y15" s="67">
        <f>_xll.qlYieldTSDiscount(YieldCurve2,S15,TRUE,Trigger)</f>
        <v>0.99851149987504939</v>
      </c>
      <c r="Z15" s="60">
        <f t="shared" si="4"/>
        <v>0</v>
      </c>
      <c r="AA15" s="42"/>
    </row>
    <row r="16" spans="1:27" x14ac:dyDescent="0.2">
      <c r="A16" s="57" t="str">
        <v>USD9MOIS</v>
      </c>
      <c r="B16" s="58">
        <v>42471</v>
      </c>
      <c r="C16" s="59">
        <v>2.4358333000000002E-3</v>
      </c>
      <c r="D16" s="59">
        <f>Selected!F15</f>
        <v>2.4358333000000002E-3</v>
      </c>
      <c r="E16" s="60">
        <f t="shared" si="0"/>
        <v>0</v>
      </c>
      <c r="F16" s="58">
        <f>Selected!J15</f>
        <v>42471</v>
      </c>
      <c r="G16" s="43"/>
      <c r="H16" s="65" t="s">
        <v>138</v>
      </c>
      <c r="I16" s="58">
        <v>42496</v>
      </c>
      <c r="J16" s="66">
        <f>_xll.qlDayCounterYearFraction($J$2,_xll.qlSettingsEvaluationDate(Trigger),I16,,,Trigger)</f>
        <v>0.83287671232876714</v>
      </c>
      <c r="K16" s="59">
        <v>2.6069088161600998E-3</v>
      </c>
      <c r="L16" s="59">
        <f>_xll.qlYieldTSZeroRate(YieldCurve1,I16,$J$2,,,TRUE,Trigger)</f>
        <v>2.6069088123929283E-3</v>
      </c>
      <c r="M16" s="60">
        <f t="shared" si="1"/>
        <v>3.7671714706033477E-12</v>
      </c>
      <c r="N16" s="67">
        <v>0.99783112177859201</v>
      </c>
      <c r="O16" s="67">
        <f>_xll.qlYieldTSDiscount(YieldCurve1,I16,TRUE,Trigger)</f>
        <v>0.99783112178172251</v>
      </c>
      <c r="P16" s="60">
        <f t="shared" si="2"/>
        <v>3.1304958625355539E-12</v>
      </c>
      <c r="Q16" s="68"/>
      <c r="R16" s="65" t="s">
        <v>138</v>
      </c>
      <c r="S16" s="58">
        <v>42471</v>
      </c>
      <c r="T16" s="66">
        <f>_xll.qlDayCounterYearFraction($T$2,_xll.qlSettingsEvaluationDate(Trigger),S16,,,Trigger)</f>
        <v>0.76438356164383559</v>
      </c>
      <c r="U16" s="59">
        <v>2.4591141638579E-3</v>
      </c>
      <c r="V16" s="59">
        <f>_xll.qlYieldTSZeroRate(YieldCurve2,S16,$T$2,,,TRUE,Trigger)</f>
        <v>2.459114128686264E-3</v>
      </c>
      <c r="W16" s="60">
        <f t="shared" si="3"/>
        <v>3.5171636002945261E-11</v>
      </c>
      <c r="X16" s="67">
        <v>0.99812205909869101</v>
      </c>
      <c r="Y16" s="67">
        <f>_xll.qlYieldTSDiscount(YieldCurve2,S16,TRUE,Trigger)</f>
        <v>0.9981220591255251</v>
      </c>
      <c r="Z16" s="60">
        <f t="shared" si="4"/>
        <v>-2.6834090505190034E-11</v>
      </c>
      <c r="AA16" s="42"/>
    </row>
    <row r="17" spans="1:27" x14ac:dyDescent="0.2">
      <c r="A17" s="57" t="str">
        <v>USD10MOIS</v>
      </c>
      <c r="B17" s="58">
        <v>42499</v>
      </c>
      <c r="C17" s="59">
        <v>2.5999999999999999E-3</v>
      </c>
      <c r="D17" s="59">
        <f>Selected!F16</f>
        <v>2.5999999999999999E-3</v>
      </c>
      <c r="E17" s="60">
        <f t="shared" si="0"/>
        <v>0</v>
      </c>
      <c r="F17" s="58">
        <f>Selected!J16</f>
        <v>42499</v>
      </c>
      <c r="G17" s="43"/>
      <c r="H17" s="65" t="s">
        <v>138</v>
      </c>
      <c r="I17" s="58">
        <v>42526</v>
      </c>
      <c r="J17" s="66">
        <f>_xll.qlDayCounterYearFraction($J$2,_xll.qlSettingsEvaluationDate(Trigger),I17,,,Trigger)</f>
        <v>0.91506849315068495</v>
      </c>
      <c r="K17" s="59">
        <v>2.8149095545969599E-3</v>
      </c>
      <c r="L17" s="59">
        <f>_xll.qlYieldTSZeroRate(YieldCurve1,I17,$J$2,,,TRUE,Trigger)</f>
        <v>2.8149095545970033E-3</v>
      </c>
      <c r="M17" s="60">
        <f t="shared" si="1"/>
        <v>-4.3368086899420177E-17</v>
      </c>
      <c r="N17" s="67">
        <v>0.99742747957202804</v>
      </c>
      <c r="O17" s="67">
        <f>_xll.qlYieldTSDiscount(YieldCurve1,I17,TRUE,Trigger)</f>
        <v>0.99742747957202849</v>
      </c>
      <c r="P17" s="60">
        <f t="shared" si="2"/>
        <v>0</v>
      </c>
      <c r="Q17" s="68"/>
      <c r="R17" s="65" t="s">
        <v>138</v>
      </c>
      <c r="S17" s="58">
        <v>42499</v>
      </c>
      <c r="T17" s="66">
        <f>_xll.qlDayCounterYearFraction($T$2,_xll.qlSettingsEvaluationDate(Trigger),S17,,,Trigger)</f>
        <v>0.84109589041095889</v>
      </c>
      <c r="U17" s="59">
        <v>2.6246441744364902E-3</v>
      </c>
      <c r="V17" s="59">
        <f>_xll.qlYieldTSZeroRate(YieldCurve2,S17,$T$2,,,TRUE,Trigger)</f>
        <v>2.6246441744352863E-3</v>
      </c>
      <c r="W17" s="60">
        <f t="shared" si="3"/>
        <v>1.2038980923279041E-15</v>
      </c>
      <c r="X17" s="67">
        <v>0.99779485747806396</v>
      </c>
      <c r="Y17" s="67">
        <f>_xll.qlYieldTSDiscount(YieldCurve2,S17,TRUE,Trigger)</f>
        <v>0.99779485747806551</v>
      </c>
      <c r="Z17" s="60">
        <f t="shared" si="4"/>
        <v>-1.5543122344752192E-15</v>
      </c>
      <c r="AA17" s="42"/>
    </row>
    <row r="18" spans="1:27" x14ac:dyDescent="0.2">
      <c r="A18" s="57" t="str">
        <v>USD11MOIS</v>
      </c>
      <c r="B18" s="58">
        <v>42530</v>
      </c>
      <c r="C18" s="59">
        <v>2.8167999999999999E-3</v>
      </c>
      <c r="D18" s="59">
        <f>Selected!F17</f>
        <v>2.8167999999999999E-3</v>
      </c>
      <c r="E18" s="60">
        <f t="shared" si="0"/>
        <v>0</v>
      </c>
      <c r="F18" s="58">
        <f>Selected!J17</f>
        <v>42530</v>
      </c>
      <c r="G18" s="43"/>
      <c r="H18" s="65" t="s">
        <v>138</v>
      </c>
      <c r="I18" s="58">
        <v>42557</v>
      </c>
      <c r="J18" s="66">
        <f>_xll.qlDayCounterYearFraction($J$2,_xll.qlSettingsEvaluationDate(Trigger),I18,,,Trigger)</f>
        <v>1</v>
      </c>
      <c r="K18" s="59">
        <v>3.0329435943039101E-3</v>
      </c>
      <c r="L18" s="59">
        <f>_xll.qlYieldTSZeroRate(YieldCurve1,I18,$J$2,,,TRUE,Trigger)</f>
        <v>3.0329436196881304E-3</v>
      </c>
      <c r="M18" s="60">
        <f t="shared" si="1"/>
        <v>-2.5384220333352081E-11</v>
      </c>
      <c r="N18" s="67">
        <v>0.99697165113276298</v>
      </c>
      <c r="O18" s="67">
        <f>_xll.qlYieldTSDiscount(YieldCurve1,I18,TRUE,Trigger)</f>
        <v>0.99697165110745545</v>
      </c>
      <c r="P18" s="60">
        <f t="shared" si="2"/>
        <v>-2.5307533846330443E-11</v>
      </c>
      <c r="Q18" s="68"/>
      <c r="R18" s="65" t="s">
        <v>138</v>
      </c>
      <c r="S18" s="58">
        <v>42530</v>
      </c>
      <c r="T18" s="66">
        <f>_xll.qlDayCounterYearFraction($T$2,_xll.qlSettingsEvaluationDate(Trigger),S18,,,Trigger)</f>
        <v>0.92602739726027394</v>
      </c>
      <c r="U18" s="59">
        <v>2.8430970183245499E-3</v>
      </c>
      <c r="V18" s="59">
        <f>_xll.qlYieldTSZeroRate(YieldCurve2,S18,$T$2,,,TRUE,Trigger)</f>
        <v>2.84309701831989E-3</v>
      </c>
      <c r="W18" s="60">
        <f t="shared" si="3"/>
        <v>4.6599009373426981E-15</v>
      </c>
      <c r="X18" s="67">
        <v>0.99737067700876703</v>
      </c>
      <c r="Y18" s="67">
        <f>_xll.qlYieldTSDiscount(YieldCurve2,S18,TRUE,Trigger)</f>
        <v>0.99737067700877069</v>
      </c>
      <c r="Z18" s="60">
        <f t="shared" si="4"/>
        <v>-3.6637359812630166E-15</v>
      </c>
      <c r="AA18" s="42"/>
    </row>
    <row r="19" spans="1:27" x14ac:dyDescent="0.2">
      <c r="A19" s="57" t="str">
        <v>USD1YOIS</v>
      </c>
      <c r="B19" s="58">
        <v>42562</v>
      </c>
      <c r="C19" s="59">
        <v>3.0401667000000002E-3</v>
      </c>
      <c r="D19" s="59">
        <f>Selected!F18</f>
        <v>3.0401667000000002E-3</v>
      </c>
      <c r="E19" s="60">
        <f t="shared" si="0"/>
        <v>0</v>
      </c>
      <c r="F19" s="58">
        <f>Selected!J18</f>
        <v>42562</v>
      </c>
      <c r="G19" s="43"/>
      <c r="H19" s="65" t="s">
        <v>138</v>
      </c>
      <c r="I19" s="58">
        <v>42648</v>
      </c>
      <c r="J19" s="66">
        <f>_xll.qlDayCounterYearFraction($J$2,_xll.qlSettingsEvaluationDate(Trigger),I19,,,Trigger)</f>
        <v>1.2493150684931507</v>
      </c>
      <c r="K19" s="59">
        <v>3.79780274344613E-3</v>
      </c>
      <c r="L19" s="59">
        <f>_xll.qlYieldTSZeroRate(YieldCurve1,I19,$J$2,,,TRUE,Trigger)</f>
        <v>3.7978027593137966E-3</v>
      </c>
      <c r="M19" s="60">
        <f t="shared" si="1"/>
        <v>-1.5867666555702264E-11</v>
      </c>
      <c r="N19" s="67">
        <v>0.99526658588704997</v>
      </c>
      <c r="O19" s="67">
        <f>_xll.qlYieldTSDiscount(YieldCurve1,I19,TRUE,Trigger)</f>
        <v>0.99526658586732053</v>
      </c>
      <c r="P19" s="60">
        <f t="shared" si="2"/>
        <v>-1.9729440303706269E-11</v>
      </c>
      <c r="Q19" s="68"/>
      <c r="R19" s="65" t="s">
        <v>138</v>
      </c>
      <c r="S19" s="58">
        <v>42562</v>
      </c>
      <c r="T19" s="66">
        <f>_xll.qlDayCounterYearFraction($T$2,_xll.qlSettingsEvaluationDate(Trigger),S19,,,Trigger)</f>
        <v>1.0136986301369864</v>
      </c>
      <c r="U19" s="59">
        <v>3.0681003676335198E-3</v>
      </c>
      <c r="V19" s="59">
        <f>_xll.qlYieldTSZeroRate(YieldCurve2,S19,$T$2,,,TRUE,Trigger)</f>
        <v>3.0681003977852785E-3</v>
      </c>
      <c r="W19" s="60">
        <f t="shared" si="3"/>
        <v>-3.0151758693974795E-11</v>
      </c>
      <c r="X19" s="67">
        <v>0.99689470230174004</v>
      </c>
      <c r="Y19" s="67">
        <f>_xll.qlYieldTSDiscount(YieldCurve2,S19,TRUE,Trigger)</f>
        <v>0.99689470227126997</v>
      </c>
      <c r="Z19" s="60">
        <f t="shared" si="4"/>
        <v>3.0470070910837421E-11</v>
      </c>
      <c r="AA19" s="42"/>
    </row>
    <row r="20" spans="1:27" x14ac:dyDescent="0.2">
      <c r="A20" s="57" t="str">
        <v>USD18MOIS</v>
      </c>
      <c r="B20" s="58">
        <v>42744</v>
      </c>
      <c r="C20" s="59">
        <v>4.5676249999999996E-3</v>
      </c>
      <c r="D20" s="59">
        <f>Selected!F19</f>
        <v>4.5676249999999996E-3</v>
      </c>
      <c r="E20" s="60">
        <f t="shared" si="0"/>
        <v>0</v>
      </c>
      <c r="F20" s="58">
        <f>Selected!J19</f>
        <v>42744</v>
      </c>
      <c r="G20" s="43"/>
      <c r="H20" s="65" t="s">
        <v>138</v>
      </c>
      <c r="I20" s="58">
        <v>42739</v>
      </c>
      <c r="J20" s="66">
        <f>_xll.qlDayCounterYearFraction($J$2,_xll.qlSettingsEvaluationDate(Trigger),I20,,,Trigger)</f>
        <v>1.4986301369863013</v>
      </c>
      <c r="K20" s="59">
        <v>4.5699296759921203E-3</v>
      </c>
      <c r="L20" s="59">
        <f>_xll.qlYieldTSZeroRate(YieldCurve1,I20,$J$2,,,TRUE,Trigger)</f>
        <v>4.5699296768158901E-3</v>
      </c>
      <c r="M20" s="60">
        <f t="shared" si="1"/>
        <v>-8.2376987176058236E-13</v>
      </c>
      <c r="N20" s="67">
        <v>0.99317476411350603</v>
      </c>
      <c r="O20" s="67">
        <f>_xll.qlYieldTSDiscount(YieldCurve1,I20,TRUE,Trigger)</f>
        <v>0.99317476411228001</v>
      </c>
      <c r="P20" s="60">
        <f t="shared" si="2"/>
        <v>-1.2260192860935604E-12</v>
      </c>
      <c r="Q20" s="68"/>
      <c r="R20" s="65" t="s">
        <v>138</v>
      </c>
      <c r="S20" s="58">
        <v>42744</v>
      </c>
      <c r="T20" s="66">
        <f>_xll.qlDayCounterYearFraction($T$2,_xll.qlSettingsEvaluationDate(Trigger),S20,,,Trigger)</f>
        <v>1.5123287671232877</v>
      </c>
      <c r="U20" s="59">
        <v>4.6123542327253996E-3</v>
      </c>
      <c r="V20" s="59">
        <f>_xll.qlYieldTSZeroRate(YieldCurve2,S20,$T$2,,,TRUE,Trigger)</f>
        <v>4.6123542327253936E-3</v>
      </c>
      <c r="W20" s="60">
        <f t="shared" si="3"/>
        <v>0</v>
      </c>
      <c r="X20" s="67">
        <v>0.99304887561681798</v>
      </c>
      <c r="Y20" s="67">
        <f>_xll.qlYieldTSDiscount(YieldCurve2,S20,TRUE,Trigger)</f>
        <v>0.99304887561681776</v>
      </c>
      <c r="Z20" s="60">
        <f t="shared" si="4"/>
        <v>0</v>
      </c>
      <c r="AA20" s="42"/>
    </row>
    <row r="21" spans="1:27" x14ac:dyDescent="0.2">
      <c r="A21" s="57" t="str">
        <v>USD2YOIS</v>
      </c>
      <c r="B21" s="58">
        <v>42926</v>
      </c>
      <c r="C21" s="59">
        <v>6.2043749999999998E-3</v>
      </c>
      <c r="D21" s="59">
        <f>Selected!F20</f>
        <v>6.2043749999999998E-3</v>
      </c>
      <c r="E21" s="60">
        <f t="shared" si="0"/>
        <v>0</v>
      </c>
      <c r="F21" s="58">
        <f>Selected!J20</f>
        <v>42926</v>
      </c>
      <c r="G21" s="43"/>
      <c r="H21" s="65" t="s">
        <v>138</v>
      </c>
      <c r="I21" s="58">
        <v>42830</v>
      </c>
      <c r="J21" s="66">
        <f>_xll.qlDayCounterYearFraction($J$2,_xll.qlSettingsEvaluationDate(Trigger),I21,,,Trigger)</f>
        <v>1.747945205479452</v>
      </c>
      <c r="K21" s="59">
        <v>5.3944391237458001E-3</v>
      </c>
      <c r="L21" s="59">
        <f>_xll.qlYieldTSZeroRate(YieldCurve1,I21,$J$2,,,TRUE,Trigger)</f>
        <v>5.3944391236987336E-3</v>
      </c>
      <c r="M21" s="60">
        <f t="shared" si="1"/>
        <v>4.706651735020273E-14</v>
      </c>
      <c r="N21" s="67">
        <v>0.99061513135760304</v>
      </c>
      <c r="O21" s="67">
        <f>_xll.qlYieldTSDiscount(YieldCurve1,I21,TRUE,Trigger)</f>
        <v>0.99061513135768431</v>
      </c>
      <c r="P21" s="60">
        <f t="shared" si="2"/>
        <v>8.1268325402561459E-14</v>
      </c>
      <c r="Q21" s="68"/>
      <c r="R21" s="65" t="s">
        <v>138</v>
      </c>
      <c r="S21" s="58">
        <v>42926</v>
      </c>
      <c r="T21" s="66">
        <f>_xll.qlDayCounterYearFraction($T$2,_xll.qlSettingsEvaluationDate(Trigger),S21,,,Trigger)</f>
        <v>2.010958904109589</v>
      </c>
      <c r="U21" s="59">
        <v>6.2674641183733601E-3</v>
      </c>
      <c r="V21" s="59">
        <f>_xll.qlYieldTSZeroRate(YieldCurve2,S21,$T$2,,,TRUE,Trigger)</f>
        <v>6.2674641182764957E-3</v>
      </c>
      <c r="W21" s="60">
        <f t="shared" si="3"/>
        <v>9.6864356813330943E-14</v>
      </c>
      <c r="X21" s="67">
        <v>0.98747548011835495</v>
      </c>
      <c r="Y21" s="67">
        <f>_xll.qlYieldTSDiscount(YieldCurve2,S21,TRUE,Trigger)</f>
        <v>0.98747548011854691</v>
      </c>
      <c r="Z21" s="60">
        <f t="shared" si="4"/>
        <v>-1.9195756095768957E-13</v>
      </c>
      <c r="AA21" s="42"/>
    </row>
    <row r="22" spans="1:27" x14ac:dyDescent="0.2">
      <c r="A22" s="57" t="str">
        <v>USD3FF3L3Y</v>
      </c>
      <c r="B22" s="58">
        <v>43290</v>
      </c>
      <c r="C22" s="59">
        <v>9.3283749999999999E-3</v>
      </c>
      <c r="D22" s="59">
        <f>Selected!F21</f>
        <v>9.3283749999999999E-3</v>
      </c>
      <c r="E22" s="60">
        <f t="shared" si="0"/>
        <v>0</v>
      </c>
      <c r="F22" s="58">
        <f>Selected!J21</f>
        <v>43290</v>
      </c>
      <c r="G22" s="43"/>
      <c r="H22" s="65" t="s">
        <v>138</v>
      </c>
      <c r="I22" s="58">
        <v>42922</v>
      </c>
      <c r="J22" s="66">
        <f>_xll.qlDayCounterYearFraction($J$2,_xll.qlSettingsEvaluationDate(Trigger),I22,,,Trigger)</f>
        <v>2</v>
      </c>
      <c r="K22" s="59">
        <v>6.2310880769303901E-3</v>
      </c>
      <c r="L22" s="59">
        <f>_xll.qlYieldTSZeroRate(YieldCurve1,I22,$J$2,,,TRUE,Trigger)</f>
        <v>6.2310880768360393E-3</v>
      </c>
      <c r="M22" s="60">
        <f t="shared" si="1"/>
        <v>9.4350742496640549E-14</v>
      </c>
      <c r="N22" s="67">
        <v>0.98761515519110299</v>
      </c>
      <c r="O22" s="67">
        <f>_xll.qlYieldTSDiscount(YieldCurve1,I22,TRUE,Trigger)</f>
        <v>0.98761515519128884</v>
      </c>
      <c r="P22" s="60">
        <f t="shared" si="2"/>
        <v>1.858513343222512E-13</v>
      </c>
      <c r="Q22" s="68"/>
      <c r="R22" s="65" t="s">
        <v>138</v>
      </c>
      <c r="S22" s="58">
        <v>43290</v>
      </c>
      <c r="T22" s="66">
        <f>_xll.qlDayCounterYearFraction($T$2,_xll.qlSettingsEvaluationDate(Trigger),S22,,,Trigger)</f>
        <v>3.0082191780821916</v>
      </c>
      <c r="U22" s="59">
        <v>9.4389674246667908E-3</v>
      </c>
      <c r="V22" s="59">
        <f>_xll.qlYieldTSZeroRate(YieldCurve2,S22,$T$2,,,TRUE,Trigger)</f>
        <v>9.4389674245682446E-3</v>
      </c>
      <c r="W22" s="60">
        <f t="shared" si="3"/>
        <v>9.8546171223290457E-14</v>
      </c>
      <c r="X22" s="67">
        <v>0.97200485193821295</v>
      </c>
      <c r="Y22" s="67">
        <f>_xll.qlYieldTSDiscount(YieldCurve2,S22,TRUE,Trigger)</f>
        <v>0.97200485193850139</v>
      </c>
      <c r="Z22" s="60">
        <f t="shared" si="4"/>
        <v>-2.8843594179761567E-13</v>
      </c>
      <c r="AA22" s="42"/>
    </row>
    <row r="23" spans="1:27" x14ac:dyDescent="0.2">
      <c r="A23" s="57" t="str">
        <v>USD3FF3L4Y</v>
      </c>
      <c r="B23" s="58">
        <v>43655</v>
      </c>
      <c r="C23" s="59">
        <v>1.2035000000000001E-2</v>
      </c>
      <c r="D23" s="59">
        <f>Selected!F22</f>
        <v>1.2035000000000001E-2</v>
      </c>
      <c r="E23" s="60">
        <f t="shared" si="0"/>
        <v>0</v>
      </c>
      <c r="F23" s="58">
        <f>Selected!J22</f>
        <v>43655</v>
      </c>
      <c r="G23" s="43"/>
      <c r="H23" s="65" t="s">
        <v>138</v>
      </c>
      <c r="I23" s="58">
        <v>43287</v>
      </c>
      <c r="J23" s="66">
        <f>_xll.qlDayCounterYearFraction($J$2,_xll.qlSettingsEvaluationDate(Trigger),I23,,,Trigger)</f>
        <v>3</v>
      </c>
      <c r="K23" s="59">
        <v>9.4128286611533402E-3</v>
      </c>
      <c r="L23" s="59">
        <f>_xll.qlYieldTSZeroRate(YieldCurve1,I23,$J$2,,,TRUE,Trigger)</f>
        <v>9.4128286610724813E-3</v>
      </c>
      <c r="M23" s="60">
        <f t="shared" si="1"/>
        <v>8.0858930662230932E-14</v>
      </c>
      <c r="N23" s="67">
        <v>0.97215649345565602</v>
      </c>
      <c r="O23" s="67">
        <f>_xll.qlYieldTSDiscount(YieldCurve1,I23,TRUE,Trigger)</f>
        <v>0.9721564934558915</v>
      </c>
      <c r="P23" s="60">
        <f t="shared" si="2"/>
        <v>2.354783035229957E-13</v>
      </c>
      <c r="Q23" s="68"/>
      <c r="R23" s="65" t="s">
        <v>138</v>
      </c>
      <c r="S23" s="58">
        <v>43655</v>
      </c>
      <c r="T23" s="66">
        <f>_xll.qlDayCounterYearFraction($T$2,_xll.qlSettingsEvaluationDate(Trigger),S23,,,Trigger)</f>
        <v>4.0082191780821921</v>
      </c>
      <c r="U23" s="59">
        <v>1.2203040202180901E-2</v>
      </c>
      <c r="V23" s="59">
        <f>_xll.qlYieldTSZeroRate(YieldCurve2,S23,$T$2,,,TRUE,Trigger)</f>
        <v>1.220304020208509E-2</v>
      </c>
      <c r="W23" s="60">
        <f t="shared" si="3"/>
        <v>9.5810512301675033E-14</v>
      </c>
      <c r="X23" s="67">
        <v>0.95226448750280401</v>
      </c>
      <c r="Y23" s="67">
        <f>_xll.qlYieldTSDiscount(YieldCurve2,S23,TRUE,Trigger)</f>
        <v>0.95226448750317005</v>
      </c>
      <c r="Z23" s="60">
        <f t="shared" si="4"/>
        <v>-3.6604053121891411E-13</v>
      </c>
      <c r="AA23" s="42"/>
    </row>
    <row r="24" spans="1:27" x14ac:dyDescent="0.2">
      <c r="A24" s="57" t="str">
        <v>USD3FF3L5Y</v>
      </c>
      <c r="B24" s="58">
        <v>44021</v>
      </c>
      <c r="C24" s="59">
        <v>1.43225E-2</v>
      </c>
      <c r="D24" s="59">
        <f>Selected!F23</f>
        <v>1.43225E-2</v>
      </c>
      <c r="E24" s="60">
        <f t="shared" si="0"/>
        <v>0</v>
      </c>
      <c r="F24" s="58">
        <f>Selected!J23</f>
        <v>44021</v>
      </c>
      <c r="G24" s="43"/>
      <c r="H24" s="65" t="s">
        <v>138</v>
      </c>
      <c r="I24" s="58">
        <v>43652</v>
      </c>
      <c r="J24" s="66">
        <f>_xll.qlDayCounterYearFraction($J$2,_xll.qlSettingsEvaluationDate(Trigger),I24,,,Trigger)</f>
        <v>4</v>
      </c>
      <c r="K24" s="59">
        <v>1.21803217957904E-2</v>
      </c>
      <c r="L24" s="59">
        <f>_xll.qlYieldTSZeroRate(YieldCurve1,I24,$J$2,,,TRUE,Trigger)</f>
        <v>1.218032179545935E-2</v>
      </c>
      <c r="M24" s="60">
        <f t="shared" si="1"/>
        <v>3.3104942398498594E-13</v>
      </c>
      <c r="N24" s="67">
        <v>0.95244655176985205</v>
      </c>
      <c r="O24" s="67">
        <f>_xll.qlYieldTSDiscount(YieldCurve1,I24,TRUE,Trigger)</f>
        <v>0.95244655177111304</v>
      </c>
      <c r="P24" s="60">
        <f t="shared" si="2"/>
        <v>1.2609913113692528E-12</v>
      </c>
      <c r="Q24" s="68"/>
      <c r="R24" s="65" t="s">
        <v>138</v>
      </c>
      <c r="S24" s="58">
        <v>44021</v>
      </c>
      <c r="T24" s="66">
        <f>_xll.qlDayCounterYearFraction($T$2,_xll.qlSettingsEvaluationDate(Trigger),S24,,,Trigger)</f>
        <v>5.0109589041095894</v>
      </c>
      <c r="U24" s="59">
        <v>1.45562633500106E-2</v>
      </c>
      <c r="V24" s="59">
        <f>_xll.qlYieldTSZeroRate(YieldCurve2,S24,$T$2,,,TRUE,Trigger)</f>
        <v>1.4556263349919477E-2</v>
      </c>
      <c r="W24" s="60">
        <f t="shared" si="3"/>
        <v>9.11232894695857E-14</v>
      </c>
      <c r="X24" s="67">
        <v>0.92965582921360801</v>
      </c>
      <c r="Y24" s="67">
        <f>_xll.qlYieldTSDiscount(YieldCurve2,S24,TRUE,Trigger)</f>
        <v>0.92965582921403278</v>
      </c>
      <c r="Z24" s="60">
        <f t="shared" si="4"/>
        <v>-4.2477132922158489E-13</v>
      </c>
      <c r="AA24" s="42"/>
    </row>
    <row r="25" spans="1:27" x14ac:dyDescent="0.2">
      <c r="A25" s="57" t="str">
        <v>USD3FF3L6Y</v>
      </c>
      <c r="B25" s="58">
        <v>44386</v>
      </c>
      <c r="C25" s="59">
        <v>1.6249699999999999E-2</v>
      </c>
      <c r="D25" s="59">
        <f>Selected!F24</f>
        <v>1.6249699999999999E-2</v>
      </c>
      <c r="E25" s="60">
        <f t="shared" si="0"/>
        <v>0</v>
      </c>
      <c r="F25" s="58">
        <f>Selected!J24</f>
        <v>44386</v>
      </c>
      <c r="G25" s="43"/>
      <c r="H25" s="65" t="s">
        <v>138</v>
      </c>
      <c r="I25" s="58">
        <v>44017</v>
      </c>
      <c r="J25" s="66">
        <f>_xll.qlDayCounterYearFraction($J$2,_xll.qlSettingsEvaluationDate(Trigger),I25,,,Trigger)</f>
        <v>5</v>
      </c>
      <c r="K25" s="59">
        <v>1.4530545064241999E-2</v>
      </c>
      <c r="L25" s="59">
        <f>_xll.qlYieldTSZeroRate(YieldCurve1,I25,$J$2,,,TRUE,Trigger)</f>
        <v>1.4530545064166359E-2</v>
      </c>
      <c r="M25" s="60">
        <f t="shared" si="1"/>
        <v>7.5640882446492697E-14</v>
      </c>
      <c r="N25" s="67">
        <v>0.92992371291672404</v>
      </c>
      <c r="O25" s="67">
        <f>_xll.qlYieldTSDiscount(YieldCurve1,I25,TRUE,Trigger)</f>
        <v>0.92992371291707576</v>
      </c>
      <c r="P25" s="60">
        <f t="shared" si="2"/>
        <v>3.5171865420124959E-13</v>
      </c>
      <c r="Q25" s="68"/>
      <c r="R25" s="65" t="s">
        <v>138</v>
      </c>
      <c r="S25" s="58">
        <v>44386</v>
      </c>
      <c r="T25" s="66">
        <f>_xll.qlDayCounterYearFraction($T$2,_xll.qlSettingsEvaluationDate(Trigger),S25,,,Trigger)</f>
        <v>6.0109589041095894</v>
      </c>
      <c r="U25" s="59">
        <v>1.6555538378481401E-2</v>
      </c>
      <c r="V25" s="59">
        <f>_xll.qlYieldTSZeroRate(YieldCurve2,S25,$T$2,,,TRUE,Trigger)</f>
        <v>1.655553837839337E-2</v>
      </c>
      <c r="W25" s="60">
        <f t="shared" si="3"/>
        <v>8.8030277511919053E-14</v>
      </c>
      <c r="X25" s="67">
        <v>0.90527667766513698</v>
      </c>
      <c r="Y25" s="67">
        <f>_xll.qlYieldTSDiscount(YieldCurve2,S25,TRUE,Trigger)</f>
        <v>0.9052766776656157</v>
      </c>
      <c r="Z25" s="60">
        <f t="shared" si="4"/>
        <v>-4.787281682183675E-13</v>
      </c>
      <c r="AA25" s="42"/>
    </row>
    <row r="26" spans="1:27" x14ac:dyDescent="0.2">
      <c r="A26" s="57" t="str">
        <v>USD3FF3L7Y</v>
      </c>
      <c r="B26" s="58">
        <v>44753</v>
      </c>
      <c r="C26" s="59">
        <v>1.7824E-2</v>
      </c>
      <c r="D26" s="59">
        <f>Selected!F25</f>
        <v>1.7824E-2</v>
      </c>
      <c r="E26" s="60">
        <f t="shared" si="0"/>
        <v>0</v>
      </c>
      <c r="F26" s="58">
        <f>Selected!J25</f>
        <v>44753</v>
      </c>
      <c r="G26" s="43"/>
      <c r="H26" s="65" t="s">
        <v>138</v>
      </c>
      <c r="I26" s="58">
        <v>44382</v>
      </c>
      <c r="J26" s="66">
        <f>_xll.qlDayCounterYearFraction($J$2,_xll.qlSettingsEvaluationDate(Trigger),I26,,,Trigger)</f>
        <v>6</v>
      </c>
      <c r="K26" s="59">
        <v>1.6533628515155701E-2</v>
      </c>
      <c r="L26" s="59">
        <f>_xll.qlYieldTSZeroRate(YieldCurve1,I26,$J$2,,,TRUE,Trigger)</f>
        <v>1.6533628515178839E-2</v>
      </c>
      <c r="M26" s="60">
        <f t="shared" si="1"/>
        <v>-2.3137741722578653E-14</v>
      </c>
      <c r="N26" s="67">
        <v>0.90555997376510999</v>
      </c>
      <c r="O26" s="67">
        <f>_xll.qlYieldTSDiscount(YieldCurve1,I26,TRUE,Trigger)</f>
        <v>0.90555997376498454</v>
      </c>
      <c r="P26" s="60">
        <f t="shared" si="2"/>
        <v>-1.2545520178264269E-13</v>
      </c>
      <c r="Q26" s="68"/>
      <c r="R26" s="65" t="s">
        <v>138</v>
      </c>
      <c r="S26" s="58">
        <v>44753</v>
      </c>
      <c r="T26" s="66">
        <f>_xll.qlDayCounterYearFraction($T$2,_xll.qlSettingsEvaluationDate(Trigger),S26,,,Trigger)</f>
        <v>7.0164383561643833</v>
      </c>
      <c r="U26" s="59">
        <v>1.8201580925952501E-2</v>
      </c>
      <c r="V26" s="59">
        <f>_xll.qlYieldTSZeroRate(YieldCurve2,S26,$T$2,,,TRUE,Trigger)</f>
        <v>1.8201580925868838E-2</v>
      </c>
      <c r="W26" s="60">
        <f t="shared" si="3"/>
        <v>8.3662243799409453E-14</v>
      </c>
      <c r="X26" s="67">
        <v>0.88010833551118395</v>
      </c>
      <c r="Y26" s="67">
        <f>_xll.qlYieldTSDiscount(YieldCurve2,S26,TRUE,Trigger)</f>
        <v>0.88010833551169998</v>
      </c>
      <c r="Z26" s="60">
        <f t="shared" si="4"/>
        <v>-5.1603166184577276E-13</v>
      </c>
      <c r="AA26" s="42"/>
    </row>
    <row r="27" spans="1:27" x14ac:dyDescent="0.2">
      <c r="A27" s="57" t="str">
        <v>USD3FF3L8Y</v>
      </c>
      <c r="B27" s="58">
        <v>45117</v>
      </c>
      <c r="C27" s="59">
        <v>1.9099674300000001E-2</v>
      </c>
      <c r="D27" s="59">
        <f>Selected!F26</f>
        <v>1.9099674300000001E-2</v>
      </c>
      <c r="E27" s="60">
        <f t="shared" si="0"/>
        <v>0</v>
      </c>
      <c r="F27" s="58">
        <f>Selected!J26</f>
        <v>45117</v>
      </c>
      <c r="G27" s="43"/>
      <c r="H27" s="65" t="s">
        <v>138</v>
      </c>
      <c r="I27" s="58">
        <v>44747</v>
      </c>
      <c r="J27" s="66">
        <f>_xll.qlDayCounterYearFraction($J$2,_xll.qlSettingsEvaluationDate(Trigger),I27,,,Trigger)</f>
        <v>7</v>
      </c>
      <c r="K27" s="59">
        <v>1.8174670148609601E-2</v>
      </c>
      <c r="L27" s="59">
        <f>_xll.qlYieldTSZeroRate(YieldCurve1,I27,$J$2,,,TRUE,Trigger)</f>
        <v>1.8174670148528676E-2</v>
      </c>
      <c r="M27" s="60">
        <f t="shared" si="1"/>
        <v>8.0924850154318051E-14</v>
      </c>
      <c r="N27" s="67">
        <v>0.88053756293615104</v>
      </c>
      <c r="O27" s="67">
        <f>_xll.qlYieldTSDiscount(YieldCurve1,I27,TRUE,Trigger)</f>
        <v>0.88053756293664931</v>
      </c>
      <c r="P27" s="60">
        <f t="shared" si="2"/>
        <v>4.9826809345177026E-13</v>
      </c>
      <c r="Q27" s="68"/>
      <c r="R27" s="65" t="s">
        <v>138</v>
      </c>
      <c r="S27" s="58">
        <v>45117</v>
      </c>
      <c r="T27" s="66">
        <f>_xll.qlDayCounterYearFraction($T$2,_xll.qlSettingsEvaluationDate(Trigger),S27,,,Trigger)</f>
        <v>8.0136986301369859</v>
      </c>
      <c r="U27" s="59">
        <v>1.9545895528931E-2</v>
      </c>
      <c r="V27" s="59">
        <f>_xll.qlYieldTSZeroRate(YieldCurve2,S27,$T$2,,,TRUE,Trigger)</f>
        <v>1.9545895561456056E-2</v>
      </c>
      <c r="W27" s="60">
        <f t="shared" si="3"/>
        <v>-3.2525055565502115E-11</v>
      </c>
      <c r="X27" s="67">
        <v>0.855016154369035</v>
      </c>
      <c r="Y27" s="67">
        <f>_xll.qlYieldTSDiscount(YieldCurve2,S27,TRUE,Trigger)</f>
        <v>0.85501615414617826</v>
      </c>
      <c r="Z27" s="60">
        <f t="shared" si="4"/>
        <v>2.2285673306754461E-10</v>
      </c>
      <c r="AA27" s="42"/>
    </row>
    <row r="28" spans="1:27" x14ac:dyDescent="0.2">
      <c r="A28" s="57" t="str">
        <v>USD3FF3L9Y</v>
      </c>
      <c r="B28" s="58">
        <v>45482</v>
      </c>
      <c r="C28" s="59">
        <v>2.0153425700000002E-2</v>
      </c>
      <c r="D28" s="59">
        <f>Selected!F27</f>
        <v>2.0153425700000002E-2</v>
      </c>
      <c r="E28" s="60">
        <f t="shared" si="0"/>
        <v>0</v>
      </c>
      <c r="F28" s="58">
        <f>Selected!J27</f>
        <v>45482</v>
      </c>
      <c r="G28" s="43"/>
      <c r="H28" s="65" t="s">
        <v>138</v>
      </c>
      <c r="I28" s="58">
        <v>45112</v>
      </c>
      <c r="J28" s="66">
        <f>_xll.qlDayCounterYearFraction($J$2,_xll.qlSettingsEvaluationDate(Trigger),I28,,,Trigger)</f>
        <v>8</v>
      </c>
      <c r="K28" s="59">
        <v>1.95274296689999E-2</v>
      </c>
      <c r="L28" s="59">
        <f>_xll.qlYieldTSZeroRate(YieldCurve1,I28,$J$2,,,TRUE,Trigger)</f>
        <v>1.9527429701078507E-2</v>
      </c>
      <c r="M28" s="60">
        <f t="shared" si="1"/>
        <v>-3.2078607131724723E-11</v>
      </c>
      <c r="N28" s="67">
        <v>0.85537146932506203</v>
      </c>
      <c r="O28" s="67">
        <f>_xll.qlYieldTSDiscount(YieldCurve1,I28,TRUE,Trigger)</f>
        <v>0.85537146910554984</v>
      </c>
      <c r="P28" s="60">
        <f t="shared" si="2"/>
        <v>-2.1951218620586133E-10</v>
      </c>
      <c r="Q28" s="68"/>
      <c r="R28" s="65" t="s">
        <v>138</v>
      </c>
      <c r="S28" s="58">
        <v>45482</v>
      </c>
      <c r="T28" s="66">
        <f>_xll.qlDayCounterYearFraction($T$2,_xll.qlSettingsEvaluationDate(Trigger),S28,,,Trigger)</f>
        <v>9.0136986301369859</v>
      </c>
      <c r="U28" s="59">
        <v>2.0664231146648299E-2</v>
      </c>
      <c r="V28" s="59">
        <f>_xll.qlYieldTSZeroRate(YieldCurve2,S28,$T$2,,,TRUE,Trigger)</f>
        <v>2.0664231112844489E-2</v>
      </c>
      <c r="W28" s="60">
        <f t="shared" si="3"/>
        <v>3.380381044526537E-11</v>
      </c>
      <c r="X28" s="67">
        <v>0.830056795699191</v>
      </c>
      <c r="Y28" s="67">
        <f>_xll.qlYieldTSDiscount(YieldCurve2,S28,TRUE,Trigger)</f>
        <v>0.83005679595210724</v>
      </c>
      <c r="Z28" s="60">
        <f t="shared" si="4"/>
        <v>-2.5291624350387565E-10</v>
      </c>
      <c r="AA28" s="42"/>
    </row>
    <row r="29" spans="1:27" x14ac:dyDescent="0.2">
      <c r="A29" s="57" t="str">
        <v>USD3FF3L10Y</v>
      </c>
      <c r="B29" s="58">
        <v>45847</v>
      </c>
      <c r="C29" s="59">
        <v>2.1037E-2</v>
      </c>
      <c r="D29" s="59">
        <f>Selected!F28</f>
        <v>2.1037E-2</v>
      </c>
      <c r="E29" s="60">
        <f t="shared" si="0"/>
        <v>0</v>
      </c>
      <c r="F29" s="58">
        <f>Selected!J28</f>
        <v>45847</v>
      </c>
      <c r="G29" s="43"/>
      <c r="H29" s="65" t="s">
        <v>138</v>
      </c>
      <c r="I29" s="58">
        <v>45477</v>
      </c>
      <c r="J29" s="66">
        <f>_xll.qlDayCounterYearFraction($J$2,_xll.qlSettingsEvaluationDate(Trigger),I29,,,Trigger)</f>
        <v>9</v>
      </c>
      <c r="K29" s="59">
        <v>2.0648911480652201E-2</v>
      </c>
      <c r="L29" s="59">
        <f>_xll.qlYieldTSZeroRate(YieldCurve1,I29,$J$2,,,TRUE,Trigger)</f>
        <v>2.0648911447757538E-2</v>
      </c>
      <c r="M29" s="60">
        <f t="shared" si="1"/>
        <v>3.2894662688187637E-11</v>
      </c>
      <c r="N29" s="67">
        <v>0.83040628054210197</v>
      </c>
      <c r="O29" s="67">
        <f>_xll.qlYieldTSDiscount(YieldCurve1,I29,TRUE,Trigger)</f>
        <v>0.83040628078794565</v>
      </c>
      <c r="P29" s="60">
        <f t="shared" si="2"/>
        <v>2.4584367874780355E-10</v>
      </c>
      <c r="Q29" s="68"/>
      <c r="R29" s="65" t="s">
        <v>138</v>
      </c>
      <c r="S29" s="58">
        <v>45847</v>
      </c>
      <c r="T29" s="66">
        <f>_xll.qlDayCounterYearFraction($T$2,_xll.qlSettingsEvaluationDate(Trigger),S29,,,Trigger)</f>
        <v>10.013698630136986</v>
      </c>
      <c r="U29" s="59">
        <v>2.16086335413209E-2</v>
      </c>
      <c r="V29" s="59">
        <f>_xll.qlYieldTSZeroRate(YieldCurve2,S29,$T$2,,,TRUE,Trigger)</f>
        <v>2.160863354132701E-2</v>
      </c>
      <c r="W29" s="60">
        <f t="shared" si="3"/>
        <v>-6.1096960823903146E-15</v>
      </c>
      <c r="X29" s="67">
        <v>0.80542729262771795</v>
      </c>
      <c r="Y29" s="67">
        <f>_xll.qlYieldTSDiscount(YieldCurve2,S29,TRUE,Trigger)</f>
        <v>0.80542729262766821</v>
      </c>
      <c r="Z29" s="60">
        <f t="shared" si="4"/>
        <v>4.9737991503207013E-14</v>
      </c>
      <c r="AA29" s="42"/>
    </row>
    <row r="30" spans="1:27" x14ac:dyDescent="0.2">
      <c r="A30" s="57" t="str">
        <v>USD3FF3L12Y</v>
      </c>
      <c r="B30" s="58">
        <v>46577</v>
      </c>
      <c r="C30" s="59">
        <v>2.2411250000000001E-2</v>
      </c>
      <c r="D30" s="59">
        <f>Selected!F29</f>
        <v>2.2411250000000001E-2</v>
      </c>
      <c r="E30" s="60">
        <f t="shared" si="0"/>
        <v>0</v>
      </c>
      <c r="F30" s="58">
        <f>Selected!J29</f>
        <v>46577</v>
      </c>
      <c r="G30" s="43"/>
      <c r="H30" s="65" t="s">
        <v>138</v>
      </c>
      <c r="I30" s="58">
        <v>45842</v>
      </c>
      <c r="J30" s="66">
        <f>_xll.qlDayCounterYearFraction($J$2,_xll.qlSettingsEvaluationDate(Trigger),I30,,,Trigger)</f>
        <v>10</v>
      </c>
      <c r="K30" s="59">
        <v>2.1595696522215799E-2</v>
      </c>
      <c r="L30" s="59">
        <f>_xll.qlYieldTSZeroRate(YieldCurve1,I30,$J$2,,,TRUE,Trigger)</f>
        <v>2.1595696521759015E-2</v>
      </c>
      <c r="M30" s="60">
        <f t="shared" si="1"/>
        <v>4.5678391624726089E-13</v>
      </c>
      <c r="N30" s="67">
        <v>0.80576997725931399</v>
      </c>
      <c r="O30" s="67">
        <f>_xll.qlYieldTSDiscount(YieldCurve1,I30,TRUE,Trigger)</f>
        <v>0.80576997726299437</v>
      </c>
      <c r="P30" s="60">
        <f t="shared" si="2"/>
        <v>3.6803893266323939E-12</v>
      </c>
      <c r="Q30" s="68"/>
      <c r="R30" s="65" t="s">
        <v>138</v>
      </c>
      <c r="S30" s="58">
        <v>46577</v>
      </c>
      <c r="T30" s="66">
        <f>_xll.qlDayCounterYearFraction($T$2,_xll.qlSettingsEvaluationDate(Trigger),S30,,,Trigger)</f>
        <v>12.013698630136986</v>
      </c>
      <c r="U30" s="59">
        <v>2.30907073110279E-2</v>
      </c>
      <c r="V30" s="59">
        <f>_xll.qlYieldTSZeroRate(YieldCurve2,S30,$T$2,,,TRUE,Trigger)</f>
        <v>2.3090707310799569E-2</v>
      </c>
      <c r="W30" s="60">
        <f t="shared" si="3"/>
        <v>2.2833124280197126E-13</v>
      </c>
      <c r="X30" s="67">
        <v>0.75774769966607702</v>
      </c>
      <c r="Y30" s="67">
        <f>_xll.qlYieldTSDiscount(YieldCurve2,S30,TRUE,Trigger)</f>
        <v>0.75774769966815558</v>
      </c>
      <c r="Z30" s="60">
        <f t="shared" si="4"/>
        <v>-2.0785595467032181E-12</v>
      </c>
      <c r="AA30" s="42"/>
    </row>
    <row r="31" spans="1:27" x14ac:dyDescent="0.2">
      <c r="A31" s="57" t="str">
        <v>USD3FF3L15Y</v>
      </c>
      <c r="B31" s="58">
        <v>47673</v>
      </c>
      <c r="C31" s="59">
        <v>2.3694125E-2</v>
      </c>
      <c r="D31" s="59">
        <f>Selected!F30</f>
        <v>2.3694125E-2</v>
      </c>
      <c r="E31" s="60">
        <f t="shared" si="0"/>
        <v>0</v>
      </c>
      <c r="F31" s="58">
        <f>Selected!J30</f>
        <v>47673</v>
      </c>
      <c r="G31" s="43"/>
      <c r="H31" s="65" t="s">
        <v>138</v>
      </c>
      <c r="I31" s="58">
        <v>46572</v>
      </c>
      <c r="J31" s="66">
        <f>_xll.qlDayCounterYearFraction($J$2,_xll.qlSettingsEvaluationDate(Trigger),I31,,,Trigger)</f>
        <v>12</v>
      </c>
      <c r="K31" s="59">
        <v>2.3081921899579701E-2</v>
      </c>
      <c r="L31" s="59">
        <f>_xll.qlYieldTSZeroRate(YieldCurve1,I31,$J$2,,,TRUE,Trigger)</f>
        <v>2.3081921899585248E-2</v>
      </c>
      <c r="M31" s="60">
        <f t="shared" si="1"/>
        <v>-5.5476456761738291E-15</v>
      </c>
      <c r="N31" s="67">
        <v>0.75806733654369196</v>
      </c>
      <c r="O31" s="67">
        <f>_xll.qlYieldTSDiscount(YieldCurve1,I31,TRUE,Trigger)</f>
        <v>0.75806733654364133</v>
      </c>
      <c r="P31" s="60">
        <f t="shared" si="2"/>
        <v>-5.0626169922907138E-14</v>
      </c>
      <c r="Q31" s="68"/>
      <c r="R31" s="65" t="s">
        <v>138</v>
      </c>
      <c r="S31" s="58">
        <v>47673</v>
      </c>
      <c r="T31" s="66">
        <f>_xll.qlDayCounterYearFraction($T$2,_xll.qlSettingsEvaluationDate(Trigger),S31,,,Trigger)</f>
        <v>15.016438356164384</v>
      </c>
      <c r="U31" s="59">
        <v>2.4479213567840399E-2</v>
      </c>
      <c r="V31" s="59">
        <f>_xll.qlYieldTSZeroRate(YieldCurve2,S31,$T$2,,,TRUE,Trigger)</f>
        <v>2.4479213567861095E-2</v>
      </c>
      <c r="W31" s="60">
        <f t="shared" si="3"/>
        <v>-2.0695251068403309E-14</v>
      </c>
      <c r="X31" s="67">
        <v>0.69240059140071297</v>
      </c>
      <c r="Y31" s="67">
        <f>_xll.qlYieldTSDiscount(YieldCurve2,S31,TRUE,Trigger)</f>
        <v>0.69240059140049737</v>
      </c>
      <c r="Z31" s="60">
        <f t="shared" si="4"/>
        <v>2.156053113822054E-13</v>
      </c>
      <c r="AA31" s="42"/>
    </row>
    <row r="32" spans="1:27" x14ac:dyDescent="0.2">
      <c r="A32" s="57" t="str">
        <v>USD3FF3L20Y</v>
      </c>
      <c r="B32" s="58">
        <v>49499</v>
      </c>
      <c r="C32" s="59">
        <v>2.48963E-2</v>
      </c>
      <c r="D32" s="59">
        <f>Selected!F31</f>
        <v>2.48963E-2</v>
      </c>
      <c r="E32" s="60">
        <f t="shared" si="0"/>
        <v>0</v>
      </c>
      <c r="F32" s="58">
        <f>Selected!J31</f>
        <v>49499</v>
      </c>
      <c r="G32" s="43"/>
      <c r="H32" s="65" t="s">
        <v>138</v>
      </c>
      <c r="I32" s="58">
        <v>47667</v>
      </c>
      <c r="J32" s="66">
        <f>_xll.qlDayCounterYearFraction($J$2,_xll.qlSettingsEvaluationDate(Trigger),I32,,,Trigger)</f>
        <v>15</v>
      </c>
      <c r="K32" s="59">
        <v>2.4476299448659498E-2</v>
      </c>
      <c r="L32" s="59">
        <f>_xll.qlYieldTSZeroRate(YieldCurve1,I32,$J$2,,,TRUE,Trigger)</f>
        <v>2.4476299448665896E-2</v>
      </c>
      <c r="M32" s="60">
        <f t="shared" si="1"/>
        <v>-6.3976601794024646E-15</v>
      </c>
      <c r="N32" s="67">
        <v>0.69270954701213705</v>
      </c>
      <c r="O32" s="67">
        <f>_xll.qlYieldTSDiscount(YieldCurve1,I32,TRUE,Trigger)</f>
        <v>0.69270954701206966</v>
      </c>
      <c r="P32" s="60">
        <f t="shared" si="2"/>
        <v>-6.7390537594747002E-14</v>
      </c>
      <c r="Q32" s="43"/>
      <c r="R32" s="65" t="s">
        <v>138</v>
      </c>
      <c r="S32" s="58">
        <v>49499</v>
      </c>
      <c r="T32" s="66">
        <f>_xll.qlDayCounterYearFraction($T$2,_xll.qlSettingsEvaluationDate(Trigger),S32,,,Trigger)</f>
        <v>20.019178082191782</v>
      </c>
      <c r="U32" s="59">
        <v>2.5786572135070001E-2</v>
      </c>
      <c r="V32" s="59">
        <f>_xll.qlYieldTSZeroRate(YieldCurve2,S32,$T$2,,,TRUE,Trigger)</f>
        <v>2.5786572134883359E-2</v>
      </c>
      <c r="W32" s="60">
        <f t="shared" si="3"/>
        <v>1.8664236822729663E-13</v>
      </c>
      <c r="X32" s="67">
        <v>0.59676851986383805</v>
      </c>
      <c r="Y32" s="67">
        <f>_xll.qlYieldTSDiscount(YieldCurve2,S32,TRUE,Trigger)</f>
        <v>0.59676851986606838</v>
      </c>
      <c r="Z32" s="60">
        <f t="shared" si="4"/>
        <v>-2.230327034169477E-12</v>
      </c>
      <c r="AA32" s="42"/>
    </row>
    <row r="33" spans="1:27" x14ac:dyDescent="0.2">
      <c r="A33" s="57" t="str">
        <v>USD3FF3L25Y</v>
      </c>
      <c r="B33" s="58">
        <v>51326</v>
      </c>
      <c r="C33" s="59">
        <v>2.5461125000000001E-2</v>
      </c>
      <c r="D33" s="59">
        <f>Selected!F32</f>
        <v>2.5461125000000001E-2</v>
      </c>
      <c r="E33" s="60">
        <f t="shared" si="0"/>
        <v>0</v>
      </c>
      <c r="F33" s="58">
        <f>Selected!J32</f>
        <v>51326</v>
      </c>
      <c r="G33" s="43"/>
      <c r="H33" s="65" t="s">
        <v>138</v>
      </c>
      <c r="I33" s="58">
        <v>49492</v>
      </c>
      <c r="J33" s="66">
        <f>_xll.qlDayCounterYearFraction($J$2,_xll.qlSettingsEvaluationDate(Trigger),I33,,,Trigger)</f>
        <v>20</v>
      </c>
      <c r="K33" s="59">
        <v>2.5793600041356099E-2</v>
      </c>
      <c r="L33" s="59">
        <f>_xll.qlYieldTSZeroRate(YieldCurve1,I33,$J$2,,,TRUE,Trigger)</f>
        <v>2.5793600041386044E-2</v>
      </c>
      <c r="M33" s="60">
        <f t="shared" si="1"/>
        <v>-2.9944796642311644E-14</v>
      </c>
      <c r="N33" s="67">
        <v>0.59697980070488699</v>
      </c>
      <c r="O33" s="67">
        <f>_xll.qlYieldTSDiscount(YieldCurve1,I33,TRUE,Trigger)</f>
        <v>0.59697980070452894</v>
      </c>
      <c r="P33" s="60">
        <f t="shared" si="2"/>
        <v>-3.5804692544161298E-13</v>
      </c>
      <c r="Q33" s="43"/>
      <c r="R33" s="65" t="s">
        <v>138</v>
      </c>
      <c r="S33" s="58">
        <v>51326</v>
      </c>
      <c r="T33" s="66">
        <f>_xll.qlDayCounterYearFraction($T$2,_xll.qlSettingsEvaluationDate(Trigger),S33,,,Trigger)</f>
        <v>25.024657534246575</v>
      </c>
      <c r="U33" s="59">
        <v>2.6374349604619499E-2</v>
      </c>
      <c r="V33" s="59">
        <f>_xll.qlYieldTSZeroRate(YieldCurve2,S33,$T$2,,,TRUE,Trigger)</f>
        <v>2.6374349604566288E-2</v>
      </c>
      <c r="W33" s="60">
        <f t="shared" si="3"/>
        <v>5.3210907902112581E-14</v>
      </c>
      <c r="X33" s="67">
        <v>0.51684664845752804</v>
      </c>
      <c r="Y33" s="67">
        <f>_xll.qlYieldTSDiscount(YieldCurve2,S33,TRUE,Trigger)</f>
        <v>0.51684664845821604</v>
      </c>
      <c r="Z33" s="60">
        <f t="shared" si="4"/>
        <v>-6.8800520836020951E-13</v>
      </c>
      <c r="AA33" s="42"/>
    </row>
    <row r="34" spans="1:27" x14ac:dyDescent="0.2">
      <c r="A34" s="57" t="str">
        <v>USD3FF3L30Y</v>
      </c>
      <c r="B34" s="58">
        <v>53153</v>
      </c>
      <c r="C34" s="59">
        <v>2.57878E-2</v>
      </c>
      <c r="D34" s="59">
        <f>Selected!F33</f>
        <v>2.57878E-2</v>
      </c>
      <c r="E34" s="60">
        <f t="shared" si="0"/>
        <v>0</v>
      </c>
      <c r="F34" s="58">
        <f>Selected!J33</f>
        <v>53153</v>
      </c>
      <c r="G34" s="43"/>
      <c r="H34" s="65" t="s">
        <v>138</v>
      </c>
      <c r="I34" s="58">
        <v>51317</v>
      </c>
      <c r="J34" s="66">
        <f>_xll.qlDayCounterYearFraction($J$2,_xll.qlSettingsEvaluationDate(Trigger),I34,,,Trigger)</f>
        <v>25</v>
      </c>
      <c r="K34" s="59">
        <v>2.6385537452221199E-2</v>
      </c>
      <c r="L34" s="59">
        <f>_xll.qlYieldTSZeroRate(YieldCurve1,I34,$J$2,,,TRUE,Trigger)</f>
        <v>2.6385537452259328E-2</v>
      </c>
      <c r="M34" s="60">
        <f t="shared" si="1"/>
        <v>-3.812922200197022E-14</v>
      </c>
      <c r="N34" s="67">
        <v>0.51703824295731204</v>
      </c>
      <c r="O34" s="67">
        <f>_xll.qlYieldTSDiscount(YieldCurve1,I34,TRUE,Trigger)</f>
        <v>0.51703824295681844</v>
      </c>
      <c r="P34" s="60">
        <f t="shared" si="2"/>
        <v>-4.936051567483446E-13</v>
      </c>
      <c r="Q34" s="43"/>
      <c r="R34" s="65" t="s">
        <v>138</v>
      </c>
      <c r="S34" s="58">
        <v>53153</v>
      </c>
      <c r="T34" s="66">
        <f>_xll.qlDayCounterYearFraction($T$2,_xll.qlSettingsEvaluationDate(Trigger),S34,,,Trigger)</f>
        <v>30.030136986301368</v>
      </c>
      <c r="U34" s="59">
        <v>2.6702582671741401E-2</v>
      </c>
      <c r="V34" s="59">
        <f>_xll.qlYieldTSZeroRate(YieldCurve2,S34,$T$2,,,TRUE,Trigger)</f>
        <v>2.6702582671678719E-2</v>
      </c>
      <c r="W34" s="60">
        <f t="shared" si="3"/>
        <v>6.2682498080945948E-14</v>
      </c>
      <c r="X34" s="67">
        <v>0.44848402559483103</v>
      </c>
      <c r="Y34" s="67">
        <f>_xll.qlYieldTSDiscount(YieldCurve2,S34,TRUE,Trigger)</f>
        <v>0.44848402559567474</v>
      </c>
      <c r="Z34" s="60">
        <f t="shared" si="4"/>
        <v>-8.4371398756388771E-13</v>
      </c>
      <c r="AA34" s="42"/>
    </row>
    <row r="35" spans="1:27" x14ac:dyDescent="0.2">
      <c r="A35" s="57" t="str">
        <v>USD3FF3L40Y</v>
      </c>
      <c r="B35" s="58">
        <v>56804</v>
      </c>
      <c r="C35" s="59">
        <v>2.5954999999999999E-2</v>
      </c>
      <c r="D35" s="59">
        <f>Selected!F34</f>
        <v>2.5954999999999999E-2</v>
      </c>
      <c r="E35" s="60">
        <f t="shared" si="0"/>
        <v>0</v>
      </c>
      <c r="F35" s="58">
        <f>Selected!J34</f>
        <v>56804</v>
      </c>
      <c r="G35" s="43"/>
      <c r="H35" s="65" t="s">
        <v>138</v>
      </c>
      <c r="I35" s="58">
        <v>53142</v>
      </c>
      <c r="J35" s="66">
        <f>_xll.qlDayCounterYearFraction($J$2,_xll.qlSettingsEvaluationDate(Trigger),I35,,,Trigger)</f>
        <v>30</v>
      </c>
      <c r="K35" s="59">
        <v>2.6714350367536499E-2</v>
      </c>
      <c r="L35" s="59">
        <f>_xll.qlYieldTSZeroRate(YieldCurve1,I35,$J$2,,,TRUE,Trigger)</f>
        <v>2.6714350367533505E-2</v>
      </c>
      <c r="M35" s="60">
        <f t="shared" si="1"/>
        <v>2.994132719535969E-15</v>
      </c>
      <c r="N35" s="67">
        <v>0.44868665360537602</v>
      </c>
      <c r="O35" s="67">
        <f>_xll.qlYieldTSDiscount(YieldCurve1,I35,TRUE,Trigger)</f>
        <v>0.44868665360541637</v>
      </c>
      <c r="P35" s="60">
        <f t="shared" si="2"/>
        <v>4.035660694512444E-14</v>
      </c>
      <c r="Q35" s="43"/>
      <c r="R35" s="65" t="s">
        <v>138</v>
      </c>
      <c r="S35" s="58">
        <v>56804</v>
      </c>
      <c r="T35" s="66">
        <f>_xll.qlDayCounterYearFraction($T$2,_xll.qlSettingsEvaluationDate(Trigger),S35,,,Trigger)</f>
        <v>40.032876712328765</v>
      </c>
      <c r="U35" s="59">
        <v>2.6726777228645499E-2</v>
      </c>
      <c r="V35" s="59">
        <f>_xll.qlYieldTSZeroRate(YieldCurve2,S35,$T$2,,,TRUE,Trigger)</f>
        <v>2.6726777228558558E-2</v>
      </c>
      <c r="W35" s="60">
        <f t="shared" si="3"/>
        <v>8.6940871169005618E-14</v>
      </c>
      <c r="X35" s="67">
        <v>0.34302574452376</v>
      </c>
      <c r="Y35" s="67">
        <f>_xll.qlYieldTSDiscount(YieldCurve2,S35,TRUE,Trigger)</f>
        <v>0.34302574452495482</v>
      </c>
      <c r="Z35" s="60">
        <f t="shared" si="4"/>
        <v>-1.1948220191015935E-12</v>
      </c>
      <c r="AA35" s="42"/>
    </row>
    <row r="36" spans="1:27" x14ac:dyDescent="0.2">
      <c r="A36" s="57" t="str">
        <v>USD3FF3L50Y</v>
      </c>
      <c r="B36" s="58">
        <v>60457</v>
      </c>
      <c r="C36" s="59">
        <v>2.579E-2</v>
      </c>
      <c r="D36" s="59">
        <f>Selected!F35</f>
        <v>2.579E-2</v>
      </c>
      <c r="E36" s="60">
        <f t="shared" si="0"/>
        <v>0</v>
      </c>
      <c r="F36" s="58">
        <f>Selected!J35</f>
        <v>60457</v>
      </c>
      <c r="G36" s="43"/>
      <c r="H36" s="65" t="s">
        <v>138</v>
      </c>
      <c r="I36" s="58">
        <v>54967</v>
      </c>
      <c r="J36" s="66">
        <f>_xll.qlDayCounterYearFraction($J$2,_xll.qlSettingsEvaluationDate(Trigger),I36,,,Trigger)</f>
        <v>35</v>
      </c>
      <c r="K36" s="59">
        <v>2.6735996426444801E-2</v>
      </c>
      <c r="L36" s="59">
        <f>_xll.qlYieldTSZeroRate(YieldCurve1,I36,$J$2,,,TRUE,Trigger)</f>
        <v>2.6735996426345415E-2</v>
      </c>
      <c r="M36" s="60">
        <f t="shared" si="1"/>
        <v>9.9385777385663232E-14</v>
      </c>
      <c r="N36" s="67">
        <v>0.39228766268894899</v>
      </c>
      <c r="O36" s="67">
        <f>_xll.qlYieldTSDiscount(YieldCurve1,I36,TRUE,Trigger)</f>
        <v>0.39228766269031329</v>
      </c>
      <c r="P36" s="60">
        <f t="shared" si="2"/>
        <v>1.3642975638106236E-12</v>
      </c>
      <c r="Q36" s="43"/>
      <c r="R36" s="65" t="s">
        <v>138</v>
      </c>
      <c r="S36" s="58">
        <v>60457</v>
      </c>
      <c r="T36" s="66">
        <f>_xll.qlDayCounterYearFraction($T$2,_xll.qlSettingsEvaluationDate(Trigger),S36,,,Trigger)</f>
        <v>50.041095890410958</v>
      </c>
      <c r="U36" s="59">
        <v>2.6281989377581302E-2</v>
      </c>
      <c r="V36" s="59">
        <f>_xll.qlYieldTSZeroRate(YieldCurve2,S36,$T$2,,,TRUE,Trigger)</f>
        <v>2.6281989377548304E-2</v>
      </c>
      <c r="W36" s="60">
        <f t="shared" si="3"/>
        <v>3.2997909960030825E-14</v>
      </c>
      <c r="X36" s="67">
        <v>0.26842612283153999</v>
      </c>
      <c r="Y36" s="67">
        <f>_xll.qlYieldTSDiscount(YieldCurve2,S36,TRUE,Trigger)</f>
        <v>0.26842612283198314</v>
      </c>
      <c r="Z36" s="60">
        <f t="shared" si="4"/>
        <v>-4.4314552027913123E-13</v>
      </c>
      <c r="AA36" s="42"/>
    </row>
    <row r="37" spans="1:27" x14ac:dyDescent="0.2">
      <c r="A37" s="61" t="str">
        <v>USD3FF3L60Y</v>
      </c>
      <c r="B37" s="62">
        <v>64109</v>
      </c>
      <c r="C37" s="63">
        <v>2.6120000000000001E-2</v>
      </c>
      <c r="D37" s="63">
        <f>Selected!F36</f>
        <v>2.6120000000000001E-2</v>
      </c>
      <c r="E37" s="64">
        <f t="shared" si="0"/>
        <v>0</v>
      </c>
      <c r="F37" s="62">
        <f>Selected!J36</f>
        <v>64109</v>
      </c>
      <c r="G37" s="43"/>
      <c r="H37" s="65" t="s">
        <v>138</v>
      </c>
      <c r="I37" s="58">
        <v>56792</v>
      </c>
      <c r="J37" s="66">
        <f>_xll.qlDayCounterYearFraction($J$2,_xll.qlSettingsEvaluationDate(Trigger),I37,,,Trigger)</f>
        <v>40</v>
      </c>
      <c r="K37" s="59">
        <v>2.6755787665814299E-2</v>
      </c>
      <c r="L37" s="59">
        <f>_xll.qlYieldTSZeroRate(YieldCurve1,I37,$J$2,,,TRUE,Trigger)</f>
        <v>2.6755787665618126E-2</v>
      </c>
      <c r="M37" s="60">
        <f t="shared" si="1"/>
        <v>1.9617293900431321E-13</v>
      </c>
      <c r="N37" s="67">
        <v>0.342929117863012</v>
      </c>
      <c r="O37" s="67">
        <f>_xll.qlYieldTSDiscount(YieldCurve1,I37,TRUE,Trigger)</f>
        <v>0.34292911786570301</v>
      </c>
      <c r="P37" s="60">
        <f t="shared" si="2"/>
        <v>2.6910140782376857E-12</v>
      </c>
      <c r="Q37" s="43"/>
      <c r="R37" s="65" t="s">
        <v>138</v>
      </c>
      <c r="S37" s="58">
        <v>64109</v>
      </c>
      <c r="T37" s="66">
        <f>_xll.qlDayCounterYearFraction($T$2,_xll.qlSettingsEvaluationDate(Trigger),S37,,,Trigger)</f>
        <v>60.046575342465751</v>
      </c>
      <c r="U37" s="59">
        <v>2.69404910943629E-2</v>
      </c>
      <c r="V37" s="59">
        <f>_xll.qlYieldTSZeroRate(YieldCurve2,S37,$T$2,,,TRUE,Trigger)</f>
        <v>2.6940491094313759E-2</v>
      </c>
      <c r="W37" s="60">
        <f t="shared" si="3"/>
        <v>4.9141246627470991E-14</v>
      </c>
      <c r="X37" s="67">
        <v>0.19835751835350199</v>
      </c>
      <c r="Y37" s="67">
        <f>_xll.qlYieldTSDiscount(YieldCurve2,S37,TRUE,Trigger)</f>
        <v>0.19835751835408721</v>
      </c>
      <c r="Z37" s="60">
        <f t="shared" si="4"/>
        <v>-5.8522631185553564E-13</v>
      </c>
      <c r="AA37" s="42"/>
    </row>
    <row r="38" spans="1:27" x14ac:dyDescent="0.2">
      <c r="A38" s="41"/>
      <c r="B38" s="43"/>
      <c r="C38" s="43"/>
      <c r="D38" s="43"/>
      <c r="E38" s="43"/>
      <c r="F38" s="43"/>
      <c r="G38" s="43"/>
      <c r="H38" s="65" t="s">
        <v>138</v>
      </c>
      <c r="I38" s="58">
        <v>58617</v>
      </c>
      <c r="J38" s="66">
        <f>_xll.qlDayCounterYearFraction($J$2,_xll.qlSettingsEvaluationDate(Trigger),I38,,,Trigger)</f>
        <v>45</v>
      </c>
      <c r="K38" s="59">
        <v>2.6525636138528E-2</v>
      </c>
      <c r="L38" s="59">
        <f>_xll.qlYieldTSZeroRate(YieldCurve1,I38,$J$2,,,TRUE,Trigger)</f>
        <v>2.6525636138450038E-2</v>
      </c>
      <c r="M38" s="60">
        <f t="shared" si="1"/>
        <v>7.7961942457349664E-14</v>
      </c>
      <c r="N38" s="67">
        <v>0.30311178132726901</v>
      </c>
      <c r="O38" s="67">
        <f>_xll.qlYieldTSDiscount(YieldCurve1,I38,TRUE,Trigger)</f>
        <v>0.30311178132833244</v>
      </c>
      <c r="P38" s="60">
        <f t="shared" si="2"/>
        <v>1.0634271241372062E-12</v>
      </c>
      <c r="Q38" s="43"/>
      <c r="R38" s="46"/>
      <c r="S38" s="46"/>
      <c r="T38" s="46"/>
      <c r="U38" s="46"/>
      <c r="V38" s="46"/>
      <c r="W38" s="46"/>
      <c r="X38" s="46"/>
      <c r="Y38" s="46"/>
      <c r="Z38" s="46"/>
      <c r="AA38" s="42"/>
    </row>
    <row r="39" spans="1:27" x14ac:dyDescent="0.2">
      <c r="A39" s="41"/>
      <c r="B39" s="43"/>
      <c r="C39" s="43"/>
      <c r="D39" s="43"/>
      <c r="E39" s="43"/>
      <c r="F39" s="43"/>
      <c r="G39" s="43"/>
      <c r="H39" s="65" t="s">
        <v>138</v>
      </c>
      <c r="I39" s="58">
        <v>60442</v>
      </c>
      <c r="J39" s="66">
        <f>_xll.qlDayCounterYearFraction($J$2,_xll.qlSettingsEvaluationDate(Trigger),I39,,,Trigger)</f>
        <v>50</v>
      </c>
      <c r="K39" s="59">
        <v>2.6293830274121001E-2</v>
      </c>
      <c r="L39" s="59">
        <f>_xll.qlYieldTSZeroRate(YieldCurve1,I39,$J$2,,,TRUE,Trigger)</f>
        <v>2.6293830274162652E-2</v>
      </c>
      <c r="M39" s="60">
        <f t="shared" si="1"/>
        <v>-4.1650710658203138E-14</v>
      </c>
      <c r="N39" s="67">
        <v>0.26855715666406499</v>
      </c>
      <c r="O39" s="67">
        <f>_xll.qlYieldTSDiscount(YieldCurve1,I39,TRUE,Trigger)</f>
        <v>0.26855715666350533</v>
      </c>
      <c r="P39" s="60">
        <f t="shared" si="2"/>
        <v>-5.5966342671354141E-13</v>
      </c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2"/>
    </row>
    <row r="40" spans="1:27" ht="12" thickBot="1" x14ac:dyDescent="0.25">
      <c r="A40" s="69"/>
      <c r="B40" s="70"/>
      <c r="C40" s="70"/>
      <c r="D40" s="71"/>
      <c r="E40" s="71"/>
      <c r="F40" s="71"/>
      <c r="G40" s="71"/>
      <c r="H40" s="72"/>
      <c r="I40" s="72"/>
      <c r="J40" s="72"/>
      <c r="K40" s="72"/>
      <c r="L40" s="72"/>
      <c r="M40" s="72"/>
      <c r="N40" s="72"/>
      <c r="O40" s="72"/>
      <c r="P40" s="72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3"/>
    </row>
    <row r="41" spans="1:27" x14ac:dyDescent="0.2">
      <c r="B41" s="75"/>
      <c r="C41" s="75"/>
    </row>
    <row r="42" spans="1:27" x14ac:dyDescent="0.2">
      <c r="B42" s="75"/>
      <c r="C42" s="75"/>
    </row>
    <row r="43" spans="1:27" x14ac:dyDescent="0.2">
      <c r="B43" s="75"/>
      <c r="C43" s="75"/>
    </row>
    <row r="44" spans="1:27" x14ac:dyDescent="0.2">
      <c r="B44" s="75"/>
      <c r="C44" s="75"/>
    </row>
    <row r="45" spans="1:27" x14ac:dyDescent="0.2">
      <c r="B45" s="75"/>
      <c r="C45" s="75"/>
    </row>
    <row r="46" spans="1:27" x14ac:dyDescent="0.2">
      <c r="B46" s="75"/>
      <c r="C46" s="75"/>
    </row>
  </sheetData>
  <mergeCells count="3">
    <mergeCell ref="A1:F1"/>
    <mergeCell ref="H1:P1"/>
    <mergeCell ref="R1:Z1"/>
  </mergeCells>
  <dataValidations count="1">
    <dataValidation type="list" allowBlank="1" showInputMessage="1" showErrorMessage="1" sqref="J2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39</vt:i4>
      </vt:variant>
    </vt:vector>
  </HeadingPairs>
  <TitlesOfParts>
    <vt:vector size="46" baseType="lpstr">
      <vt:lpstr>General Settings</vt:lpstr>
      <vt:lpstr>RateHelpers</vt:lpstr>
      <vt:lpstr>Selected</vt:lpstr>
      <vt:lpstr>Deposits</vt:lpstr>
      <vt:lpstr>Swaps</vt:lpstr>
      <vt:lpstr>SwapFromBasis</vt:lpstr>
      <vt:lpstr>LCH Analysis</vt:lpstr>
      <vt:lpstr>Accuracy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JoinCalendar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2009-10-19T16:16:39Z</cp:lastPrinted>
  <dcterms:created xsi:type="dcterms:W3CDTF">2006-04-26T09:45:07Z</dcterms:created>
  <dcterms:modified xsi:type="dcterms:W3CDTF">2015-09-01T18:54:38Z</dcterms:modified>
</cp:coreProperties>
</file>