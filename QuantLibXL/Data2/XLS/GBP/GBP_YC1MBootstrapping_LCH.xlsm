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695"/>
  </bookViews>
  <sheets>
    <sheet name="General Settings" sheetId="6" r:id="rId1"/>
    <sheet name="RateHelpers" sheetId="4" r:id="rId2"/>
    <sheet name="Selected" sheetId="5" r:id="rId3"/>
    <sheet name="Deposits" sheetId="7" r:id="rId4"/>
    <sheet name="Swaps" sheetId="9" r:id="rId5"/>
    <sheet name="SwapsFromBasis" sheetId="11" r:id="rId6"/>
    <sheet name="LCH Analysis" sheetId="16" r:id="rId7"/>
  </sheets>
  <externalReferences>
    <externalReference r:id="rId8"/>
  </externalReferences>
  <definedNames>
    <definedName name="_xlnm._FilterDatabase" localSheetId="1" hidden="1">RateHelpers!$B$1:$R$28</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STD">'General Settings'!$J$20</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RateHelpers!$H$2:$H$24</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RateHelpers!$A$2:$A$24</definedName>
    <definedName name="RateHelpers2">RateHelpers!$B$2:$B$24</definedName>
    <definedName name="RateHelpersIncluded">RateHelpers!$F$2:$F$24</definedName>
    <definedName name="RateHelpersPriority">RateHelpers!$G$2:$G$24</definedName>
    <definedName name="SerializationPath">'General Settings'!$J$5</definedName>
    <definedName name="Serialize">'General Settings'!$J$4</definedName>
    <definedName name="Swap1MConventions">SwapsFromBasis!$R$5:$T$9</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J20" i="6" l="1"/>
  <c r="N4" i="9"/>
  <c r="M5" i="9"/>
  <c r="N5" i="9"/>
  <c r="M6" i="9"/>
  <c r="M7" i="9"/>
  <c r="N7" i="9"/>
  <c r="M8" i="9"/>
  <c r="N6" i="9"/>
  <c r="N8" i="9"/>
  <c r="M9" i="9"/>
  <c r="N9" i="9"/>
  <c r="L21" i="11" l="1"/>
  <c r="L20" i="11"/>
  <c r="L19" i="11"/>
  <c r="L18" i="11"/>
  <c r="L17" i="11"/>
  <c r="L16" i="11"/>
  <c r="L15" i="11"/>
  <c r="L14" i="11"/>
  <c r="L13" i="11"/>
  <c r="L12" i="11"/>
  <c r="L11" i="11"/>
  <c r="L10" i="11"/>
  <c r="L9" i="11"/>
  <c r="L8" i="11"/>
  <c r="L7" i="11"/>
  <c r="L6" i="11"/>
  <c r="L5" i="11"/>
  <c r="C3" i="16" a="1"/>
  <c r="C9" i="16" s="1"/>
  <c r="B3" i="16" a="1"/>
  <c r="B9" i="16" s="1"/>
  <c r="A3" i="16" a="1"/>
  <c r="A3" i="16" s="1"/>
  <c r="B18" i="16" l="1"/>
  <c r="B16" i="16"/>
  <c r="B8" i="16"/>
  <c r="C24" i="16"/>
  <c r="C16" i="16"/>
  <c r="C8" i="16"/>
  <c r="C7" i="16"/>
  <c r="C6" i="16"/>
  <c r="C5" i="16"/>
  <c r="C12" i="16"/>
  <c r="B10" i="16"/>
  <c r="B24" i="16"/>
  <c r="B23" i="16"/>
  <c r="B15" i="16"/>
  <c r="B7" i="16"/>
  <c r="C23" i="16"/>
  <c r="C15" i="16"/>
  <c r="B22" i="16"/>
  <c r="B14" i="16"/>
  <c r="B6" i="16"/>
  <c r="C22" i="16"/>
  <c r="C14" i="16"/>
  <c r="B21" i="16"/>
  <c r="B13" i="16"/>
  <c r="B5" i="16"/>
  <c r="C21" i="16"/>
  <c r="C13" i="16"/>
  <c r="A18" i="16"/>
  <c r="B20" i="16"/>
  <c r="B12" i="16"/>
  <c r="B4" i="16"/>
  <c r="C20" i="16"/>
  <c r="C4" i="16"/>
  <c r="A10" i="16"/>
  <c r="B19" i="16"/>
  <c r="B11" i="16"/>
  <c r="B3" i="16"/>
  <c r="C19" i="16"/>
  <c r="C11" i="16"/>
  <c r="C3" i="16"/>
  <c r="C18" i="16"/>
  <c r="C10" i="16"/>
  <c r="B25" i="16"/>
  <c r="B17" i="16"/>
  <c r="C25" i="16"/>
  <c r="C17" i="16"/>
  <c r="A25" i="16"/>
  <c r="A17" i="16"/>
  <c r="A9" i="16"/>
  <c r="A24" i="16"/>
  <c r="A16" i="16"/>
  <c r="A8" i="16"/>
  <c r="A23" i="16"/>
  <c r="A15" i="16"/>
  <c r="A7" i="16"/>
  <c r="A22" i="16"/>
  <c r="A14" i="16"/>
  <c r="A6" i="16"/>
  <c r="A21" i="16"/>
  <c r="A13" i="16"/>
  <c r="A5" i="16"/>
  <c r="A20" i="16"/>
  <c r="A12" i="16"/>
  <c r="A4" i="16"/>
  <c r="A19" i="16"/>
  <c r="A11" i="16"/>
  <c r="L8" i="9"/>
  <c r="L7" i="9"/>
  <c r="L6" i="9"/>
  <c r="L5" i="9"/>
  <c r="L9" i="9"/>
  <c r="J19" i="6"/>
  <c r="J18" i="6"/>
  <c r="E4" i="7"/>
  <c r="E27" i="6"/>
  <c r="D27" i="6"/>
  <c r="E16" i="6"/>
  <c r="D16" i="6"/>
  <c r="M3" i="11" l="1"/>
  <c r="J15" i="16"/>
  <c r="J4" i="16"/>
  <c r="T12" i="16"/>
  <c r="T21" i="16"/>
  <c r="T9" i="16"/>
  <c r="T25" i="16"/>
  <c r="J6" i="16"/>
  <c r="T17" i="16"/>
  <c r="T3" i="16"/>
  <c r="T10" i="16"/>
  <c r="J23" i="16"/>
  <c r="J21" i="16"/>
  <c r="T11" i="16"/>
  <c r="T6" i="16"/>
  <c r="J25" i="16"/>
  <c r="J24" i="16"/>
  <c r="T16" i="16"/>
  <c r="J11" i="16"/>
  <c r="N4" i="11"/>
  <c r="J7" i="16"/>
  <c r="J19" i="16"/>
  <c r="J12" i="16"/>
  <c r="J20" i="16"/>
  <c r="J17" i="16"/>
  <c r="J16" i="16"/>
  <c r="T20" i="16"/>
  <c r="T23" i="16"/>
  <c r="T15" i="16"/>
  <c r="J8" i="16"/>
  <c r="T13" i="16"/>
  <c r="T14" i="16"/>
  <c r="T19" i="16"/>
  <c r="J13" i="16"/>
  <c r="J5" i="16"/>
  <c r="T18" i="16"/>
  <c r="T4" i="16"/>
  <c r="T5" i="16"/>
  <c r="T7" i="16"/>
  <c r="J18" i="16"/>
  <c r="J22" i="16"/>
  <c r="J14" i="16"/>
  <c r="J3" i="16"/>
  <c r="J9" i="16"/>
  <c r="T24" i="16"/>
  <c r="J10" i="16"/>
  <c r="T22" i="16"/>
  <c r="T8" i="16"/>
  <c r="M5" i="11"/>
  <c r="N5" i="11"/>
  <c r="N10" i="11"/>
  <c r="M11" i="11"/>
  <c r="N7" i="11"/>
  <c r="M16" i="11"/>
  <c r="M6" i="11"/>
  <c r="M10" i="11"/>
  <c r="M14" i="11"/>
  <c r="M18" i="11"/>
  <c r="M19" i="11"/>
  <c r="N19" i="11"/>
  <c r="M20" i="11"/>
  <c r="N14" i="11"/>
  <c r="N15" i="11"/>
  <c r="N8" i="11"/>
  <c r="N12" i="11"/>
  <c r="N16" i="11"/>
  <c r="N20" i="11"/>
  <c r="N6" i="11"/>
  <c r="M7" i="11"/>
  <c r="N11" i="11"/>
  <c r="M12" i="11"/>
  <c r="M9" i="11"/>
  <c r="M13" i="11"/>
  <c r="M17" i="11"/>
  <c r="M21" i="11"/>
  <c r="N18" i="11"/>
  <c r="M15" i="11"/>
  <c r="M8" i="11"/>
  <c r="N9" i="11"/>
  <c r="N13" i="11"/>
  <c r="N17" i="11"/>
  <c r="N21" i="11"/>
  <c r="M3" i="9" l="1"/>
  <c r="E20" i="6"/>
  <c r="D4" i="7" l="1"/>
  <c r="C4" i="7"/>
  <c r="K2" i="11" l="1"/>
  <c r="N2" i="11" s="1"/>
  <c r="K2" i="9"/>
  <c r="I5" i="9"/>
  <c r="K5" i="9"/>
  <c r="I6" i="9"/>
  <c r="K6" i="9"/>
  <c r="I7" i="9"/>
  <c r="K7" i="9"/>
  <c r="I8" i="9"/>
  <c r="K8" i="9"/>
  <c r="I9" i="9"/>
  <c r="K9" i="9"/>
  <c r="D1" i="7"/>
  <c r="O9" i="9"/>
  <c r="O6" i="9"/>
  <c r="O7" i="9"/>
  <c r="F4" i="7"/>
  <c r="O8" i="9"/>
  <c r="O5" i="9"/>
  <c r="A5" i="4" l="1"/>
  <c r="A4" i="4"/>
  <c r="A7" i="4"/>
  <c r="A3" i="4"/>
  <c r="A6" i="4"/>
  <c r="A2" i="4"/>
  <c r="B2" i="4" s="1"/>
  <c r="F1" i="7"/>
  <c r="N2" i="9"/>
  <c r="F2" i="7"/>
  <c r="J2" i="4"/>
  <c r="B3" i="4" l="1"/>
  <c r="B7" i="4"/>
  <c r="B4" i="4"/>
  <c r="B5" i="4"/>
  <c r="B6" i="4"/>
  <c r="K5" i="11"/>
  <c r="G5" i="11"/>
  <c r="I5" i="11"/>
  <c r="J5" i="11"/>
  <c r="J5" i="4"/>
  <c r="O4" i="11"/>
  <c r="C4" i="4"/>
  <c r="J3" i="4"/>
  <c r="J6" i="4"/>
  <c r="C2" i="4"/>
  <c r="C7" i="4"/>
  <c r="J7" i="4"/>
  <c r="O4" i="9"/>
  <c r="C6" i="4"/>
  <c r="G4" i="7"/>
  <c r="J4" i="4"/>
  <c r="C3" i="4"/>
  <c r="C5" i="4"/>
  <c r="G2" i="7"/>
  <c r="I6" i="11" l="1"/>
  <c r="G6" i="11"/>
  <c r="K6" i="11"/>
  <c r="J6" i="11"/>
  <c r="O6" i="11"/>
  <c r="A9" i="4" l="1"/>
  <c r="B9" i="4"/>
  <c r="J7" i="11"/>
  <c r="G7" i="11"/>
  <c r="I7" i="11"/>
  <c r="K7" i="11"/>
  <c r="C9" i="4"/>
  <c r="J9" i="4"/>
  <c r="A10" i="4" l="1"/>
  <c r="B10" i="4"/>
  <c r="K8" i="11"/>
  <c r="G8" i="11"/>
  <c r="I8" i="11"/>
  <c r="J8" i="11"/>
  <c r="J10" i="4"/>
  <c r="O7" i="11"/>
  <c r="C10" i="4"/>
  <c r="A11" i="4" l="1"/>
  <c r="B11" i="4"/>
  <c r="J9" i="11"/>
  <c r="G9" i="11"/>
  <c r="I9" i="11"/>
  <c r="K9" i="11"/>
  <c r="J11" i="4"/>
  <c r="C11" i="4"/>
  <c r="O8" i="11"/>
  <c r="A12" i="4" l="1"/>
  <c r="B12" i="4"/>
  <c r="G10" i="11"/>
  <c r="K10" i="11"/>
  <c r="I10" i="11"/>
  <c r="J10" i="11"/>
  <c r="J12" i="4"/>
  <c r="C12" i="4"/>
  <c r="O9" i="11"/>
  <c r="A13" i="4" l="1"/>
  <c r="B13" i="4"/>
  <c r="J11" i="11"/>
  <c r="G11" i="11"/>
  <c r="K11" i="11"/>
  <c r="I11" i="11"/>
  <c r="J13" i="4"/>
  <c r="C13" i="4"/>
  <c r="O10" i="11"/>
  <c r="A14" i="4" l="1"/>
  <c r="B14" i="4"/>
  <c r="J12" i="11"/>
  <c r="K12" i="11"/>
  <c r="G12" i="11"/>
  <c r="I12" i="11"/>
  <c r="J14" i="4"/>
  <c r="C14" i="4"/>
  <c r="O11" i="11"/>
  <c r="A15" i="4" l="1"/>
  <c r="B15" i="4"/>
  <c r="J13" i="11"/>
  <c r="G13" i="11"/>
  <c r="I13" i="11"/>
  <c r="K13" i="11"/>
  <c r="J15" i="4"/>
  <c r="C15" i="4"/>
  <c r="O12" i="11"/>
  <c r="A16" i="4" l="1"/>
  <c r="B16" i="4"/>
  <c r="J16" i="4"/>
  <c r="O13" i="11"/>
  <c r="C16" i="4"/>
  <c r="J14" i="11" l="1"/>
  <c r="I14" i="11"/>
  <c r="G14" i="11"/>
  <c r="K14" i="11"/>
  <c r="A17" i="4" l="1"/>
  <c r="B17" i="4"/>
  <c r="J17" i="4"/>
  <c r="O14" i="11"/>
  <c r="C17" i="4"/>
  <c r="G15" i="11" l="1"/>
  <c r="K15" i="11"/>
  <c r="I15" i="11"/>
  <c r="J15" i="11"/>
  <c r="O15" i="11"/>
  <c r="A18" i="4" l="1"/>
  <c r="B18" i="4"/>
  <c r="J18" i="4"/>
  <c r="C18" i="4"/>
  <c r="J16" i="11" l="1"/>
  <c r="G16" i="11"/>
  <c r="I16" i="11"/>
  <c r="K16" i="11"/>
  <c r="O16" i="11"/>
  <c r="A19" i="4" l="1"/>
  <c r="B19" i="4"/>
  <c r="J19" i="4"/>
  <c r="C19" i="4"/>
  <c r="K17" i="11" l="1"/>
  <c r="G17" i="11"/>
  <c r="I17" i="11"/>
  <c r="J17" i="11"/>
  <c r="O17" i="11"/>
  <c r="A20" i="4" l="1"/>
  <c r="B20" i="4"/>
  <c r="J20" i="4"/>
  <c r="C20" i="4"/>
  <c r="G18" i="11" l="1"/>
  <c r="I18" i="11"/>
  <c r="K18" i="11"/>
  <c r="J18" i="11"/>
  <c r="O18" i="11"/>
  <c r="A21" i="4" l="1"/>
  <c r="B21" i="4"/>
  <c r="J21" i="4"/>
  <c r="C21" i="4"/>
  <c r="G19" i="11" l="1"/>
  <c r="K19" i="11"/>
  <c r="I19" i="11"/>
  <c r="J19" i="11"/>
  <c r="O19" i="11"/>
  <c r="A22" i="4" l="1"/>
  <c r="B22" i="4"/>
  <c r="J20" i="11"/>
  <c r="J21" i="11"/>
  <c r="K20" i="11"/>
  <c r="G20" i="11"/>
  <c r="I20" i="11"/>
  <c r="C22" i="4"/>
  <c r="J22" i="4"/>
  <c r="A23" i="4" l="1"/>
  <c r="B23" i="4"/>
  <c r="G21" i="11"/>
  <c r="I21" i="11"/>
  <c r="K21" i="11"/>
  <c r="N3" i="9"/>
  <c r="N3" i="11"/>
  <c r="C23" i="4"/>
  <c r="O20" i="11"/>
  <c r="J23" i="4"/>
  <c r="A24" i="4" l="1"/>
  <c r="B24" i="4"/>
  <c r="D7" i="6"/>
  <c r="D20" i="6"/>
  <c r="D6" i="6"/>
  <c r="C24" i="4"/>
  <c r="B1" i="6"/>
  <c r="J24" i="4"/>
  <c r="O21" i="11"/>
  <c r="O3" i="11"/>
  <c r="O3" i="9"/>
  <c r="D9" i="6" l="1"/>
  <c r="E24" i="4"/>
  <c r="I10" i="4"/>
  <c r="I3" i="4"/>
  <c r="E10" i="4"/>
  <c r="D7" i="4"/>
  <c r="I6" i="4"/>
  <c r="I24" i="4"/>
  <c r="E9" i="4"/>
  <c r="I11" i="4"/>
  <c r="I14" i="4"/>
  <c r="E3" i="4"/>
  <c r="E13" i="4"/>
  <c r="D10" i="4"/>
  <c r="D15" i="4"/>
  <c r="I4" i="4"/>
  <c r="D17" i="4"/>
  <c r="E17" i="4"/>
  <c r="D22" i="4"/>
  <c r="D12" i="4"/>
  <c r="D2" i="4"/>
  <c r="E15" i="4"/>
  <c r="I9" i="4"/>
  <c r="E19" i="4"/>
  <c r="D11" i="4"/>
  <c r="I17" i="4"/>
  <c r="E6" i="4"/>
  <c r="I12" i="4"/>
  <c r="D16" i="4"/>
  <c r="D3" i="4"/>
  <c r="E12" i="4"/>
  <c r="D20" i="4"/>
  <c r="I15" i="4"/>
  <c r="I21" i="4"/>
  <c r="I13" i="4"/>
  <c r="D24" i="4"/>
  <c r="E7" i="4"/>
  <c r="E20" i="4"/>
  <c r="E23" i="4"/>
  <c r="I20" i="4"/>
  <c r="D23" i="4"/>
  <c r="I2" i="4"/>
  <c r="E22" i="4"/>
  <c r="D4" i="4"/>
  <c r="D13" i="4"/>
  <c r="E5" i="4"/>
  <c r="E14" i="4"/>
  <c r="D9" i="4"/>
  <c r="E11" i="4"/>
  <c r="I18" i="4"/>
  <c r="E16" i="4"/>
  <c r="E21" i="4"/>
  <c r="E18" i="4"/>
  <c r="I19" i="4"/>
  <c r="D14" i="4"/>
  <c r="E4" i="4"/>
  <c r="I7" i="4"/>
  <c r="D5" i="4"/>
  <c r="D19" i="4"/>
  <c r="D18" i="4"/>
  <c r="I16" i="4"/>
  <c r="D6" i="4"/>
  <c r="D21" i="4"/>
  <c r="I22" i="4"/>
  <c r="I23" i="4"/>
  <c r="I5" i="4"/>
  <c r="B8" i="4" l="1"/>
  <c r="A8" i="4"/>
  <c r="C8" i="4"/>
  <c r="E8" i="4"/>
  <c r="D8" i="4"/>
  <c r="E2" i="5" a="1"/>
  <c r="O5" i="11"/>
  <c r="I8" i="4"/>
  <c r="J8" i="4"/>
  <c r="D2" i="5" a="1"/>
  <c r="D20" i="5" l="1"/>
  <c r="D92" i="5"/>
  <c r="D62" i="5"/>
  <c r="D51" i="5"/>
  <c r="D19" i="5"/>
  <c r="D122" i="5"/>
  <c r="D119" i="5"/>
  <c r="D10" i="5"/>
  <c r="D70" i="5"/>
  <c r="D61" i="5"/>
  <c r="D73" i="5"/>
  <c r="D63" i="5"/>
  <c r="D75" i="5"/>
  <c r="D46" i="5"/>
  <c r="D100" i="5"/>
  <c r="D104" i="5"/>
  <c r="D81" i="5"/>
  <c r="D15" i="5"/>
  <c r="D17" i="5"/>
  <c r="D110" i="5"/>
  <c r="D68" i="5"/>
  <c r="D72" i="5"/>
  <c r="D112" i="5"/>
  <c r="D80" i="5"/>
  <c r="D25" i="5"/>
  <c r="D67" i="5"/>
  <c r="D94" i="5"/>
  <c r="D93" i="5"/>
  <c r="D57" i="5"/>
  <c r="D83" i="5"/>
  <c r="D18" i="5"/>
  <c r="D95" i="5"/>
  <c r="D66" i="5"/>
  <c r="D120" i="5"/>
  <c r="D103" i="5"/>
  <c r="D5" i="5"/>
  <c r="D48" i="5"/>
  <c r="D113" i="5"/>
  <c r="D40" i="5"/>
  <c r="D114" i="5"/>
  <c r="D26" i="5"/>
  <c r="D55" i="5"/>
  <c r="D64" i="5"/>
  <c r="D115" i="5"/>
  <c r="D22" i="5"/>
  <c r="D23" i="5"/>
  <c r="D32" i="5"/>
  <c r="D7" i="5"/>
  <c r="D65" i="5"/>
  <c r="D9" i="5"/>
  <c r="D69" i="5"/>
  <c r="D13" i="5"/>
  <c r="D116" i="5"/>
  <c r="D85" i="5"/>
  <c r="D96" i="5"/>
  <c r="D78" i="5"/>
  <c r="D98" i="5"/>
  <c r="D24" i="5"/>
  <c r="D125" i="5"/>
  <c r="D54" i="5"/>
  <c r="D90" i="5"/>
  <c r="D14" i="5"/>
  <c r="D52" i="5"/>
  <c r="D42" i="5"/>
  <c r="D45" i="5"/>
  <c r="D33" i="5"/>
  <c r="D102" i="5"/>
  <c r="D44" i="5"/>
  <c r="D53" i="5"/>
  <c r="D29" i="5"/>
  <c r="D35" i="5"/>
  <c r="D36" i="5"/>
  <c r="D109" i="5"/>
  <c r="D101" i="5"/>
  <c r="D30" i="5"/>
  <c r="D56" i="5"/>
  <c r="D38" i="5"/>
  <c r="D111" i="5"/>
  <c r="D4" i="5"/>
  <c r="D126" i="5"/>
  <c r="D107" i="5"/>
  <c r="D97" i="5"/>
  <c r="D99" i="5"/>
  <c r="D12" i="5"/>
  <c r="D124" i="5"/>
  <c r="D28" i="5"/>
  <c r="D84" i="5"/>
  <c r="D76" i="5"/>
  <c r="D74" i="5"/>
  <c r="D77" i="5"/>
  <c r="D39" i="5"/>
  <c r="D123" i="5"/>
  <c r="D88" i="5"/>
  <c r="D34" i="5"/>
  <c r="D60" i="5"/>
  <c r="D87" i="5"/>
  <c r="D2" i="5"/>
  <c r="D43" i="5"/>
  <c r="D21" i="5"/>
  <c r="D118" i="5"/>
  <c r="D58" i="5"/>
  <c r="D37" i="5"/>
  <c r="D106" i="5"/>
  <c r="D59" i="5"/>
  <c r="D86" i="5"/>
  <c r="D105" i="5"/>
  <c r="D91" i="5"/>
  <c r="D82" i="5"/>
  <c r="D79" i="5"/>
  <c r="D121" i="5"/>
  <c r="D71" i="5"/>
  <c r="D108" i="5"/>
  <c r="D49" i="5"/>
  <c r="D8" i="5"/>
  <c r="D16" i="5"/>
  <c r="D11" i="5"/>
  <c r="D47" i="5"/>
  <c r="D27" i="5"/>
  <c r="D50" i="5"/>
  <c r="D3" i="5"/>
  <c r="D117" i="5"/>
  <c r="D6" i="5"/>
  <c r="D31" i="5"/>
  <c r="D41" i="5"/>
  <c r="D89" i="5"/>
  <c r="E56" i="5"/>
  <c r="E93" i="5"/>
  <c r="E24" i="5"/>
  <c r="E83" i="5"/>
  <c r="E14" i="5"/>
  <c r="E9" i="5"/>
  <c r="E92" i="5"/>
  <c r="E112" i="5"/>
  <c r="E105" i="5"/>
  <c r="E76" i="5"/>
  <c r="E71" i="5"/>
  <c r="E60" i="5"/>
  <c r="E96" i="5"/>
  <c r="E35" i="5"/>
  <c r="E16" i="5"/>
  <c r="E104" i="5"/>
  <c r="E69" i="5"/>
  <c r="E48" i="5"/>
  <c r="E41" i="5"/>
  <c r="E109" i="5"/>
  <c r="E118" i="5"/>
  <c r="E42" i="5"/>
  <c r="E31" i="5"/>
  <c r="E123" i="5"/>
  <c r="E28" i="5"/>
  <c r="E5" i="5"/>
  <c r="E113" i="5"/>
  <c r="E85" i="5"/>
  <c r="E40" i="5"/>
  <c r="E57" i="5"/>
  <c r="E116" i="5"/>
  <c r="E43" i="5"/>
  <c r="E111" i="5"/>
  <c r="E21" i="5"/>
  <c r="E47" i="5"/>
  <c r="E52" i="5"/>
  <c r="E103" i="5"/>
  <c r="E10" i="5"/>
  <c r="E87" i="5"/>
  <c r="E101" i="5"/>
  <c r="E18" i="5"/>
  <c r="E23" i="5"/>
  <c r="E4" i="5"/>
  <c r="E74" i="5"/>
  <c r="E39" i="5"/>
  <c r="E100" i="5"/>
  <c r="E98" i="5"/>
  <c r="E36" i="5"/>
  <c r="E124" i="5"/>
  <c r="E22" i="5"/>
  <c r="E79" i="5"/>
  <c r="E68" i="5"/>
  <c r="E80" i="5"/>
  <c r="E95" i="5"/>
  <c r="E66" i="5"/>
  <c r="E17" i="5"/>
  <c r="E61" i="5"/>
  <c r="E19" i="5"/>
  <c r="E119" i="5"/>
  <c r="E49" i="5"/>
  <c r="E63" i="5"/>
  <c r="E90" i="5"/>
  <c r="E12" i="5"/>
  <c r="E94" i="5"/>
  <c r="E27" i="5"/>
  <c r="E54" i="5"/>
  <c r="E84" i="5"/>
  <c r="E121" i="5"/>
  <c r="E53" i="5"/>
  <c r="E114" i="5"/>
  <c r="E106" i="5"/>
  <c r="E8" i="5"/>
  <c r="E30" i="5"/>
  <c r="E86" i="5"/>
  <c r="E20" i="5"/>
  <c r="E126" i="5"/>
  <c r="E91" i="5"/>
  <c r="E7" i="5"/>
  <c r="E75" i="5"/>
  <c r="E44" i="5"/>
  <c r="E77" i="5"/>
  <c r="E58" i="5"/>
  <c r="E110" i="5"/>
  <c r="E34" i="5"/>
  <c r="E125" i="5"/>
  <c r="E81" i="5"/>
  <c r="E2" i="5"/>
  <c r="E102" i="5"/>
  <c r="E117" i="5"/>
  <c r="E51" i="5"/>
  <c r="E72" i="5"/>
  <c r="E70" i="5"/>
  <c r="E11" i="5"/>
  <c r="E67" i="5"/>
  <c r="E26" i="5"/>
  <c r="E29" i="5"/>
  <c r="E73" i="5"/>
  <c r="E15" i="5"/>
  <c r="E108" i="5"/>
  <c r="E50" i="5"/>
  <c r="E46" i="5"/>
  <c r="E38" i="5"/>
  <c r="E3" i="5"/>
  <c r="E59" i="5"/>
  <c r="E82" i="5"/>
  <c r="E62" i="5"/>
  <c r="E55" i="5"/>
  <c r="E78" i="5"/>
  <c r="E25" i="5"/>
  <c r="E33" i="5"/>
  <c r="E45" i="5"/>
  <c r="E64" i="5"/>
  <c r="E122" i="5"/>
  <c r="E99" i="5"/>
  <c r="E107" i="5"/>
  <c r="E89" i="5"/>
  <c r="E6" i="5"/>
  <c r="E32" i="5"/>
  <c r="E65" i="5"/>
  <c r="E37" i="5"/>
  <c r="E120" i="5"/>
  <c r="E88" i="5"/>
  <c r="E115" i="5"/>
  <c r="E13" i="5"/>
  <c r="E97" i="5"/>
  <c r="L11" i="5"/>
  <c r="L3" i="5"/>
  <c r="K122" i="5"/>
  <c r="L107" i="5"/>
  <c r="L97" i="5"/>
  <c r="L104" i="5"/>
  <c r="L48" i="5"/>
  <c r="L83" i="5"/>
  <c r="K9" i="5"/>
  <c r="K123" i="5"/>
  <c r="K5" i="5"/>
  <c r="L52" i="5"/>
  <c r="L38" i="5"/>
  <c r="K19" i="5"/>
  <c r="L91" i="5"/>
  <c r="L27" i="5"/>
  <c r="L61" i="5"/>
  <c r="K100" i="5"/>
  <c r="L89" i="5"/>
  <c r="K23" i="5"/>
  <c r="L26" i="5"/>
  <c r="L68" i="5"/>
  <c r="K6" i="5"/>
  <c r="L59" i="5"/>
  <c r="L86" i="5"/>
  <c r="L109" i="5"/>
  <c r="L65" i="5"/>
  <c r="L93" i="5"/>
  <c r="L34" i="5"/>
  <c r="L12" i="5"/>
  <c r="L73" i="5"/>
  <c r="K97" i="5"/>
  <c r="K104" i="5"/>
  <c r="K48" i="5"/>
  <c r="L85" i="5"/>
  <c r="L57" i="5"/>
  <c r="L36" i="5"/>
  <c r="L22" i="5"/>
  <c r="K52" i="5"/>
  <c r="K10" i="5"/>
  <c r="K17" i="5"/>
  <c r="L19" i="5"/>
  <c r="L121" i="5"/>
  <c r="L98" i="5"/>
  <c r="L88" i="5"/>
  <c r="L35" i="5"/>
  <c r="K72" i="5"/>
  <c r="L120" i="5"/>
  <c r="K33" i="5"/>
  <c r="K125" i="5"/>
  <c r="K62" i="5"/>
  <c r="K8" i="5"/>
  <c r="L25" i="5"/>
  <c r="K112" i="5"/>
  <c r="K76" i="5"/>
  <c r="L20" i="5"/>
  <c r="K91" i="5"/>
  <c r="K18" i="5"/>
  <c r="L24" i="5"/>
  <c r="K35" i="5"/>
  <c r="L56" i="5"/>
  <c r="L15" i="5"/>
  <c r="K85" i="5"/>
  <c r="K57" i="5"/>
  <c r="K36" i="5"/>
  <c r="K22" i="5"/>
  <c r="L49" i="5"/>
  <c r="L90" i="5"/>
  <c r="L44" i="5"/>
  <c r="L58" i="5"/>
  <c r="K121" i="5"/>
  <c r="K114" i="5"/>
  <c r="K102" i="5"/>
  <c r="L51" i="5"/>
  <c r="L14" i="5"/>
  <c r="K75" i="5"/>
  <c r="L119" i="5"/>
  <c r="K7" i="5"/>
  <c r="L50" i="5"/>
  <c r="K51" i="5"/>
  <c r="K66" i="5"/>
  <c r="L100" i="5"/>
  <c r="K4" i="5"/>
  <c r="L111" i="5"/>
  <c r="L95" i="5"/>
  <c r="L18" i="5"/>
  <c r="K109" i="5"/>
  <c r="K2" i="5"/>
  <c r="K54" i="5"/>
  <c r="K34" i="5"/>
  <c r="K12" i="5"/>
  <c r="L30" i="5"/>
  <c r="K49" i="5"/>
  <c r="K90" i="5"/>
  <c r="K44" i="5"/>
  <c r="K58" i="5"/>
  <c r="K67" i="5"/>
  <c r="L64" i="5"/>
  <c r="K50" i="5"/>
  <c r="K38" i="5"/>
  <c r="K88" i="5"/>
  <c r="L123" i="5"/>
  <c r="K115" i="5"/>
  <c r="L10" i="5"/>
  <c r="K65" i="5"/>
  <c r="L32" i="5"/>
  <c r="L82" i="5"/>
  <c r="L54" i="5"/>
  <c r="K42" i="5"/>
  <c r="K84" i="5"/>
  <c r="K59" i="5"/>
  <c r="K32" i="5"/>
  <c r="K70" i="5"/>
  <c r="K64" i="5"/>
  <c r="L13" i="5"/>
  <c r="L69" i="5"/>
  <c r="K14" i="5"/>
  <c r="K16" i="5"/>
  <c r="K113" i="5"/>
  <c r="L102" i="5"/>
  <c r="L2" i="5"/>
  <c r="L72" i="5"/>
  <c r="K26" i="5"/>
  <c r="L23" i="5"/>
  <c r="L8" i="5"/>
  <c r="K80" i="5"/>
  <c r="L21" i="5"/>
  <c r="K71" i="5"/>
  <c r="L108" i="5"/>
  <c r="L70" i="5"/>
  <c r="K99" i="5"/>
  <c r="K37" i="5"/>
  <c r="L103" i="5"/>
  <c r="K31" i="5"/>
  <c r="L113" i="5"/>
  <c r="K55" i="5"/>
  <c r="K116" i="5"/>
  <c r="L60" i="5"/>
  <c r="K105" i="5"/>
  <c r="K81" i="5"/>
  <c r="K15" i="5"/>
  <c r="L67" i="5"/>
  <c r="L99" i="5"/>
  <c r="L92" i="5"/>
  <c r="L41" i="5"/>
  <c r="K28" i="5"/>
  <c r="L53" i="5"/>
  <c r="K60" i="5"/>
  <c r="L16" i="5"/>
  <c r="K94" i="5"/>
  <c r="K68" i="5"/>
  <c r="L84" i="5"/>
  <c r="L33" i="5"/>
  <c r="L126" i="5"/>
  <c r="K92" i="5"/>
  <c r="K110" i="5"/>
  <c r="L77" i="5"/>
  <c r="K98" i="5"/>
  <c r="K83" i="5"/>
  <c r="K78" i="5"/>
  <c r="K74" i="5"/>
  <c r="K82" i="5"/>
  <c r="K24" i="5"/>
  <c r="K101" i="5"/>
  <c r="L29" i="5"/>
  <c r="L80" i="5"/>
  <c r="K87" i="5"/>
  <c r="L40" i="5"/>
  <c r="L122" i="5"/>
  <c r="L75" i="5"/>
  <c r="L46" i="5"/>
  <c r="K39" i="5"/>
  <c r="K96" i="5"/>
  <c r="L125" i="5"/>
  <c r="L118" i="5"/>
  <c r="K21" i="5"/>
  <c r="L112" i="5"/>
  <c r="K108" i="5"/>
  <c r="K106" i="5"/>
  <c r="L63" i="5"/>
  <c r="L79" i="5"/>
  <c r="K45" i="5"/>
  <c r="L9" i="5"/>
  <c r="L43" i="5"/>
  <c r="K25" i="5"/>
  <c r="K95" i="5"/>
  <c r="L39" i="5"/>
  <c r="K47" i="5"/>
  <c r="K27" i="5"/>
  <c r="K89" i="5"/>
  <c r="K69" i="5"/>
  <c r="K11" i="5"/>
  <c r="L110" i="5"/>
  <c r="K61" i="5"/>
  <c r="L114" i="5"/>
  <c r="K29" i="5"/>
  <c r="L31" i="5"/>
  <c r="L6" i="5"/>
  <c r="L47" i="5"/>
  <c r="K86" i="5"/>
  <c r="L42" i="5"/>
  <c r="K124" i="5"/>
  <c r="K107" i="5"/>
  <c r="L28" i="5"/>
  <c r="K73" i="5"/>
  <c r="L66" i="5"/>
  <c r="K20" i="5"/>
  <c r="L101" i="5"/>
  <c r="K13" i="5"/>
  <c r="L106" i="5"/>
  <c r="K120" i="5"/>
  <c r="L45" i="5"/>
  <c r="L4" i="5"/>
  <c r="K118" i="5"/>
  <c r="K40" i="5"/>
  <c r="K3" i="5"/>
  <c r="K119" i="5"/>
  <c r="L17" i="5"/>
  <c r="L55" i="5"/>
  <c r="L7" i="5"/>
  <c r="K79" i="5"/>
  <c r="K46" i="5"/>
  <c r="K126" i="5"/>
  <c r="L105" i="5"/>
  <c r="K30" i="5"/>
  <c r="L78" i="5"/>
  <c r="K56" i="5"/>
  <c r="L87" i="5"/>
  <c r="K117" i="5"/>
  <c r="K111" i="5"/>
  <c r="L62" i="5"/>
  <c r="L96" i="5"/>
  <c r="K77" i="5"/>
  <c r="K103" i="5"/>
  <c r="L117" i="5"/>
  <c r="L74" i="5"/>
  <c r="L81" i="5"/>
  <c r="L76" i="5"/>
  <c r="K41" i="5"/>
  <c r="K53" i="5"/>
  <c r="L5" i="5"/>
  <c r="L94" i="5"/>
  <c r="K43" i="5"/>
  <c r="L71" i="5"/>
  <c r="K63" i="5"/>
  <c r="L124" i="5"/>
  <c r="L115" i="5"/>
  <c r="L37" i="5"/>
  <c r="K93" i="5"/>
  <c r="L116" i="5"/>
  <c r="F11" i="16" l="1"/>
  <c r="F15" i="16"/>
  <c r="F5" i="16"/>
  <c r="F7" i="16"/>
  <c r="F22" i="16"/>
  <c r="F6" i="16"/>
  <c r="F18" i="16"/>
  <c r="F10" i="16"/>
  <c r="F12" i="16"/>
  <c r="F20" i="16"/>
  <c r="F17" i="16"/>
  <c r="F3" i="16"/>
  <c r="F8" i="16"/>
  <c r="F9" i="16"/>
  <c r="F25" i="16"/>
  <c r="F24" i="16"/>
  <c r="F23" i="16"/>
  <c r="F13" i="16"/>
  <c r="F4" i="16"/>
  <c r="F14" i="16"/>
  <c r="F19" i="16"/>
  <c r="F16" i="16"/>
  <c r="F21" i="16"/>
  <c r="J82" i="5"/>
  <c r="F10" i="5"/>
  <c r="J21" i="5"/>
  <c r="F113" i="5"/>
  <c r="F112" i="5"/>
  <c r="H105" i="5"/>
  <c r="F60" i="5"/>
  <c r="J44" i="5"/>
  <c r="I81" i="5"/>
  <c r="I106" i="5"/>
  <c r="I22" i="5"/>
  <c r="I16" i="5"/>
  <c r="H97" i="5"/>
  <c r="F6" i="5"/>
  <c r="I89" i="5"/>
  <c r="F123" i="5"/>
  <c r="J32" i="5"/>
  <c r="J12" i="5"/>
  <c r="H41" i="5"/>
  <c r="F95" i="5"/>
  <c r="I99" i="5"/>
  <c r="F31" i="5"/>
  <c r="J124" i="5"/>
  <c r="F124" i="5"/>
  <c r="J67" i="5"/>
  <c r="H55" i="5"/>
  <c r="H124" i="5"/>
  <c r="H76" i="5"/>
  <c r="H49" i="5"/>
  <c r="I119" i="5"/>
  <c r="F87" i="5"/>
  <c r="J101" i="5"/>
  <c r="J52" i="5"/>
  <c r="F80" i="5"/>
  <c r="I74" i="5"/>
  <c r="H101" i="5"/>
  <c r="I93" i="5"/>
  <c r="H58" i="5"/>
  <c r="I6" i="5"/>
  <c r="J33" i="5"/>
  <c r="H118" i="5"/>
  <c r="J39" i="5"/>
  <c r="F41" i="5"/>
  <c r="I68" i="5"/>
  <c r="I117" i="5"/>
  <c r="H65" i="5"/>
  <c r="H6" i="5"/>
  <c r="H88" i="5"/>
  <c r="H93" i="5"/>
  <c r="I83" i="5"/>
  <c r="J34" i="5"/>
  <c r="I113" i="5"/>
  <c r="H42" i="5"/>
  <c r="F17" i="5"/>
  <c r="J55" i="5"/>
  <c r="I124" i="5"/>
  <c r="J66" i="5"/>
  <c r="F125" i="5"/>
  <c r="J8" i="5"/>
  <c r="F66" i="5"/>
  <c r="H121" i="5"/>
  <c r="F101" i="5"/>
  <c r="I9" i="5"/>
  <c r="J81" i="5"/>
  <c r="I72" i="5"/>
  <c r="I95" i="5"/>
  <c r="H75" i="5"/>
  <c r="J26" i="5"/>
  <c r="H47" i="5"/>
  <c r="I19" i="5"/>
  <c r="I44" i="5"/>
  <c r="J71" i="5"/>
  <c r="F96" i="5"/>
  <c r="H115" i="5"/>
  <c r="J2" i="5"/>
  <c r="H114" i="5"/>
  <c r="H43" i="5"/>
  <c r="J6" i="5"/>
  <c r="H111" i="5"/>
  <c r="F103" i="5"/>
  <c r="I70" i="5"/>
  <c r="H116" i="5"/>
  <c r="J112" i="5"/>
  <c r="F52" i="5"/>
  <c r="I122" i="5"/>
  <c r="J100" i="5"/>
  <c r="J84" i="5"/>
  <c r="J97" i="5"/>
  <c r="J123" i="5"/>
  <c r="J119" i="5"/>
  <c r="I50" i="5"/>
  <c r="J96" i="5"/>
  <c r="I10" i="5"/>
  <c r="H84" i="5"/>
  <c r="H23" i="5"/>
  <c r="H126" i="5"/>
  <c r="J70" i="5"/>
  <c r="F74" i="5"/>
  <c r="J113" i="5"/>
  <c r="J65" i="5"/>
  <c r="F47" i="5"/>
  <c r="I20" i="5"/>
  <c r="F30" i="5"/>
  <c r="J69" i="5"/>
  <c r="I76" i="5"/>
  <c r="J108" i="5"/>
  <c r="H45" i="5"/>
  <c r="H4" i="5"/>
  <c r="F2" i="5"/>
  <c r="H106" i="5"/>
  <c r="I109" i="5"/>
  <c r="F63" i="5"/>
  <c r="I102" i="5"/>
  <c r="J23" i="5"/>
  <c r="F59" i="5"/>
  <c r="F102" i="5"/>
  <c r="H104" i="5"/>
  <c r="I12" i="5"/>
  <c r="F36" i="5"/>
  <c r="I120" i="5"/>
  <c r="I42" i="5"/>
  <c r="F27" i="5"/>
  <c r="I48" i="5"/>
  <c r="J5" i="5"/>
  <c r="J126" i="5"/>
  <c r="I86" i="5"/>
  <c r="I123" i="5"/>
  <c r="I90" i="5"/>
  <c r="I43" i="5"/>
  <c r="J51" i="5"/>
  <c r="H85" i="5"/>
  <c r="H73" i="5"/>
  <c r="I4" i="5"/>
  <c r="F13" i="5"/>
  <c r="J118" i="5"/>
  <c r="F72" i="5"/>
  <c r="F43" i="5"/>
  <c r="I36" i="5"/>
  <c r="J40" i="5"/>
  <c r="H31" i="5"/>
  <c r="J9" i="5"/>
  <c r="F5" i="5"/>
  <c r="I94" i="5"/>
  <c r="I79" i="5"/>
  <c r="I8" i="5"/>
  <c r="F121" i="5"/>
  <c r="J14" i="5"/>
  <c r="F120" i="5"/>
  <c r="F33" i="5"/>
  <c r="F73" i="5"/>
  <c r="F20" i="5"/>
  <c r="I37" i="5"/>
  <c r="F11" i="5"/>
  <c r="I110" i="5"/>
  <c r="F119" i="5"/>
  <c r="J77" i="5"/>
  <c r="I103" i="5"/>
  <c r="H66" i="5"/>
  <c r="J25" i="5"/>
  <c r="I77" i="5"/>
  <c r="H96" i="5"/>
  <c r="F18" i="5"/>
  <c r="H19" i="5"/>
  <c r="J64" i="5"/>
  <c r="I30" i="5"/>
  <c r="I65" i="5"/>
  <c r="I104" i="5"/>
  <c r="I57" i="5"/>
  <c r="J105" i="5"/>
  <c r="H82" i="5"/>
  <c r="F40" i="5"/>
  <c r="J13" i="5"/>
  <c r="I60" i="5"/>
  <c r="J19" i="5"/>
  <c r="F58" i="5"/>
  <c r="H107" i="5"/>
  <c r="F118" i="5"/>
  <c r="F107" i="5"/>
  <c r="H120" i="5"/>
  <c r="H69" i="5"/>
  <c r="H16" i="5"/>
  <c r="F68" i="5"/>
  <c r="J89" i="5"/>
  <c r="J86" i="5"/>
  <c r="I51" i="5"/>
  <c r="J38" i="5"/>
  <c r="F3" i="5"/>
  <c r="H44" i="5"/>
  <c r="J50" i="5"/>
  <c r="F122" i="5"/>
  <c r="H39" i="5"/>
  <c r="H95" i="5"/>
  <c r="J42" i="5"/>
  <c r="J53" i="5"/>
  <c r="F14" i="5"/>
  <c r="E14" i="6"/>
  <c r="V7" i="16"/>
  <c r="F89" i="5"/>
  <c r="H100" i="5"/>
  <c r="H40" i="5"/>
  <c r="F55" i="5"/>
  <c r="Y21" i="16"/>
  <c r="J45" i="5"/>
  <c r="I31" i="5"/>
  <c r="H77" i="5"/>
  <c r="I114" i="5"/>
  <c r="H5" i="5"/>
  <c r="I80" i="5"/>
  <c r="H17" i="5"/>
  <c r="I56" i="5"/>
  <c r="V21" i="16"/>
  <c r="F42" i="5"/>
  <c r="I101" i="5"/>
  <c r="J10" i="5"/>
  <c r="J107" i="5"/>
  <c r="F34" i="5"/>
  <c r="J116" i="5"/>
  <c r="V9" i="16"/>
  <c r="F57" i="5"/>
  <c r="F91" i="5"/>
  <c r="I75" i="5"/>
  <c r="F50" i="5"/>
  <c r="F9" i="5"/>
  <c r="H122" i="5"/>
  <c r="I73" i="5"/>
  <c r="I39" i="5"/>
  <c r="F37" i="5"/>
  <c r="H11" i="5"/>
  <c r="F109" i="5"/>
  <c r="H63" i="5"/>
  <c r="J109" i="5"/>
  <c r="I71" i="5"/>
  <c r="I32" i="5"/>
  <c r="H53" i="5"/>
  <c r="H110" i="5"/>
  <c r="V20" i="16"/>
  <c r="H48" i="5"/>
  <c r="F22" i="5"/>
  <c r="I15" i="5"/>
  <c r="F48" i="5"/>
  <c r="Y4" i="16"/>
  <c r="I26" i="5"/>
  <c r="H38" i="5"/>
  <c r="Y22" i="16"/>
  <c r="F61" i="5"/>
  <c r="J120" i="5"/>
  <c r="V23" i="16"/>
  <c r="I116" i="5"/>
  <c r="V6" i="16"/>
  <c r="I78" i="5"/>
  <c r="J24" i="5"/>
  <c r="F94" i="5"/>
  <c r="H54" i="5"/>
  <c r="H94" i="5"/>
  <c r="I84" i="5"/>
  <c r="J30" i="5"/>
  <c r="Y3" i="16"/>
  <c r="I3" i="5"/>
  <c r="J37" i="5"/>
  <c r="H7" i="5"/>
  <c r="I46" i="5"/>
  <c r="F7" i="5"/>
  <c r="H3" i="5"/>
  <c r="I25" i="5"/>
  <c r="F39" i="5"/>
  <c r="F29" i="5"/>
  <c r="F19" i="5"/>
  <c r="J90" i="5"/>
  <c r="I107" i="5"/>
  <c r="D14" i="6"/>
  <c r="J18" i="5"/>
  <c r="J117" i="5"/>
  <c r="I112" i="5"/>
  <c r="J110" i="5"/>
  <c r="L9" i="16"/>
  <c r="J94" i="5"/>
  <c r="O24" i="16"/>
  <c r="L3" i="16"/>
  <c r="I67" i="5"/>
  <c r="H8" i="5"/>
  <c r="I40" i="5"/>
  <c r="H15" i="5"/>
  <c r="H92" i="5"/>
  <c r="H125" i="5"/>
  <c r="F90" i="5"/>
  <c r="J91" i="5"/>
  <c r="F85" i="5"/>
  <c r="F54" i="5"/>
  <c r="J16" i="5"/>
  <c r="H60" i="5"/>
  <c r="F4" i="5"/>
  <c r="J85" i="5"/>
  <c r="H13" i="5"/>
  <c r="H22" i="5"/>
  <c r="F45" i="5"/>
  <c r="F77" i="5"/>
  <c r="H98" i="5"/>
  <c r="H33" i="5"/>
  <c r="J78" i="5"/>
  <c r="F117" i="5"/>
  <c r="H46" i="5"/>
  <c r="L20" i="16"/>
  <c r="J87" i="5"/>
  <c r="J35" i="5"/>
  <c r="J121" i="5"/>
  <c r="V14" i="16"/>
  <c r="F86" i="5"/>
  <c r="F21" i="5"/>
  <c r="H112" i="5"/>
  <c r="H103" i="5"/>
  <c r="I53" i="5"/>
  <c r="F114" i="5"/>
  <c r="I97" i="5"/>
  <c r="J27" i="5"/>
  <c r="I59" i="5"/>
  <c r="F79" i="5"/>
  <c r="F8" i="5"/>
  <c r="J36" i="5"/>
  <c r="L22" i="16"/>
  <c r="O18" i="16"/>
  <c r="F75" i="5"/>
  <c r="J92" i="5"/>
  <c r="J79" i="5"/>
  <c r="Y14" i="16"/>
  <c r="F98" i="5"/>
  <c r="H89" i="5"/>
  <c r="J47" i="5"/>
  <c r="J72" i="5"/>
  <c r="H123" i="5"/>
  <c r="I21" i="5"/>
  <c r="F69" i="5"/>
  <c r="J75" i="5"/>
  <c r="J41" i="5"/>
  <c r="J125" i="5"/>
  <c r="I2" i="5"/>
  <c r="F93" i="5"/>
  <c r="F88" i="5"/>
  <c r="H28" i="5"/>
  <c r="H51" i="5"/>
  <c r="I34" i="5"/>
  <c r="F83" i="5"/>
  <c r="I29" i="5"/>
  <c r="H70" i="5"/>
  <c r="J74" i="5"/>
  <c r="I105" i="5"/>
  <c r="H68" i="5"/>
  <c r="F62" i="5"/>
  <c r="H83" i="5"/>
  <c r="H18" i="5"/>
  <c r="V24" i="16"/>
  <c r="J106" i="5"/>
  <c r="J29" i="5"/>
  <c r="H26" i="5"/>
  <c r="J3" i="5"/>
  <c r="I13" i="5"/>
  <c r="J93" i="5"/>
  <c r="O3" i="16"/>
  <c r="L11" i="16"/>
  <c r="O21" i="16"/>
  <c r="I121" i="5"/>
  <c r="H56" i="5"/>
  <c r="C25" i="6"/>
  <c r="J62" i="5"/>
  <c r="F51" i="5"/>
  <c r="I69" i="5"/>
  <c r="I23" i="5"/>
  <c r="H64" i="5"/>
  <c r="H61" i="5"/>
  <c r="H91" i="5"/>
  <c r="H86" i="5"/>
  <c r="F81" i="5"/>
  <c r="J56" i="5"/>
  <c r="J7" i="5"/>
  <c r="F106" i="5"/>
  <c r="H50" i="5"/>
  <c r="I17" i="5"/>
  <c r="V13" i="16"/>
  <c r="J83" i="5"/>
  <c r="F15" i="5"/>
  <c r="H14" i="5"/>
  <c r="F104" i="5"/>
  <c r="L7" i="16"/>
  <c r="L13" i="16"/>
  <c r="L8" i="16"/>
  <c r="J31" i="5"/>
  <c r="J20" i="5"/>
  <c r="I92" i="5"/>
  <c r="I33" i="5"/>
  <c r="H87" i="5"/>
  <c r="J15" i="5"/>
  <c r="V5" i="16"/>
  <c r="F108" i="5"/>
  <c r="F67" i="5"/>
  <c r="I47" i="5"/>
  <c r="H113" i="5"/>
  <c r="I41" i="5"/>
  <c r="F70" i="5"/>
  <c r="J98" i="5"/>
  <c r="H119" i="5"/>
  <c r="L14" i="16"/>
  <c r="L4" i="16"/>
  <c r="F64" i="5"/>
  <c r="I66" i="5"/>
  <c r="H102" i="5"/>
  <c r="H80" i="5"/>
  <c r="I88" i="5"/>
  <c r="F56" i="5"/>
  <c r="V11" i="16"/>
  <c r="I49" i="5"/>
  <c r="H29" i="5"/>
  <c r="J103" i="5"/>
  <c r="F12" i="5"/>
  <c r="H52" i="5"/>
  <c r="H81" i="5"/>
  <c r="V19" i="16"/>
  <c r="O10" i="16"/>
  <c r="H20" i="5"/>
  <c r="I111" i="5"/>
  <c r="I52" i="5"/>
  <c r="F105" i="5"/>
  <c r="H67" i="5"/>
  <c r="V12" i="16"/>
  <c r="Y24" i="16"/>
  <c r="J22" i="5"/>
  <c r="H79" i="5"/>
  <c r="J115" i="5"/>
  <c r="F126" i="5"/>
  <c r="I54" i="5"/>
  <c r="I87" i="5"/>
  <c r="M1" i="5" a="1"/>
  <c r="F65" i="5"/>
  <c r="H59" i="5"/>
  <c r="J54" i="5"/>
  <c r="Y8" i="16"/>
  <c r="I38" i="5"/>
  <c r="F84" i="5"/>
  <c r="J68" i="5"/>
  <c r="I98" i="5"/>
  <c r="I62" i="5"/>
  <c r="I55" i="5"/>
  <c r="J104" i="5"/>
  <c r="O7" i="16"/>
  <c r="I118" i="5"/>
  <c r="H21" i="5"/>
  <c r="L17" i="16"/>
  <c r="F26" i="5"/>
  <c r="F25" i="5"/>
  <c r="H71" i="5"/>
  <c r="I115" i="5"/>
  <c r="H37" i="5"/>
  <c r="F46" i="5"/>
  <c r="F71" i="5"/>
  <c r="H90" i="5"/>
  <c r="I125" i="5"/>
  <c r="Y17" i="16"/>
  <c r="H62" i="5"/>
  <c r="O20" i="16"/>
  <c r="H25" i="5"/>
  <c r="F35" i="5"/>
  <c r="O15" i="16"/>
  <c r="L19" i="16"/>
  <c r="I5" i="5"/>
  <c r="I7" i="5"/>
  <c r="I91" i="5"/>
  <c r="F110" i="5"/>
  <c r="H117" i="5"/>
  <c r="H74" i="5"/>
  <c r="J61" i="5"/>
  <c r="F49" i="5"/>
  <c r="I126" i="5"/>
  <c r="H12" i="5"/>
  <c r="J114" i="5"/>
  <c r="V10" i="16"/>
  <c r="L16" i="16"/>
  <c r="L18" i="16"/>
  <c r="F115" i="5"/>
  <c r="F92" i="5"/>
  <c r="H108" i="5"/>
  <c r="F16" i="5"/>
  <c r="J46" i="5"/>
  <c r="I35" i="5"/>
  <c r="J28" i="5"/>
  <c r="I100" i="5"/>
  <c r="J99" i="5"/>
  <c r="I14" i="5"/>
  <c r="V17" i="16"/>
  <c r="J58" i="5"/>
  <c r="H57" i="5"/>
  <c r="Y16" i="16"/>
  <c r="L21" i="16"/>
  <c r="F24" i="5"/>
  <c r="H10" i="5"/>
  <c r="J88" i="5"/>
  <c r="I85" i="5"/>
  <c r="F99" i="5"/>
  <c r="H99" i="5"/>
  <c r="H109" i="5"/>
  <c r="J73" i="5"/>
  <c r="H32" i="5"/>
  <c r="I82" i="5"/>
  <c r="I45" i="5"/>
  <c r="J76" i="5"/>
  <c r="H35" i="5"/>
  <c r="O9" i="16"/>
  <c r="J59" i="5"/>
  <c r="F53" i="5"/>
  <c r="I96" i="5"/>
  <c r="F23" i="5"/>
  <c r="J17" i="5"/>
  <c r="F28" i="5"/>
  <c r="J60" i="5"/>
  <c r="J122" i="5"/>
  <c r="H2" i="5"/>
  <c r="H27" i="5"/>
  <c r="I18" i="5"/>
  <c r="I108" i="5"/>
  <c r="J63" i="5"/>
  <c r="Y18" i="16"/>
  <c r="L24" i="16"/>
  <c r="F78" i="5"/>
  <c r="H36" i="5"/>
  <c r="J57" i="5"/>
  <c r="H9" i="5"/>
  <c r="I27" i="5"/>
  <c r="Y20" i="16"/>
  <c r="H72" i="5"/>
  <c r="I28" i="5"/>
  <c r="F97" i="5"/>
  <c r="J11" i="5"/>
  <c r="F82" i="5"/>
  <c r="H34" i="5"/>
  <c r="E15" i="6"/>
  <c r="O6" i="16"/>
  <c r="J95" i="5"/>
  <c r="V3" i="16"/>
  <c r="H24" i="5"/>
  <c r="F32" i="5"/>
  <c r="J48" i="5"/>
  <c r="I24" i="5"/>
  <c r="J43" i="5"/>
  <c r="J80" i="5"/>
  <c r="I63" i="5"/>
  <c r="H78" i="5"/>
  <c r="I61" i="5"/>
  <c r="F76" i="5"/>
  <c r="O5" i="16"/>
  <c r="I11" i="5"/>
  <c r="J102" i="5"/>
  <c r="F100" i="5"/>
  <c r="H30" i="5"/>
  <c r="F116" i="5"/>
  <c r="I64" i="5"/>
  <c r="F38" i="5"/>
  <c r="F111" i="5"/>
  <c r="J49" i="5"/>
  <c r="J111" i="5"/>
  <c r="Y13" i="16"/>
  <c r="J4" i="5"/>
  <c r="I58" i="5"/>
  <c r="F44" i="5"/>
  <c r="L6" i="16"/>
  <c r="E28" i="6"/>
  <c r="Y19" i="16"/>
  <c r="V22" i="16"/>
  <c r="V15" i="16"/>
  <c r="V4" i="16"/>
  <c r="Y10" i="16"/>
  <c r="N1" i="5" a="1"/>
  <c r="Y12" i="16"/>
  <c r="Y25" i="16"/>
  <c r="V25" i="16"/>
  <c r="Y23" i="16"/>
  <c r="Y15" i="16"/>
  <c r="Y7" i="16"/>
  <c r="Y5" i="16"/>
  <c r="Y11" i="16"/>
  <c r="Y9" i="16"/>
  <c r="V8" i="16"/>
  <c r="Y6" i="16"/>
  <c r="V16" i="16"/>
  <c r="V18" i="16"/>
  <c r="L15" i="16"/>
  <c r="D15" i="6"/>
  <c r="O14" i="16"/>
  <c r="L10" i="16"/>
  <c r="L5" i="16"/>
  <c r="O22" i="16"/>
  <c r="L25" i="16"/>
  <c r="O23" i="16"/>
  <c r="O4" i="16"/>
  <c r="O25" i="16"/>
  <c r="O16" i="16"/>
  <c r="O17" i="16"/>
  <c r="O8" i="16"/>
  <c r="O19" i="16"/>
  <c r="L23" i="16"/>
  <c r="D28" i="6"/>
  <c r="L12" i="16"/>
  <c r="O11" i="16"/>
  <c r="O12" i="16"/>
  <c r="O13" i="16"/>
  <c r="C24" i="6"/>
  <c r="M23" i="16" l="1"/>
  <c r="P21" i="16"/>
  <c r="M18" i="16"/>
  <c r="M19" i="16"/>
  <c r="P6" i="16"/>
  <c r="M3" i="16"/>
  <c r="M15" i="16"/>
  <c r="P14" i="16"/>
  <c r="M24" i="16"/>
  <c r="P10" i="16"/>
  <c r="M4" i="16"/>
  <c r="M8" i="16"/>
  <c r="P18" i="16"/>
  <c r="P4" i="16"/>
  <c r="P17" i="16"/>
  <c r="M12" i="16"/>
  <c r="M11" i="16"/>
  <c r="M6" i="16"/>
  <c r="P5" i="16"/>
  <c r="M17" i="16"/>
  <c r="P23" i="16"/>
  <c r="P25" i="16"/>
  <c r="P8" i="16"/>
  <c r="P11" i="16"/>
  <c r="M63" i="5"/>
  <c r="M13" i="5"/>
  <c r="M36" i="5"/>
  <c r="M22" i="5"/>
  <c r="M113" i="5"/>
  <c r="M30" i="5"/>
  <c r="M92" i="5"/>
  <c r="M114" i="5"/>
  <c r="M27" i="5"/>
  <c r="M37" i="5"/>
  <c r="M73" i="5"/>
  <c r="M12" i="5"/>
  <c r="M47" i="5"/>
  <c r="M87" i="5"/>
  <c r="M120" i="5"/>
  <c r="M29" i="5"/>
  <c r="M42" i="5"/>
  <c r="M116" i="5"/>
  <c r="M43" i="5"/>
  <c r="M60" i="5"/>
  <c r="M115" i="5"/>
  <c r="M79" i="5"/>
  <c r="M111" i="5"/>
  <c r="M67" i="5"/>
  <c r="M123" i="5"/>
  <c r="M76" i="5"/>
  <c r="M24" i="5"/>
  <c r="M103" i="5"/>
  <c r="M74" i="5"/>
  <c r="M101" i="5"/>
  <c r="M97" i="5"/>
  <c r="M93" i="5"/>
  <c r="M32" i="5"/>
  <c r="M31" i="5"/>
  <c r="M35" i="5"/>
  <c r="M106" i="5"/>
  <c r="M44" i="5"/>
  <c r="M94" i="5"/>
  <c r="M40" i="5"/>
  <c r="M45" i="5"/>
  <c r="M105" i="5"/>
  <c r="M55" i="5"/>
  <c r="M69" i="5"/>
  <c r="M122" i="5"/>
  <c r="M33" i="5"/>
  <c r="M125" i="5"/>
  <c r="M80" i="5"/>
  <c r="M34" i="5"/>
  <c r="M41" i="5"/>
  <c r="M81" i="5"/>
  <c r="M86" i="5"/>
  <c r="M2" i="5"/>
  <c r="M104" i="5"/>
  <c r="M58" i="5"/>
  <c r="M78" i="5"/>
  <c r="M1" i="5"/>
  <c r="M82" i="5"/>
  <c r="M96" i="5"/>
  <c r="M26" i="5"/>
  <c r="M51" i="5"/>
  <c r="M57" i="5"/>
  <c r="M100" i="5"/>
  <c r="M107" i="5"/>
  <c r="M112" i="5"/>
  <c r="M17" i="5"/>
  <c r="M72" i="5"/>
  <c r="M124" i="5"/>
  <c r="M39" i="5"/>
  <c r="M88" i="5"/>
  <c r="M10" i="5"/>
  <c r="M89" i="5"/>
  <c r="M52" i="5"/>
  <c r="M8" i="5"/>
  <c r="M102" i="5"/>
  <c r="M65" i="5"/>
  <c r="M126" i="5"/>
  <c r="M68" i="5"/>
  <c r="M71" i="5"/>
  <c r="M75" i="5"/>
  <c r="M90" i="5"/>
  <c r="M16" i="5"/>
  <c r="M64" i="5"/>
  <c r="M50" i="5"/>
  <c r="M3" i="5"/>
  <c r="M5" i="5"/>
  <c r="M95" i="5"/>
  <c r="M7" i="5"/>
  <c r="M121" i="5"/>
  <c r="M110" i="5"/>
  <c r="M9" i="5"/>
  <c r="M19" i="5"/>
  <c r="M14" i="5"/>
  <c r="M23" i="5"/>
  <c r="M21" i="5"/>
  <c r="M15" i="5"/>
  <c r="M38" i="5"/>
  <c r="M28" i="5"/>
  <c r="M54" i="5"/>
  <c r="M85" i="5"/>
  <c r="M61" i="5"/>
  <c r="M11" i="5"/>
  <c r="M18" i="5"/>
  <c r="M20" i="5"/>
  <c r="M62" i="5"/>
  <c r="M117" i="5"/>
  <c r="M48" i="5"/>
  <c r="M70" i="5"/>
  <c r="M99" i="5"/>
  <c r="M53" i="5"/>
  <c r="M56" i="5"/>
  <c r="M119" i="5"/>
  <c r="M77" i="5"/>
  <c r="M49" i="5"/>
  <c r="M84" i="5"/>
  <c r="M6" i="5"/>
  <c r="M83" i="5"/>
  <c r="M66" i="5"/>
  <c r="M4" i="5"/>
  <c r="M98" i="5"/>
  <c r="M59" i="5"/>
  <c r="M46" i="5"/>
  <c r="M91" i="5"/>
  <c r="M25" i="5"/>
  <c r="M118" i="5"/>
  <c r="M108" i="5"/>
  <c r="M109" i="5"/>
  <c r="P9" i="16"/>
  <c r="M21" i="16"/>
  <c r="M13" i="16"/>
  <c r="P24" i="16"/>
  <c r="M10" i="16"/>
  <c r="P12" i="16"/>
  <c r="P3" i="16"/>
  <c r="M16" i="16"/>
  <c r="P15" i="16"/>
  <c r="Z19" i="16"/>
  <c r="Z10" i="16"/>
  <c r="Z23" i="16"/>
  <c r="Z11" i="16"/>
  <c r="Z18" i="16"/>
  <c r="W19" i="16"/>
  <c r="M14" i="16"/>
  <c r="P22" i="16"/>
  <c r="W6" i="16"/>
  <c r="M5" i="16"/>
  <c r="D22" i="16"/>
  <c r="E22" i="16" s="1"/>
  <c r="Z16" i="16"/>
  <c r="M7" i="16"/>
  <c r="M25" i="16"/>
  <c r="M9" i="16"/>
  <c r="W14" i="16"/>
  <c r="M22" i="16"/>
  <c r="Z15" i="16"/>
  <c r="P13" i="16"/>
  <c r="Z7" i="16"/>
  <c r="W9" i="16"/>
  <c r="W10" i="16"/>
  <c r="W23" i="16"/>
  <c r="D15" i="16"/>
  <c r="E15" i="16" s="1"/>
  <c r="W22" i="16"/>
  <c r="N122" i="5"/>
  <c r="N56" i="5"/>
  <c r="N9" i="5"/>
  <c r="N125" i="5"/>
  <c r="N99" i="5"/>
  <c r="N96" i="5"/>
  <c r="N104" i="5"/>
  <c r="N33" i="5"/>
  <c r="N55" i="5"/>
  <c r="N73" i="5"/>
  <c r="N102" i="5"/>
  <c r="N116" i="5"/>
  <c r="N43" i="5"/>
  <c r="N93" i="5"/>
  <c r="N41" i="5"/>
  <c r="N23" i="5"/>
  <c r="N63" i="5"/>
  <c r="N75" i="5"/>
  <c r="N35" i="5"/>
  <c r="N66" i="5"/>
  <c r="N62" i="5"/>
  <c r="N107" i="5"/>
  <c r="N53" i="5"/>
  <c r="N117" i="5"/>
  <c r="N32" i="5"/>
  <c r="N2" i="5"/>
  <c r="N22" i="5"/>
  <c r="N77" i="5"/>
  <c r="N85" i="5"/>
  <c r="N31" i="5"/>
  <c r="N50" i="5"/>
  <c r="N47" i="5"/>
  <c r="N83" i="5"/>
  <c r="N24" i="5"/>
  <c r="N87" i="5"/>
  <c r="N19" i="5"/>
  <c r="N84" i="5"/>
  <c r="N20" i="5"/>
  <c r="N90" i="5"/>
  <c r="N13" i="5"/>
  <c r="N108" i="5"/>
  <c r="N76" i="5"/>
  <c r="N64" i="5"/>
  <c r="N21" i="5"/>
  <c r="N12" i="5"/>
  <c r="N121" i="5"/>
  <c r="N58" i="5"/>
  <c r="N69" i="5"/>
  <c r="N106" i="5"/>
  <c r="N28" i="5"/>
  <c r="N80" i="5"/>
  <c r="N60" i="5"/>
  <c r="N42" i="5"/>
  <c r="N118" i="5"/>
  <c r="N5" i="5"/>
  <c r="N68" i="5"/>
  <c r="N67" i="5"/>
  <c r="N38" i="5"/>
  <c r="N49" i="5"/>
  <c r="N14" i="5"/>
  <c r="N94" i="5"/>
  <c r="N101" i="5"/>
  <c r="N100" i="5"/>
  <c r="N65" i="5"/>
  <c r="N72" i="5"/>
  <c r="N92" i="5"/>
  <c r="N39" i="5"/>
  <c r="N44" i="5"/>
  <c r="N26" i="5"/>
  <c r="N98" i="5"/>
  <c r="N81" i="5"/>
  <c r="N120" i="5"/>
  <c r="N7" i="5"/>
  <c r="N4" i="5"/>
  <c r="N45" i="5"/>
  <c r="N61" i="5"/>
  <c r="N17" i="5"/>
  <c r="N79" i="5"/>
  <c r="N123" i="5"/>
  <c r="N25" i="5"/>
  <c r="N91" i="5"/>
  <c r="N34" i="5"/>
  <c r="N8" i="5"/>
  <c r="N78" i="5"/>
  <c r="N110" i="5"/>
  <c r="N27" i="5"/>
  <c r="N119" i="5"/>
  <c r="N29" i="5"/>
  <c r="N111" i="5"/>
  <c r="N40" i="5"/>
  <c r="N11" i="5"/>
  <c r="N54" i="5"/>
  <c r="N36" i="5"/>
  <c r="N112" i="5"/>
  <c r="N16" i="5"/>
  <c r="N89" i="5"/>
  <c r="N51" i="5"/>
  <c r="N97" i="5"/>
  <c r="N37" i="5"/>
  <c r="N48" i="5"/>
  <c r="N15" i="5"/>
  <c r="N70" i="5"/>
  <c r="N46" i="5"/>
  <c r="N126" i="5"/>
  <c r="N82" i="5"/>
  <c r="N6" i="5"/>
  <c r="N124" i="5"/>
  <c r="N88" i="5"/>
  <c r="N95" i="5"/>
  <c r="N74" i="5"/>
  <c r="N3" i="5"/>
  <c r="N30" i="5"/>
  <c r="N86" i="5"/>
  <c r="N113" i="5"/>
  <c r="N114" i="5"/>
  <c r="N105" i="5"/>
  <c r="N59" i="5"/>
  <c r="N10" i="5"/>
  <c r="N1" i="5"/>
  <c r="N52" i="5"/>
  <c r="N109" i="5"/>
  <c r="N71" i="5"/>
  <c r="N103" i="5"/>
  <c r="N57" i="5"/>
  <c r="N115" i="5"/>
  <c r="N18" i="5"/>
  <c r="Z22" i="16"/>
  <c r="P19" i="16"/>
  <c r="D13" i="16"/>
  <c r="E13" i="16" s="1"/>
  <c r="P7" i="16"/>
  <c r="D17" i="16"/>
  <c r="E17" i="16" s="1"/>
  <c r="W13" i="16"/>
  <c r="W24" i="16"/>
  <c r="Z13" i="16"/>
  <c r="M20" i="16"/>
  <c r="P16" i="16"/>
  <c r="P20" i="16"/>
  <c r="D7" i="16"/>
  <c r="E7" i="16" s="1"/>
  <c r="D19" i="16"/>
  <c r="E19" i="16" s="1"/>
  <c r="W15" i="16"/>
  <c r="Z4" i="16"/>
  <c r="Z12" i="16"/>
  <c r="Z5" i="16"/>
  <c r="D3" i="16"/>
  <c r="E3" i="16" s="1"/>
  <c r="W21" i="16"/>
  <c r="Z9" i="16"/>
  <c r="Z17" i="16"/>
  <c r="Z14" i="16"/>
  <c r="W8" i="16"/>
  <c r="Z6" i="16"/>
  <c r="W17" i="16"/>
  <c r="D18" i="16"/>
  <c r="E18" i="16" s="1"/>
  <c r="W4" i="16"/>
  <c r="W20" i="16"/>
  <c r="D23" i="16"/>
  <c r="E23" i="16" s="1"/>
  <c r="D4" i="16"/>
  <c r="E4" i="16" s="1"/>
  <c r="D14" i="16"/>
  <c r="E14" i="16" s="1"/>
  <c r="W16" i="16"/>
  <c r="Z20" i="16"/>
  <c r="Z24" i="16"/>
  <c r="D6" i="16"/>
  <c r="E6" i="16" s="1"/>
  <c r="W11" i="16"/>
  <c r="W5" i="16"/>
  <c r="D8" i="16"/>
  <c r="E8" i="16" s="1"/>
  <c r="D5" i="16"/>
  <c r="E5" i="16" s="1"/>
  <c r="W12" i="16"/>
  <c r="Z25" i="16"/>
  <c r="D25" i="16"/>
  <c r="E25" i="16" s="1"/>
  <c r="D10" i="16"/>
  <c r="E10" i="16" s="1"/>
  <c r="Z3" i="16"/>
  <c r="D12" i="16"/>
  <c r="E12" i="16" s="1"/>
  <c r="W25" i="16"/>
  <c r="Z21" i="16"/>
  <c r="W7" i="16"/>
  <c r="W18" i="16"/>
  <c r="W3" i="16"/>
  <c r="Z8" i="16"/>
  <c r="D16" i="16"/>
  <c r="E16" i="16" s="1"/>
  <c r="D11" i="16"/>
  <c r="E11" i="16" s="1"/>
  <c r="D20" i="16"/>
  <c r="E20" i="16" s="1"/>
  <c r="D9" i="16"/>
  <c r="E9" i="16" s="1"/>
  <c r="D21" i="16"/>
  <c r="E21" i="16" s="1"/>
  <c r="D24" i="16"/>
  <c r="E24" i="16" s="1"/>
  <c r="G81" i="5"/>
  <c r="G60" i="5"/>
  <c r="G12" i="5"/>
  <c r="G51" i="5"/>
  <c r="G32" i="5"/>
  <c r="G21" i="5"/>
  <c r="G63" i="5"/>
  <c r="G9" i="5"/>
  <c r="G18" i="5"/>
  <c r="G57" i="5"/>
  <c r="D25" i="6"/>
  <c r="G30" i="5"/>
  <c r="G54" i="5"/>
  <c r="G122" i="5"/>
  <c r="G97" i="5"/>
  <c r="G34" i="5"/>
  <c r="G126" i="5"/>
  <c r="G14" i="5"/>
  <c r="G64" i="5"/>
  <c r="G79" i="5"/>
  <c r="G19" i="5"/>
  <c r="G107" i="5"/>
  <c r="G119" i="5"/>
  <c r="G11" i="5"/>
  <c r="G31" i="5"/>
  <c r="G2" i="5"/>
  <c r="G78" i="5"/>
  <c r="G84" i="5"/>
  <c r="G105" i="5"/>
  <c r="G95" i="5"/>
  <c r="G85" i="5"/>
  <c r="D24" i="6"/>
  <c r="G93" i="5"/>
  <c r="G10" i="5"/>
  <c r="G6" i="5"/>
  <c r="G118" i="5"/>
  <c r="G96" i="5"/>
  <c r="G114" i="5"/>
  <c r="G25" i="5"/>
  <c r="G80" i="5"/>
  <c r="G71" i="5"/>
  <c r="G111" i="5"/>
  <c r="G69" i="5"/>
  <c r="E24" i="6"/>
  <c r="G121" i="5"/>
  <c r="G98" i="5"/>
  <c r="G29" i="5"/>
  <c r="G37" i="5"/>
  <c r="G66" i="5"/>
  <c r="G117" i="5"/>
  <c r="G102" i="5"/>
  <c r="G70" i="5"/>
  <c r="G115" i="5"/>
  <c r="G100" i="5"/>
  <c r="G42" i="5"/>
  <c r="G74" i="5"/>
  <c r="G36" i="5"/>
  <c r="G101" i="5"/>
  <c r="G55" i="5"/>
  <c r="G73" i="5"/>
  <c r="E25" i="6"/>
  <c r="G7" i="5"/>
  <c r="G65" i="5"/>
  <c r="G103" i="5"/>
  <c r="G124" i="5"/>
  <c r="G86" i="5"/>
  <c r="G3" i="5"/>
  <c r="G56" i="5"/>
  <c r="G46" i="5"/>
  <c r="G125" i="5"/>
  <c r="G116" i="5"/>
  <c r="G94" i="5"/>
  <c r="G13" i="5"/>
  <c r="G110" i="5"/>
  <c r="G43" i="5"/>
  <c r="G77" i="5"/>
  <c r="G106" i="5"/>
  <c r="G20" i="5"/>
  <c r="G113" i="5"/>
  <c r="G109" i="5"/>
  <c r="E26" i="6"/>
  <c r="G40" i="5"/>
  <c r="G76" i="5"/>
  <c r="G39" i="5"/>
  <c r="G49" i="5"/>
  <c r="G112" i="5"/>
  <c r="G59" i="5"/>
  <c r="G5" i="5"/>
  <c r="G89" i="5"/>
  <c r="G15" i="5"/>
  <c r="G28" i="5"/>
  <c r="G120" i="5"/>
  <c r="G75" i="5"/>
  <c r="G38" i="5"/>
  <c r="G23" i="5"/>
  <c r="G58" i="5"/>
  <c r="G48" i="5"/>
  <c r="G16" i="5"/>
  <c r="G8" i="5"/>
  <c r="G27" i="5"/>
  <c r="G62" i="5"/>
  <c r="G22" i="5"/>
  <c r="G72" i="5"/>
  <c r="G26" i="5"/>
  <c r="G83" i="5"/>
  <c r="G4" i="5"/>
  <c r="G17" i="5"/>
  <c r="G88" i="5"/>
  <c r="G90" i="5"/>
  <c r="G33" i="5"/>
  <c r="G52" i="5"/>
  <c r="G82" i="5"/>
  <c r="G104" i="5"/>
  <c r="G41" i="5"/>
  <c r="G91" i="5"/>
  <c r="G92" i="5"/>
  <c r="G68" i="5"/>
  <c r="G44" i="5"/>
  <c r="G61" i="5"/>
  <c r="G47" i="5"/>
  <c r="G53" i="5"/>
  <c r="G87" i="5"/>
  <c r="G108" i="5"/>
  <c r="G123" i="5"/>
  <c r="G50" i="5"/>
  <c r="G99" i="5"/>
  <c r="G35" i="5"/>
  <c r="G24" i="5"/>
  <c r="G67" i="5"/>
  <c r="D26" i="6"/>
  <c r="G45" i="5"/>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<sst xmlns="http://schemas.openxmlformats.org/spreadsheetml/2006/main" count="288" uniqueCount="127">
  <si>
    <t>60Y</t>
  </si>
  <si>
    <t>50Y</t>
  </si>
  <si>
    <t>40Y</t>
  </si>
  <si>
    <t>30Y</t>
  </si>
  <si>
    <t>25Y</t>
  </si>
  <si>
    <t>20Y</t>
  </si>
  <si>
    <t>15Y</t>
  </si>
  <si>
    <t>12Y</t>
  </si>
  <si>
    <t>10Y</t>
  </si>
  <si>
    <t>9Y</t>
  </si>
  <si>
    <t>8Y</t>
  </si>
  <si>
    <t>7Y</t>
  </si>
  <si>
    <t>6Y</t>
  </si>
  <si>
    <t>5Y</t>
  </si>
  <si>
    <t>4Y</t>
  </si>
  <si>
    <t>3Y</t>
  </si>
  <si>
    <t>2Y</t>
  </si>
  <si>
    <t>X1S</t>
  </si>
  <si>
    <t>Latest Date</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</si>
  <si>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</si>
  <si>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</si>
  <si>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</si>
  <si>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</si>
  <si>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</si>
  <si>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</si>
  <si>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</si>
  <si>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</si>
  <si>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</si>
  <si>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</si>
  <si>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</si>
  <si>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</si>
  <si>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</si>
  <si>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</si>
  <si>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</si>
  <si>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</si>
  <si>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</si>
  <si>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</si>
  <si>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</si>
  <si>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UnitedKingdom::Exchange</t>
  </si>
  <si>
    <t>Calendar</t>
  </si>
  <si>
    <t>NDays</t>
  </si>
  <si>
    <t>ObjectID</t>
  </si>
  <si>
    <t>PiecewiseYieldCurve</t>
  </si>
  <si>
    <t>ObjectOverwrite</t>
  </si>
  <si>
    <t>Trigger</t>
  </si>
  <si>
    <t>Permanent</t>
  </si>
  <si>
    <t>RateHelperPrefix</t>
  </si>
  <si>
    <t>SwapFixedFreq</t>
  </si>
  <si>
    <t>IborType</t>
  </si>
  <si>
    <t>SB</t>
  </si>
  <si>
    <t>GBP</t>
  </si>
  <si>
    <t>IndexTenor</t>
  </si>
  <si>
    <t>Months</t>
  </si>
  <si>
    <t>Currency</t>
  </si>
  <si>
    <t>General Settings</t>
  </si>
  <si>
    <t>1M</t>
  </si>
  <si>
    <t>Quote Object ID</t>
  </si>
  <si>
    <t>Index</t>
  </si>
  <si>
    <t>_Quote</t>
  </si>
  <si>
    <t>QuoteSuffix</t>
  </si>
  <si>
    <t>Libor</t>
  </si>
  <si>
    <t>FamilyName</t>
  </si>
  <si>
    <t>ADDITIONAL SETTINGS</t>
  </si>
  <si>
    <t>FileOverwrite</t>
  </si>
  <si>
    <t>SerializationPath</t>
  </si>
  <si>
    <t>Serialize</t>
  </si>
  <si>
    <t>GENERAL SETTINGS</t>
  </si>
  <si>
    <t>Modified Following</t>
  </si>
  <si>
    <t>Annual</t>
  </si>
  <si>
    <t>12M</t>
  </si>
  <si>
    <t>0D</t>
  </si>
  <si>
    <t>9M</t>
  </si>
  <si>
    <t>6M</t>
  </si>
  <si>
    <t>3M</t>
  </si>
  <si>
    <t>2M</t>
  </si>
  <si>
    <t>Spread</t>
  </si>
  <si>
    <t>Day Count Convention</t>
  </si>
  <si>
    <t>Business Day Convention</t>
  </si>
  <si>
    <t>Freq</t>
  </si>
  <si>
    <t>Length</t>
  </si>
  <si>
    <t>Fwd start</t>
  </si>
  <si>
    <t>Discounting2</t>
  </si>
  <si>
    <t>Actual/365 (Fixed)</t>
  </si>
  <si>
    <t>MoneyMarketDayCounter</t>
  </si>
  <si>
    <t>BondBasisDayCounter</t>
  </si>
  <si>
    <t>1L</t>
  </si>
  <si>
    <t>0d</t>
  </si>
  <si>
    <t>6L</t>
  </si>
  <si>
    <t>Extrapolation</t>
  </si>
  <si>
    <t>Instruments</t>
  </si>
  <si>
    <t>Instruments Selected</t>
  </si>
  <si>
    <t>Settl Days</t>
  </si>
  <si>
    <t>Curve</t>
  </si>
  <si>
    <t>GBP_LIBOR_1M_EOD</t>
  </si>
  <si>
    <t>Maturity Date</t>
  </si>
  <si>
    <t>LCH Quote Overwrite</t>
  </si>
  <si>
    <t>Linear</t>
  </si>
  <si>
    <t>ZeroYield</t>
  </si>
  <si>
    <t>Discounting1</t>
  </si>
  <si>
    <t>DiscountingSTD</t>
  </si>
  <si>
    <t>LogCubicNaturalSpline</t>
  </si>
  <si>
    <t>linear</t>
  </si>
  <si>
    <t>cubic</t>
  </si>
  <si>
    <t>Rate Helpers 1</t>
  </si>
  <si>
    <t>Rate Helpers 2</t>
  </si>
  <si>
    <t>Rate Helpers 1 Selected</t>
  </si>
  <si>
    <t>Rate Helpers 2 Selected</t>
  </si>
  <si>
    <t>LCH Maturity Date</t>
  </si>
  <si>
    <t>LCH Quote</t>
  </si>
  <si>
    <t>QL Quote</t>
  </si>
  <si>
    <t>QL Maturity</t>
  </si>
  <si>
    <t>ReLink</t>
  </si>
  <si>
    <t>LCH Discount</t>
  </si>
  <si>
    <t>QL Discount</t>
  </si>
  <si>
    <t>LCH Zero</t>
  </si>
  <si>
    <t>QL Zero</t>
  </si>
  <si>
    <t>Curve (Cubic on Log Disocunt) Analysis = REP00101</t>
  </si>
  <si>
    <t>Instruments = REP00099</t>
  </si>
  <si>
    <t>Curve (Linear on Zero) Analysis = REP00100</t>
  </si>
  <si>
    <t>LCHQuoteSuffix</t>
  </si>
  <si>
    <t>_LCHQuote</t>
  </si>
  <si>
    <t>LCHlinear</t>
  </si>
  <si>
    <t>_linearLCH</t>
  </si>
  <si>
    <t>LCHcubic</t>
  </si>
  <si>
    <t>_cubicLCH</t>
  </si>
  <si>
    <t>*LCH quote basis swap as a fixed rate swap</t>
  </si>
  <si>
    <t>Pillar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</si>
</sst>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00000"/>
    <numFmt numFmtId="168" formatCode="ddd\,\ dd\-mmm\-yyyy"/>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 #,##0.00_-;\-* #,##0.00_-;_-* &quot;-&quot;??_-;_-@_-"/>
    <numFmt numFmtId="178" formatCode="0.E+00"/>
    <numFmt numFmtId="179" formatCode="0.0000"/>
  </numFmts>
  <fonts count="24"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8"/>
      <name val="MS Sans Serif"/>
      <family val="2"/>
    </font>
    <font>
      <sz val="11"/>
      <color theme="1"/>
      <name val="Calibri"/>
      <family val="2"/>
      <scheme val="minor"/>
    </font>
    <font>
      <sz val="8"/>
      <color theme="1"/>
      <name val="Courier New"/>
      <family val="3"/>
    </font>
    <font>
      <i/>
      <sz val="8"/>
      <name val="Courier New"/>
      <family val="3"/>
    </font>
    <font>
      <sz val="8"/>
      <color indexed="10"/>
      <name val="Courier New"/>
      <family val="3"/>
    </font>
    <font>
      <b/>
      <u/>
      <sz val="8"/>
      <name val="Courier New"/>
      <family val="3"/>
    </font>
    <font>
      <sz val="10"/>
      <name val="MS Sans Serif"/>
      <family val="2"/>
    </font>
    <font>
      <sz val="8"/>
      <color rgb="FFFF0000"/>
      <name val="Courier New"/>
      <family val="3"/>
    </font>
    <font>
      <sz val="8"/>
      <color rgb="FFFF0000"/>
      <name val="Arial"/>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8" tint="0.79998168889431442"/>
        <bgColor indexed="64"/>
      </patternFill>
    </fill>
    <fill>
      <patternFill patternType="gray0625">
        <fgColor indexed="22"/>
        <bgColor theme="8" tint="0.59999389629810485"/>
      </patternFill>
    </fill>
    <fill>
      <patternFill patternType="solid">
        <fgColor theme="0" tint="-0.14999847407452621"/>
        <bgColor indexed="64"/>
      </patternFill>
    </fill>
    <fill>
      <patternFill patternType="solid">
        <fgColor theme="0" tint="-0.249977111117893"/>
        <bgColor indexed="64"/>
      </patternFill>
    </fill>
  </fills>
  <borders count="45">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5">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4" fontId="13" fillId="0" borderId="0"/>
    <xf numFmtId="175" fontId="14" fillId="5" borderId="0">
      <alignment horizontal="center" vertical="center"/>
    </xf>
    <xf numFmtId="176" fontId="12" fillId="0" borderId="0" applyFont="0" applyFill="0" applyBorder="0" applyAlignment="0" applyProtection="0"/>
    <xf numFmtId="176" fontId="12" fillId="0" borderId="0" applyFont="0" applyFill="0" applyBorder="0" applyAlignment="0" applyProtection="0"/>
    <xf numFmtId="0" fontId="16" fillId="0" borderId="0"/>
    <xf numFmtId="9" fontId="16" fillId="0" borderId="0" applyFont="0" applyFill="0" applyBorder="0" applyAlignment="0" applyProtection="0"/>
    <xf numFmtId="9" fontId="1" fillId="0" borderId="0" applyFont="0" applyFill="0" applyBorder="0" applyAlignment="0" applyProtection="0"/>
    <xf numFmtId="177" fontId="16" fillId="0" borderId="0" applyFont="0" applyFill="0" applyBorder="0" applyAlignment="0" applyProtection="0"/>
    <xf numFmtId="0" fontId="2" fillId="0" borderId="0"/>
  </cellStyleXfs>
  <cellXfs count="239">
    <xf numFmtId="0" fontId="0" fillId="0" borderId="0" xfId="0"/>
    <xf numFmtId="0" fontId="6" fillId="0" borderId="0" xfId="1" applyFont="1"/>
    <xf numFmtId="0" fontId="6" fillId="0" borderId="0" xfId="1" applyFont="1" applyAlignment="1">
      <alignment horizontal="left"/>
    </xf>
    <xf numFmtId="167" fontId="6" fillId="0" borderId="0" xfId="1" applyNumberFormat="1" applyFont="1"/>
    <xf numFmtId="168" fontId="6" fillId="2" borderId="9" xfId="1" applyNumberFormat="1" applyFont="1" applyFill="1" applyBorder="1" applyAlignment="1"/>
    <xf numFmtId="168"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8" fontId="6" fillId="2" borderId="12" xfId="1" applyNumberFormat="1" applyFont="1" applyFill="1" applyBorder="1" applyAlignment="1"/>
    <xf numFmtId="168"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70"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1"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8" fontId="2" fillId="2" borderId="24" xfId="1" applyNumberFormat="1" applyFont="1" applyFill="1" applyBorder="1" applyAlignment="1">
      <alignment horizontal="right"/>
    </xf>
    <xf numFmtId="0" fontId="6" fillId="0" borderId="28" xfId="1" applyFont="1" applyBorder="1"/>
    <xf numFmtId="0" fontId="6" fillId="2" borderId="13" xfId="1" applyFont="1" applyFill="1" applyBorder="1"/>
    <xf numFmtId="0" fontId="6" fillId="2" borderId="0" xfId="1" applyFont="1" applyFill="1" applyBorder="1"/>
    <xf numFmtId="0" fontId="6" fillId="2" borderId="0" xfId="1" applyFont="1" applyFill="1" applyBorder="1" applyAlignment="1">
      <alignment horizontal="center"/>
    </xf>
    <xf numFmtId="0" fontId="6" fillId="2" borderId="12" xfId="1" applyFont="1" applyFill="1" applyBorder="1"/>
    <xf numFmtId="0" fontId="6" fillId="2" borderId="13" xfId="1" applyFont="1" applyFill="1" applyBorder="1" applyAlignment="1">
      <alignment horizontal="center"/>
    </xf>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3" xfId="1" applyFont="1" applyFill="1" applyBorder="1" applyAlignment="1">
      <alignment horizontal="center" vertical="center"/>
    </xf>
    <xf numFmtId="0" fontId="6" fillId="2" borderId="27" xfId="1" applyFont="1" applyFill="1" applyBorder="1" applyAlignment="1">
      <alignment horizontal="left"/>
    </xf>
    <xf numFmtId="0" fontId="6" fillId="2" borderId="28" xfId="1" applyFont="1" applyFill="1" applyBorder="1"/>
    <xf numFmtId="0" fontId="20" fillId="2" borderId="26" xfId="1" applyFont="1" applyFill="1" applyBorder="1"/>
    <xf numFmtId="0" fontId="18" fillId="2" borderId="7" xfId="1" applyFont="1" applyFill="1" applyBorder="1" applyAlignment="1">
      <alignment horizontal="left" vertical="center"/>
    </xf>
    <xf numFmtId="0" fontId="20" fillId="2" borderId="12" xfId="1" applyFont="1" applyFill="1" applyBorder="1"/>
    <xf numFmtId="0" fontId="6" fillId="2" borderId="7" xfId="1" applyFont="1" applyFill="1" applyBorder="1"/>
    <xf numFmtId="0" fontId="6" fillId="2" borderId="23" xfId="1" applyFont="1" applyFill="1" applyBorder="1" applyAlignment="1">
      <alignment horizontal="center"/>
    </xf>
    <xf numFmtId="0" fontId="6" fillId="2" borderId="0" xfId="1" applyNumberFormat="1" applyFont="1" applyFill="1" applyBorder="1" applyAlignment="1">
      <alignment horizontal="center"/>
    </xf>
    <xf numFmtId="0" fontId="6" fillId="2" borderId="0" xfId="1" applyFont="1" applyFill="1" applyBorder="1" applyAlignment="1"/>
    <xf numFmtId="0" fontId="6" fillId="2" borderId="10" xfId="1" applyFont="1" applyFill="1" applyBorder="1" applyAlignment="1">
      <alignment horizontal="left"/>
    </xf>
    <xf numFmtId="0" fontId="6" fillId="2" borderId="9" xfId="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7" fillId="2" borderId="30" xfId="1" applyFont="1" applyFill="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4" xfId="1" applyNumberFormat="1" applyFont="1" applyFill="1" applyBorder="1" applyAlignment="1">
      <alignment horizontal="center"/>
    </xf>
    <xf numFmtId="0" fontId="6" fillId="2" borderId="24" xfId="1" applyFont="1" applyFill="1" applyBorder="1" applyAlignment="1">
      <alignment horizontal="center"/>
    </xf>
    <xf numFmtId="165" fontId="6" fillId="2" borderId="24" xfId="1" applyNumberFormat="1" applyFont="1" applyFill="1" applyBorder="1" applyAlignment="1"/>
    <xf numFmtId="0" fontId="6" fillId="2" borderId="23" xfId="1" applyNumberFormat="1" applyFont="1" applyFill="1" applyBorder="1" applyAlignment="1">
      <alignment horizontal="center"/>
    </xf>
    <xf numFmtId="165" fontId="6" fillId="2" borderId="23" xfId="1" applyNumberFormat="1" applyFont="1" applyFill="1" applyBorder="1" applyAlignment="1"/>
    <xf numFmtId="0" fontId="6" fillId="2" borderId="28" xfId="1" applyFont="1" applyFill="1" applyBorder="1" applyAlignment="1">
      <alignment horizontal="left"/>
    </xf>
    <xf numFmtId="0" fontId="6" fillId="2" borderId="10" xfId="1" applyNumberFormat="1" applyFont="1" applyFill="1" applyBorder="1"/>
    <xf numFmtId="0" fontId="6" fillId="2" borderId="27" xfId="1" applyFont="1" applyFill="1" applyBorder="1"/>
    <xf numFmtId="0" fontId="6" fillId="2" borderId="28" xfId="1" applyFont="1" applyFill="1" applyBorder="1" applyAlignment="1">
      <alignment horizontal="center"/>
    </xf>
    <xf numFmtId="0" fontId="6" fillId="0" borderId="28" xfId="1" applyFont="1" applyBorder="1" applyAlignment="1">
      <alignment horizontal="center"/>
    </xf>
    <xf numFmtId="0" fontId="6" fillId="0" borderId="28" xfId="1" applyNumberFormat="1" applyFont="1" applyBorder="1" applyAlignment="1">
      <alignment horizontal="center"/>
    </xf>
    <xf numFmtId="0" fontId="18" fillId="2" borderId="33" xfId="1" applyFont="1" applyFill="1" applyBorder="1" applyAlignment="1">
      <alignment horizontal="center" vertical="center"/>
    </xf>
    <xf numFmtId="0" fontId="6" fillId="2" borderId="26" xfId="1" applyFont="1" applyFill="1" applyBorder="1"/>
    <xf numFmtId="0" fontId="6" fillId="2" borderId="11" xfId="1" applyFont="1" applyFill="1" applyBorder="1" applyAlignment="1">
      <alignment horizontal="center"/>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7" borderId="2" xfId="1" applyFont="1" applyFill="1" applyBorder="1"/>
    <xf numFmtId="0" fontId="6" fillId="7" borderId="4" xfId="1" applyFont="1" applyFill="1" applyBorder="1"/>
    <xf numFmtId="0" fontId="6" fillId="7" borderId="1" xfId="1" applyFont="1" applyFill="1" applyBorder="1"/>
    <xf numFmtId="0" fontId="11" fillId="2" borderId="13" xfId="10" applyFont="1" applyFill="1" applyBorder="1"/>
    <xf numFmtId="0" fontId="11" fillId="2" borderId="0" xfId="10" applyFont="1" applyFill="1" applyBorder="1"/>
    <xf numFmtId="0" fontId="11" fillId="2" borderId="12" xfId="10" applyFont="1" applyFill="1" applyBorder="1"/>
    <xf numFmtId="0" fontId="11" fillId="3" borderId="7" xfId="10" applyNumberFormat="1" applyFont="1" applyFill="1" applyBorder="1"/>
    <xf numFmtId="171" fontId="11" fillId="9" borderId="8" xfId="10" applyNumberFormat="1" applyFont="1" applyFill="1" applyBorder="1" applyAlignment="1" applyProtection="1">
      <alignment horizontal="center"/>
    </xf>
    <xf numFmtId="15" fontId="11" fillId="2" borderId="12" xfId="10" applyNumberFormat="1" applyFont="1" applyFill="1" applyBorder="1"/>
    <xf numFmtId="171" fontId="11" fillId="9" borderId="8" xfId="10" quotePrefix="1" applyNumberFormat="1" applyFont="1" applyFill="1" applyBorder="1" applyAlignment="1" applyProtection="1">
      <alignment horizontal="left"/>
    </xf>
    <xf numFmtId="171" fontId="11" fillId="9" borderId="8" xfId="10" quotePrefix="1" applyNumberFormat="1" applyFont="1" applyFill="1" applyBorder="1" applyAlignment="1" applyProtection="1">
      <alignment horizontal="center"/>
    </xf>
    <xf numFmtId="0" fontId="11" fillId="2" borderId="11" xfId="10" applyFont="1" applyFill="1" applyBorder="1"/>
    <xf numFmtId="0" fontId="11" fillId="2" borderId="10" xfId="10" applyFont="1" applyFill="1" applyBorder="1"/>
    <xf numFmtId="0" fontId="11" fillId="2" borderId="9" xfId="10" applyFont="1" applyFill="1" applyBorder="1"/>
    <xf numFmtId="0" fontId="2" fillId="2" borderId="2" xfId="1" quotePrefix="1" applyFont="1" applyFill="1" applyBorder="1" applyAlignment="1">
      <alignment horizontal="center"/>
    </xf>
    <xf numFmtId="0" fontId="2" fillId="6" borderId="0" xfId="14" applyFill="1"/>
    <xf numFmtId="0" fontId="2" fillId="6" borderId="0" xfId="14" applyFont="1" applyFill="1"/>
    <xf numFmtId="0" fontId="2" fillId="2" borderId="13" xfId="14" applyFont="1" applyFill="1" applyBorder="1"/>
    <xf numFmtId="0" fontId="2" fillId="3" borderId="24" xfId="14" applyFont="1" applyFill="1" applyBorder="1"/>
    <xf numFmtId="0" fontId="2" fillId="2" borderId="0" xfId="14" applyFont="1" applyFill="1" applyBorder="1"/>
    <xf numFmtId="0" fontId="2" fillId="2" borderId="12" xfId="14" applyFont="1" applyFill="1" applyBorder="1"/>
    <xf numFmtId="0" fontId="21" fillId="2" borderId="13" xfId="10" applyFont="1" applyFill="1" applyBorder="1"/>
    <xf numFmtId="0" fontId="21" fillId="2" borderId="0" xfId="10" applyFont="1" applyFill="1" applyBorder="1"/>
    <xf numFmtId="0" fontId="21" fillId="2" borderId="12" xfId="10" applyFont="1" applyFill="1" applyBorder="1"/>
    <xf numFmtId="0" fontId="15" fillId="3" borderId="7" xfId="10" applyFont="1" applyFill="1" applyBorder="1"/>
    <xf numFmtId="169" fontId="2" fillId="2" borderId="0" xfId="14" applyNumberFormat="1" applyFont="1" applyFill="1" applyBorder="1" applyAlignment="1">
      <alignment horizontal="center"/>
    </xf>
    <xf numFmtId="170"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16" fillId="2" borderId="11" xfId="10" applyFill="1" applyBorder="1"/>
    <xf numFmtId="0" fontId="16" fillId="2" borderId="10" xfId="10" applyFill="1" applyBorder="1"/>
    <xf numFmtId="0" fontId="16" fillId="2" borderId="9" xfId="10" applyFill="1" applyBorder="1"/>
    <xf numFmtId="0" fontId="2" fillId="2" borderId="2" xfId="14" applyFont="1" applyFill="1" applyBorder="1" applyAlignment="1">
      <alignment horizontal="center"/>
    </xf>
    <xf numFmtId="167" fontId="2" fillId="2" borderId="4" xfId="1" applyNumberFormat="1" applyFont="1" applyFill="1" applyBorder="1" applyAlignment="1">
      <alignment horizontal="center"/>
    </xf>
    <xf numFmtId="0" fontId="2" fillId="2" borderId="2" xfId="1" applyFont="1" applyFill="1" applyBorder="1" applyAlignment="1">
      <alignment horizontal="left"/>
    </xf>
    <xf numFmtId="15" fontId="2" fillId="2" borderId="32" xfId="14" applyNumberFormat="1" applyFont="1" applyFill="1" applyBorder="1" applyAlignment="1">
      <alignment horizontal="right" vertical="center"/>
    </xf>
    <xf numFmtId="0" fontId="2" fillId="2" borderId="32" xfId="14" applyFont="1" applyFill="1" applyBorder="1" applyAlignment="1">
      <alignment horizontal="center" vertical="center"/>
    </xf>
    <xf numFmtId="15" fontId="2" fillId="2" borderId="24" xfId="14" applyNumberFormat="1" applyFont="1" applyFill="1" applyBorder="1" applyAlignment="1">
      <alignment horizontal="right" vertical="center"/>
    </xf>
    <xf numFmtId="0" fontId="2" fillId="2" borderId="2" xfId="14" applyFont="1" applyFill="1" applyBorder="1" applyAlignment="1">
      <alignment horizontal="center" vertical="center"/>
    </xf>
    <xf numFmtId="15" fontId="2" fillId="2" borderId="23" xfId="14" applyNumberFormat="1" applyFont="1" applyFill="1" applyBorder="1" applyAlignment="1">
      <alignment horizontal="right" vertical="center"/>
    </xf>
    <xf numFmtId="0" fontId="2" fillId="2" borderId="11" xfId="14" applyFont="1" applyFill="1" applyBorder="1"/>
    <xf numFmtId="0" fontId="2" fillId="2" borderId="10" xfId="14" applyFont="1" applyFill="1" applyBorder="1" applyAlignment="1">
      <alignment horizontal="center" vertical="center"/>
    </xf>
    <xf numFmtId="0" fontId="2" fillId="2" borderId="10" xfId="14" applyFont="1" applyFill="1" applyBorder="1"/>
    <xf numFmtId="0" fontId="2" fillId="2" borderId="9" xfId="14" applyFont="1" applyFill="1" applyBorder="1"/>
    <xf numFmtId="0" fontId="6" fillId="7" borderId="13" xfId="1" applyFont="1" applyFill="1" applyBorder="1" applyAlignment="1">
      <alignment horizontal="center"/>
    </xf>
    <xf numFmtId="0" fontId="6" fillId="7" borderId="12" xfId="1" applyFont="1" applyFill="1" applyBorder="1"/>
    <xf numFmtId="0" fontId="6" fillId="7" borderId="1" xfId="1" applyNumberFormat="1" applyFont="1" applyFill="1" applyBorder="1" applyAlignment="1">
      <alignment horizontal="left"/>
    </xf>
    <xf numFmtId="11" fontId="6" fillId="2" borderId="0" xfId="1" applyNumberFormat="1" applyFont="1" applyFill="1" applyBorder="1" applyAlignment="1"/>
    <xf numFmtId="0" fontId="19" fillId="9" borderId="25" xfId="1" applyNumberFormat="1" applyFont="1" applyFill="1" applyBorder="1" applyAlignment="1" applyProtection="1">
      <alignment horizontal="left" vertical="center"/>
    </xf>
    <xf numFmtId="172" fontId="19" fillId="9" borderId="1" xfId="1" applyNumberFormat="1" applyFont="1" applyFill="1" applyBorder="1" applyAlignment="1" applyProtection="1">
      <alignment horizontal="left"/>
    </xf>
    <xf numFmtId="0" fontId="7" fillId="8" borderId="25" xfId="1" applyFont="1" applyFill="1" applyBorder="1" applyAlignment="1">
      <alignment horizontal="center" vertical="center" wrapText="1"/>
    </xf>
    <xf numFmtId="0" fontId="7" fillId="8" borderId="7" xfId="1" applyFont="1" applyFill="1" applyBorder="1" applyAlignment="1">
      <alignment horizontal="center" vertical="center" wrapText="1"/>
    </xf>
    <xf numFmtId="0" fontId="6" fillId="9" borderId="7" xfId="1" applyNumberFormat="1" applyFont="1" applyFill="1" applyBorder="1" applyAlignment="1" applyProtection="1">
      <alignment horizontal="center" vertical="center"/>
    </xf>
    <xf numFmtId="0" fontId="6" fillId="9" borderId="7" xfId="1" applyNumberFormat="1" applyFont="1" applyFill="1" applyBorder="1" applyAlignment="1" applyProtection="1">
      <alignment horizontal="left" vertical="center"/>
    </xf>
    <xf numFmtId="172" fontId="19" fillId="9" borderId="7" xfId="1" applyNumberFormat="1" applyFont="1" applyFill="1" applyBorder="1" applyAlignment="1" applyProtection="1">
      <alignment horizontal="left"/>
    </xf>
    <xf numFmtId="0" fontId="6" fillId="9" borderId="25" xfId="1" applyNumberFormat="1" applyFont="1" applyFill="1" applyBorder="1" applyAlignment="1" applyProtection="1">
      <alignment horizontal="left" vertical="center"/>
    </xf>
    <xf numFmtId="0" fontId="6" fillId="9" borderId="24" xfId="1" applyNumberFormat="1" applyFont="1" applyFill="1" applyBorder="1" applyAlignment="1" applyProtection="1">
      <alignment horizontal="left" vertical="center"/>
    </xf>
    <xf numFmtId="0" fontId="6" fillId="9" borderId="23" xfId="1" applyNumberFormat="1" applyFont="1" applyFill="1" applyBorder="1" applyAlignment="1" applyProtection="1">
      <alignment horizontal="left" vertical="center"/>
    </xf>
    <xf numFmtId="0" fontId="19" fillId="9" borderId="7" xfId="1" applyNumberFormat="1" applyFont="1" applyFill="1" applyBorder="1" applyAlignment="1" applyProtection="1">
      <alignment horizontal="left" vertical="center"/>
    </xf>
    <xf numFmtId="0" fontId="19" fillId="9" borderId="24" xfId="1" applyNumberFormat="1" applyFont="1" applyFill="1" applyBorder="1" applyAlignment="1" applyProtection="1">
      <alignment horizontal="left" vertical="center"/>
    </xf>
    <xf numFmtId="0" fontId="19" fillId="9" borderId="23" xfId="1" applyNumberFormat="1" applyFont="1" applyFill="1" applyBorder="1" applyAlignment="1" applyProtection="1">
      <alignment horizontal="left" vertical="center"/>
    </xf>
    <xf numFmtId="0" fontId="6" fillId="12" borderId="28" xfId="1" applyFont="1" applyFill="1" applyBorder="1"/>
    <xf numFmtId="0" fontId="6" fillId="12" borderId="28" xfId="1" applyFont="1" applyFill="1" applyBorder="1" applyAlignment="1">
      <alignment horizontal="left"/>
    </xf>
    <xf numFmtId="0" fontId="6" fillId="12" borderId="0" xfId="1" applyFont="1" applyFill="1"/>
    <xf numFmtId="0" fontId="6" fillId="12" borderId="0" xfId="1" applyFont="1" applyFill="1" applyAlignment="1">
      <alignment horizontal="left"/>
    </xf>
    <xf numFmtId="0" fontId="6" fillId="12" borderId="0" xfId="1" applyNumberFormat="1" applyFont="1" applyFill="1"/>
    <xf numFmtId="0" fontId="7" fillId="8" borderId="35" xfId="1" applyFont="1" applyFill="1" applyBorder="1" applyAlignment="1">
      <alignment horizontal="center" vertical="center" wrapText="1"/>
    </xf>
    <xf numFmtId="0" fontId="7" fillId="8" borderId="33"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2" borderId="36" xfId="1" applyFont="1" applyFill="1" applyBorder="1" applyAlignment="1">
      <alignment horizontal="left"/>
    </xf>
    <xf numFmtId="0" fontId="6" fillId="2" borderId="37" xfId="1" applyFont="1" applyFill="1" applyBorder="1" applyAlignment="1">
      <alignment horizontal="left"/>
    </xf>
    <xf numFmtId="0" fontId="6" fillId="7" borderId="11" xfId="1" applyFont="1" applyFill="1" applyBorder="1"/>
    <xf numFmtId="0" fontId="6" fillId="7" borderId="38" xfId="1" applyFont="1" applyFill="1" applyBorder="1" applyAlignment="1">
      <alignment horizontal="left"/>
    </xf>
    <xf numFmtId="0" fontId="6" fillId="7" borderId="9" xfId="1" applyFont="1" applyFill="1" applyBorder="1"/>
    <xf numFmtId="165" fontId="6" fillId="12" borderId="0" xfId="1" applyNumberFormat="1" applyFont="1" applyFill="1"/>
    <xf numFmtId="10" fontId="6" fillId="12" borderId="0" xfId="1" applyNumberFormat="1" applyFont="1" applyFill="1"/>
    <xf numFmtId="166" fontId="6" fillId="12" borderId="0" xfId="1" applyNumberFormat="1" applyFont="1" applyFill="1"/>
    <xf numFmtId="0" fontId="7" fillId="8" borderId="20" xfId="1" applyFont="1" applyFill="1" applyBorder="1" applyAlignment="1">
      <alignment horizontal="center" vertical="center" wrapText="1"/>
    </xf>
    <xf numFmtId="0" fontId="7" fillId="8" borderId="34"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7" fillId="8" borderId="15" xfId="0" applyFont="1" applyFill="1" applyBorder="1"/>
    <xf numFmtId="0" fontId="17" fillId="8" borderId="7" xfId="0" applyFont="1" applyFill="1" applyBorder="1"/>
    <xf numFmtId="178" fontId="17" fillId="10" borderId="24" xfId="0" applyNumberFormat="1" applyFont="1" applyFill="1" applyBorder="1"/>
    <xf numFmtId="178" fontId="17" fillId="10" borderId="23" xfId="0" applyNumberFormat="1" applyFont="1" applyFill="1" applyBorder="1"/>
    <xf numFmtId="0" fontId="7" fillId="8" borderId="22" xfId="1" applyFont="1" applyFill="1" applyBorder="1" applyAlignment="1">
      <alignment horizontal="center" vertical="center" wrapText="1"/>
    </xf>
    <xf numFmtId="165" fontId="17" fillId="8" borderId="7" xfId="0" applyNumberFormat="1" applyFont="1" applyFill="1" applyBorder="1"/>
    <xf numFmtId="0" fontId="7" fillId="8" borderId="8" xfId="1" applyFont="1" applyFill="1" applyBorder="1" applyAlignment="1">
      <alignment horizontal="center" vertical="center" wrapText="1"/>
    </xf>
    <xf numFmtId="15" fontId="23" fillId="2" borderId="10" xfId="14" applyNumberFormat="1" applyFont="1" applyFill="1" applyBorder="1" applyAlignment="1">
      <alignment horizontal="left" vertical="center"/>
    </xf>
    <xf numFmtId="165"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7" fontId="2" fillId="2" borderId="2" xfId="1" applyNumberFormat="1" applyFont="1" applyFill="1" applyBorder="1" applyAlignment="1">
      <alignment horizontal="center"/>
    </xf>
    <xf numFmtId="0" fontId="7" fillId="8" borderId="6" xfId="1" applyNumberFormat="1" applyFont="1" applyFill="1" applyBorder="1" applyAlignment="1">
      <alignment vertical="center" wrapText="1"/>
    </xf>
    <xf numFmtId="173" fontId="6" fillId="7" borderId="7" xfId="1" applyNumberFormat="1" applyFont="1" applyFill="1" applyBorder="1" applyAlignment="1">
      <alignment horizontal="left"/>
    </xf>
    <xf numFmtId="0" fontId="7" fillId="8" borderId="31" xfId="1" applyFont="1" applyFill="1" applyBorder="1" applyAlignment="1">
      <alignment vertical="center" wrapText="1"/>
    </xf>
    <xf numFmtId="0" fontId="6" fillId="7" borderId="25" xfId="1" applyFont="1" applyFill="1" applyBorder="1"/>
    <xf numFmtId="0" fontId="6" fillId="7" borderId="24" xfId="1" applyFont="1" applyFill="1" applyBorder="1"/>
    <xf numFmtId="0" fontId="6" fillId="7" borderId="23" xfId="1" applyFont="1" applyFill="1" applyBorder="1"/>
    <xf numFmtId="0" fontId="22" fillId="0" borderId="0" xfId="1" applyFont="1"/>
    <xf numFmtId="0" fontId="22" fillId="2" borderId="10" xfId="1" applyFont="1" applyFill="1" applyBorder="1"/>
    <xf numFmtId="0" fontId="22" fillId="2" borderId="10" xfId="1" applyFont="1" applyFill="1" applyBorder="1" applyAlignment="1">
      <alignment horizontal="left"/>
    </xf>
    <xf numFmtId="0" fontId="22" fillId="7" borderId="25" xfId="1" applyFont="1" applyFill="1" applyBorder="1"/>
    <xf numFmtId="0" fontId="22" fillId="7" borderId="24" xfId="1" applyFont="1" applyFill="1" applyBorder="1"/>
    <xf numFmtId="0" fontId="22" fillId="7" borderId="23" xfId="1" applyFont="1" applyFill="1" applyBorder="1"/>
    <xf numFmtId="0" fontId="17" fillId="7" borderId="42" xfId="0" applyFont="1" applyFill="1" applyBorder="1"/>
    <xf numFmtId="168" fontId="6" fillId="7" borderId="24" xfId="1" applyNumberFormat="1" applyFont="1" applyFill="1" applyBorder="1" applyAlignment="1"/>
    <xf numFmtId="165" fontId="17" fillId="7" borderId="24" xfId="0" applyNumberFormat="1" applyFont="1" applyFill="1" applyBorder="1"/>
    <xf numFmtId="0" fontId="17" fillId="7" borderId="24" xfId="0" applyFont="1" applyFill="1" applyBorder="1"/>
    <xf numFmtId="179" fontId="17" fillId="7" borderId="24" xfId="0" applyNumberFormat="1" applyFont="1" applyFill="1" applyBorder="1"/>
    <xf numFmtId="167" fontId="6" fillId="7" borderId="24" xfId="1" applyNumberFormat="1" applyFont="1" applyFill="1" applyBorder="1" applyAlignment="1"/>
    <xf numFmtId="0" fontId="17" fillId="7" borderId="0" xfId="0" applyFont="1" applyFill="1" applyBorder="1"/>
    <xf numFmtId="0" fontId="17" fillId="7" borderId="17" xfId="0" applyFont="1" applyFill="1" applyBorder="1"/>
    <xf numFmtId="168" fontId="6" fillId="7" borderId="23" xfId="1" applyNumberFormat="1" applyFont="1" applyFill="1" applyBorder="1" applyAlignment="1"/>
    <xf numFmtId="165" fontId="17" fillId="7" borderId="23" xfId="0" applyNumberFormat="1" applyFont="1" applyFill="1" applyBorder="1"/>
    <xf numFmtId="0" fontId="17" fillId="7" borderId="23" xfId="0" applyFont="1" applyFill="1" applyBorder="1"/>
    <xf numFmtId="179" fontId="17" fillId="7" borderId="23" xfId="0" applyNumberFormat="1" applyFont="1" applyFill="1" applyBorder="1"/>
    <xf numFmtId="167" fontId="6" fillId="7" borderId="23" xfId="1" applyNumberFormat="1" applyFont="1" applyFill="1" applyBorder="1" applyAlignment="1"/>
    <xf numFmtId="0" fontId="17" fillId="7" borderId="28" xfId="0" applyFont="1" applyFill="1" applyBorder="1"/>
    <xf numFmtId="0" fontId="17" fillId="7" borderId="26" xfId="0" applyFont="1" applyFill="1" applyBorder="1"/>
    <xf numFmtId="0" fontId="17" fillId="7" borderId="12" xfId="0" applyFont="1" applyFill="1" applyBorder="1"/>
    <xf numFmtId="0" fontId="17" fillId="7" borderId="11" xfId="0" applyFont="1" applyFill="1" applyBorder="1"/>
    <xf numFmtId="0" fontId="17" fillId="7" borderId="10" xfId="0" applyFont="1" applyFill="1" applyBorder="1"/>
    <xf numFmtId="0" fontId="17" fillId="7" borderId="9" xfId="0" applyFont="1" applyFill="1" applyBorder="1"/>
    <xf numFmtId="0" fontId="17" fillId="13" borderId="0" xfId="0" applyFont="1" applyFill="1"/>
    <xf numFmtId="0" fontId="6" fillId="7" borderId="7" xfId="1" applyFont="1" applyFill="1" applyBorder="1"/>
    <xf numFmtId="0" fontId="7" fillId="7" borderId="7" xfId="1" applyNumberFormat="1" applyFont="1" applyFill="1" applyBorder="1" applyAlignment="1">
      <alignment horizontal="center" vertical="center" wrapText="1"/>
    </xf>
    <xf numFmtId="0" fontId="7" fillId="8" borderId="44" xfId="1" applyFont="1" applyFill="1" applyBorder="1" applyAlignment="1">
      <alignment horizontal="center" vertical="center" wrapText="1"/>
    </xf>
    <xf numFmtId="0" fontId="2" fillId="2" borderId="1" xfId="14" applyFont="1" applyFill="1" applyBorder="1" applyAlignment="1">
      <alignment horizontal="center" vertical="center"/>
    </xf>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4" applyFont="1" applyFill="1" applyBorder="1" applyAlignment="1">
      <alignment horizontal="center"/>
    </xf>
    <xf numFmtId="0" fontId="10" fillId="8" borderId="29" xfId="14" applyFont="1" applyFill="1" applyBorder="1" applyAlignment="1">
      <alignment horizontal="center"/>
    </xf>
    <xf numFmtId="0" fontId="10" fillId="8" borderId="21" xfId="14"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1" borderId="39" xfId="1" applyNumberFormat="1" applyFont="1" applyFill="1" applyBorder="1" applyAlignment="1" applyProtection="1">
      <alignment horizontal="center" vertical="center"/>
    </xf>
    <xf numFmtId="0" fontId="6" fillId="11" borderId="40" xfId="1" applyNumberFormat="1" applyFont="1" applyFill="1" applyBorder="1" applyAlignment="1" applyProtection="1">
      <alignment horizontal="center" vertical="center"/>
    </xf>
    <xf numFmtId="0" fontId="6" fillId="11" borderId="41" xfId="1" applyNumberFormat="1" applyFont="1" applyFill="1" applyBorder="1" applyAlignment="1" applyProtection="1">
      <alignment horizontal="center" vertical="center"/>
    </xf>
    <xf numFmtId="0" fontId="6" fillId="11" borderId="43" xfId="1" applyNumberFormat="1" applyFont="1" applyFill="1" applyBorder="1" applyAlignment="1" applyProtection="1">
      <alignment horizontal="center" vertical="center"/>
    </xf>
  </cellXfs>
  <cellStyles count="15">
    <cellStyle name="Comma 2" xfId="13"/>
    <cellStyle name="Migliaia (0)_AZIONI" xfId="4"/>
    <cellStyle name="Migliaia_AZIONI" xfId="5"/>
    <cellStyle name="Normal" xfId="0" builtinId="0"/>
    <cellStyle name="Normal 2" xfId="1"/>
    <cellStyle name="Normal 3" xfId="10"/>
    <cellStyle name="Normal_SwaptionATMVols" xfId="3"/>
    <cellStyle name="Normal_SwaptionATMVols 2" xfId="14"/>
    <cellStyle name="Normale_AZIONI" xfId="6"/>
    <cellStyle name="Percent 2" xfId="2"/>
    <cellStyle name="Percent 2 2" xfId="11"/>
    <cellStyle name="Percent 2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1Y"/>
      <sheetName val="ON"/>
      <sheetName val="STD"/>
    </sheetNames>
    <sheetDataSet>
      <sheetData sheetId="0"/>
      <sheetData sheetId="1"/>
      <sheetData sheetId="2">
        <row r="3">
          <cell r="B3" t="str">
            <v>GBP1MD</v>
          </cell>
          <cell r="C3">
            <v>42223</v>
          </cell>
          <cell r="E3">
            <v>5.0724999999999998E-3</v>
          </cell>
        </row>
        <row r="4">
          <cell r="B4" t="str">
            <v>GBPAB1L2M</v>
          </cell>
          <cell r="C4">
            <v>42254</v>
          </cell>
          <cell r="E4">
            <v>5.1500000000000001E-3</v>
          </cell>
        </row>
        <row r="5">
          <cell r="B5" t="str">
            <v>GBPAB1L3M</v>
          </cell>
          <cell r="C5">
            <v>42284</v>
          </cell>
          <cell r="E5">
            <v>5.1592499999999998E-3</v>
          </cell>
        </row>
        <row r="6">
          <cell r="B6" t="str">
            <v>GBPAB1L6M</v>
          </cell>
          <cell r="C6">
            <v>42376</v>
          </cell>
          <cell r="E6">
            <v>5.2967500000000002E-3</v>
          </cell>
        </row>
        <row r="7">
          <cell r="B7" t="str">
            <v>GBPAB1L9M</v>
          </cell>
          <cell r="C7">
            <v>42467</v>
          </cell>
          <cell r="E7">
            <v>5.5612500000000002E-3</v>
          </cell>
        </row>
        <row r="8">
          <cell r="B8" t="str">
            <v>GBPAB1L1Y</v>
          </cell>
          <cell r="C8">
            <v>42558</v>
          </cell>
          <cell r="E8">
            <v>5.9699999999999996E-3</v>
          </cell>
        </row>
        <row r="9">
          <cell r="B9" t="str">
            <v>GBP1L6L2Y</v>
          </cell>
          <cell r="C9">
            <v>42923</v>
          </cell>
          <cell r="E9">
            <v>8.1412499999999992E-3</v>
          </cell>
        </row>
        <row r="10">
          <cell r="B10" t="str">
            <v>GBP1L6L3Y</v>
          </cell>
          <cell r="C10">
            <v>43290</v>
          </cell>
          <cell r="E10">
            <v>1.0371999999999999E-2</v>
          </cell>
        </row>
        <row r="11">
          <cell r="B11" t="str">
            <v>GBP1L6L4Y</v>
          </cell>
          <cell r="C11">
            <v>43654</v>
          </cell>
          <cell r="E11">
            <v>1.2170500000000001E-2</v>
          </cell>
        </row>
        <row r="12">
          <cell r="B12" t="str">
            <v>GBP1L6L5Y</v>
          </cell>
          <cell r="C12">
            <v>44019</v>
          </cell>
          <cell r="E12">
            <v>1.3615749999999999E-2</v>
          </cell>
        </row>
        <row r="13">
          <cell r="B13" t="str">
            <v>GBP1L6L6Y</v>
          </cell>
          <cell r="C13">
            <v>44384</v>
          </cell>
          <cell r="E13">
            <v>1.4847249999999999E-2</v>
          </cell>
        </row>
        <row r="14">
          <cell r="B14" t="str">
            <v>GBP1L6L7Y</v>
          </cell>
          <cell r="C14">
            <v>44749</v>
          </cell>
          <cell r="E14">
            <v>1.58745E-2</v>
          </cell>
        </row>
        <row r="15">
          <cell r="B15" t="str">
            <v>GBP1L6L8Y</v>
          </cell>
          <cell r="C15">
            <v>45114</v>
          </cell>
          <cell r="E15">
            <v>1.6725500000000001E-2</v>
          </cell>
        </row>
        <row r="16">
          <cell r="B16" t="str">
            <v>GBP1L6L9Y</v>
          </cell>
          <cell r="C16">
            <v>45481</v>
          </cell>
          <cell r="E16">
            <v>1.7448000000000002E-2</v>
          </cell>
        </row>
        <row r="17">
          <cell r="B17" t="str">
            <v>GBP1L6L10Y</v>
          </cell>
          <cell r="C17">
            <v>45845</v>
          </cell>
          <cell r="E17">
            <v>1.8057500000000001E-2</v>
          </cell>
        </row>
        <row r="18">
          <cell r="B18" t="str">
            <v>GBP1L6L12Y</v>
          </cell>
          <cell r="C18">
            <v>46575</v>
          </cell>
          <cell r="E18">
            <v>1.92155E-2</v>
          </cell>
        </row>
        <row r="19">
          <cell r="B19" t="str">
            <v>GBP1L6L15Y</v>
          </cell>
          <cell r="C19">
            <v>47672</v>
          </cell>
          <cell r="E19">
            <v>2.0344000000000001E-2</v>
          </cell>
        </row>
        <row r="20">
          <cell r="B20" t="str">
            <v>GBP1L6L20Y</v>
          </cell>
          <cell r="C20">
            <v>49499</v>
          </cell>
          <cell r="E20">
            <v>2.1267000000000001E-2</v>
          </cell>
        </row>
        <row r="21">
          <cell r="B21" t="str">
            <v>GBP1L6L25Y</v>
          </cell>
          <cell r="C21">
            <v>51326</v>
          </cell>
          <cell r="E21">
            <v>2.1444250000000002E-2</v>
          </cell>
        </row>
        <row r="22">
          <cell r="B22" t="str">
            <v>GBP1L6L30Y</v>
          </cell>
          <cell r="C22">
            <v>53150</v>
          </cell>
          <cell r="E22">
            <v>2.15055E-2</v>
          </cell>
        </row>
        <row r="23">
          <cell r="B23" t="str">
            <v>GBP1L6L40Y</v>
          </cell>
          <cell r="C23">
            <v>56802</v>
          </cell>
          <cell r="E23">
            <v>2.1080000000000002E-2</v>
          </cell>
        </row>
        <row r="24">
          <cell r="B24" t="str">
            <v>GBP1L6L50Y</v>
          </cell>
          <cell r="C24">
            <v>60455</v>
          </cell>
          <cell r="E24">
            <v>2.0820499999999999E-2</v>
          </cell>
        </row>
        <row r="25">
          <cell r="B25" t="str">
            <v>GBP1L6L60Y</v>
          </cell>
          <cell r="C25">
            <v>64108</v>
          </cell>
          <cell r="E25">
            <v>2.0907499999999999E-2</v>
          </cell>
        </row>
      </sheetData>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14" customWidth="1"/>
    <col min="3" max="3" width="18" style="114" bestFit="1" customWidth="1"/>
    <col min="4" max="4" width="23.85546875" style="114" bestFit="1" customWidth="1"/>
    <col min="5" max="5" width="22" style="114" bestFit="1" customWidth="1"/>
    <col min="6" max="8" width="2.7109375" style="114" customWidth="1"/>
    <col min="9" max="9" width="18.5703125" style="114" bestFit="1" customWidth="1"/>
    <col min="10" max="10" width="13.5703125" style="114" bestFit="1" customWidth="1"/>
    <col min="11" max="11" width="2.7109375" style="114" customWidth="1"/>
    <col min="12" max="16384" width="8" style="114"/>
  </cols>
  <sheetData>
    <row r="1" spans="2:11" s="40" customFormat="1" ht="12" thickBot="1" x14ac:dyDescent="0.25">
      <c r="B1" s="40" t="str">
        <f>_xll.qlxlVersion(TRUE,Trigger)</f>
        <v>QuantLibXL 1.7.0 - MS VC++ (version unknown) - Multithreaded Dynamic Runtime library - Release Configuration - Aug 31 2015 19:54:36</v>
      </c>
    </row>
    <row r="2" spans="2:11" s="40" customFormat="1" ht="18.75" thickBot="1" x14ac:dyDescent="0.3">
      <c r="B2" s="226" t="s">
        <v>54</v>
      </c>
      <c r="C2" s="227"/>
      <c r="D2" s="227"/>
      <c r="E2" s="227"/>
      <c r="F2" s="228"/>
      <c r="H2" s="226" t="s">
        <v>66</v>
      </c>
      <c r="I2" s="227"/>
      <c r="J2" s="227"/>
      <c r="K2" s="229"/>
    </row>
    <row r="3" spans="2:11" s="40" customFormat="1" x14ac:dyDescent="0.2">
      <c r="B3" s="19"/>
      <c r="C3" s="38"/>
      <c r="D3" s="18"/>
      <c r="E3" s="18"/>
      <c r="F3" s="17"/>
      <c r="H3" s="101"/>
      <c r="I3" s="102"/>
      <c r="J3" s="102"/>
      <c r="K3" s="103"/>
    </row>
    <row r="4" spans="2:11" s="40" customFormat="1" x14ac:dyDescent="0.2">
      <c r="B4" s="19"/>
      <c r="C4" s="37" t="s">
        <v>53</v>
      </c>
      <c r="D4" s="28" t="s">
        <v>50</v>
      </c>
      <c r="E4" s="18"/>
      <c r="F4" s="17"/>
      <c r="H4" s="101"/>
      <c r="I4" s="104" t="s">
        <v>65</v>
      </c>
      <c r="J4" s="105" t="b">
        <v>0</v>
      </c>
      <c r="K4" s="106"/>
    </row>
    <row r="5" spans="2:11" s="40" customFormat="1" x14ac:dyDescent="0.2">
      <c r="B5" s="19"/>
      <c r="C5" s="36" t="s">
        <v>52</v>
      </c>
      <c r="D5" s="20">
        <v>1</v>
      </c>
      <c r="E5" s="18"/>
      <c r="F5" s="17"/>
      <c r="H5" s="101"/>
      <c r="I5" s="104" t="s">
        <v>64</v>
      </c>
      <c r="J5" s="107"/>
      <c r="K5" s="106"/>
    </row>
    <row r="6" spans="2:11" s="40" customFormat="1" x14ac:dyDescent="0.2">
      <c r="B6" s="19"/>
      <c r="C6" s="36" t="s">
        <v>51</v>
      </c>
      <c r="D6" s="20" t="str">
        <f>_xll.qlPeriodEquivalent(D5&amp;"M")</f>
        <v>1M</v>
      </c>
      <c r="E6" s="18"/>
      <c r="F6" s="17"/>
      <c r="H6" s="101"/>
      <c r="I6" s="104" t="s">
        <v>63</v>
      </c>
      <c r="J6" s="108" t="b">
        <v>1</v>
      </c>
      <c r="K6" s="106"/>
    </row>
    <row r="7" spans="2:11" s="40" customFormat="1" ht="12" thickBot="1" x14ac:dyDescent="0.25">
      <c r="B7" s="19"/>
      <c r="C7" s="36" t="s">
        <v>48</v>
      </c>
      <c r="D7" s="20" t="str">
        <f>Months&amp;IF(UPPER(Currency)="EUR","E","L")</f>
        <v>1L</v>
      </c>
      <c r="E7" s="18"/>
      <c r="F7" s="17"/>
      <c r="H7" s="109"/>
      <c r="I7" s="110"/>
      <c r="J7" s="110"/>
      <c r="K7" s="111"/>
    </row>
    <row r="8" spans="2:11" ht="12" thickBot="1" x14ac:dyDescent="0.25">
      <c r="B8" s="19"/>
      <c r="C8" s="36" t="s">
        <v>47</v>
      </c>
      <c r="D8" s="112" t="s">
        <v>49</v>
      </c>
      <c r="E8" s="18"/>
      <c r="F8" s="17"/>
      <c r="G8" s="40"/>
      <c r="H8" s="113"/>
      <c r="I8" s="113"/>
      <c r="J8" s="113"/>
      <c r="K8" s="113"/>
    </row>
    <row r="9" spans="2:11" ht="18.75" thickBot="1" x14ac:dyDescent="0.3">
      <c r="B9" s="115"/>
      <c r="C9" s="116" t="s">
        <v>46</v>
      </c>
      <c r="D9" s="20" t="str">
        <f>Currency&amp;"_YC"&amp;IndexTenor&amp;"RH"</f>
        <v>GBP_YC1MRH</v>
      </c>
      <c r="E9" s="117"/>
      <c r="F9" s="118"/>
      <c r="H9" s="230" t="s">
        <v>62</v>
      </c>
      <c r="I9" s="231"/>
      <c r="J9" s="231"/>
      <c r="K9" s="232"/>
    </row>
    <row r="10" spans="2:11" ht="12.75" x14ac:dyDescent="0.2">
      <c r="B10" s="115"/>
      <c r="C10" s="35" t="s">
        <v>45</v>
      </c>
      <c r="D10" s="20" t="b">
        <v>1</v>
      </c>
      <c r="E10" s="117"/>
      <c r="F10" s="118"/>
      <c r="H10" s="119"/>
      <c r="I10" s="120"/>
      <c r="J10" s="120"/>
      <c r="K10" s="121"/>
    </row>
    <row r="11" spans="2:11" ht="12.75" x14ac:dyDescent="0.2">
      <c r="B11" s="115"/>
      <c r="C11" s="35" t="s">
        <v>44</v>
      </c>
      <c r="D11" s="34"/>
      <c r="E11" s="117"/>
      <c r="F11" s="118"/>
      <c r="H11" s="119"/>
      <c r="I11" s="122" t="s">
        <v>61</v>
      </c>
      <c r="J11" s="105" t="s">
        <v>60</v>
      </c>
      <c r="K11" s="121"/>
    </row>
    <row r="12" spans="2:11" ht="12.75" x14ac:dyDescent="0.2">
      <c r="B12" s="115"/>
      <c r="C12" s="33" t="s">
        <v>43</v>
      </c>
      <c r="D12" s="32" t="b">
        <v>1</v>
      </c>
      <c r="E12" s="117"/>
      <c r="F12" s="118"/>
      <c r="H12" s="119"/>
      <c r="I12" s="122" t="s">
        <v>59</v>
      </c>
      <c r="J12" s="108" t="s">
        <v>58</v>
      </c>
      <c r="K12" s="121"/>
    </row>
    <row r="13" spans="2:11" ht="12.75" x14ac:dyDescent="0.2">
      <c r="B13" s="115"/>
      <c r="C13" s="123"/>
      <c r="D13" s="123"/>
      <c r="E13" s="117"/>
      <c r="F13" s="118"/>
      <c r="H13" s="119"/>
      <c r="I13" s="122" t="s">
        <v>119</v>
      </c>
      <c r="J13" s="108" t="s">
        <v>120</v>
      </c>
      <c r="K13" s="121"/>
    </row>
    <row r="14" spans="2:11" ht="12.75" x14ac:dyDescent="0.2">
      <c r="B14" s="115"/>
      <c r="C14" s="31" t="s">
        <v>42</v>
      </c>
      <c r="D14" s="124" t="str">
        <f>_xll.qlPiecewiseYieldCurve(D16,NDays,Calendar,_xll.ohPack(Selected!D2:D126),DayCounter,,,Accuracy,TraitsID,InterpolatorID,Permanent,,ObjectOverwrite)</f>
        <v>_GBPYC1M_linearLCH#0001</v>
      </c>
      <c r="E14" s="124" t="str">
        <f>_xll.qlPiecewiseYieldCurve(E16,E17,E18,_xll.ohPack(Selected!E2:E126),E19,,,E20,E21,E22,Permanent,,ObjectOverwrite)</f>
        <v>_GBPYC1M_cubicLCH#0001</v>
      </c>
      <c r="F14" s="118"/>
      <c r="H14" s="119"/>
      <c r="I14" s="122" t="s">
        <v>121</v>
      </c>
      <c r="J14" s="108" t="s">
        <v>122</v>
      </c>
      <c r="K14" s="121"/>
    </row>
    <row r="15" spans="2:11" ht="12.75" x14ac:dyDescent="0.2">
      <c r="B15" s="115"/>
      <c r="C15" s="24" t="s">
        <v>25</v>
      </c>
      <c r="D15" s="125" t="str">
        <f>_xll.ohRangeRetrieveError(YieldCurve1)</f>
        <v/>
      </c>
      <c r="E15" s="125" t="str">
        <f>_xll.ohRangeRetrieveError(YieldCurve2)</f>
        <v/>
      </c>
      <c r="F15" s="118"/>
      <c r="H15" s="119"/>
      <c r="I15" s="122" t="s">
        <v>123</v>
      </c>
      <c r="J15" s="108" t="s">
        <v>124</v>
      </c>
      <c r="K15" s="121"/>
    </row>
    <row r="16" spans="2:11" ht="12.75" x14ac:dyDescent="0.2">
      <c r="B16" s="115"/>
      <c r="C16" s="31" t="s">
        <v>41</v>
      </c>
      <c r="D16" s="30" t="str">
        <f>"_"&amp;Currency&amp;"YC"&amp;IndexTenor&amp;LCHlinear</f>
        <v>_GBPYC1M_linearLCH</v>
      </c>
      <c r="E16" s="30" t="str">
        <f>"_"&amp;Currency&amp;"YC"&amp;IndexTenor&amp;LCHcubic</f>
        <v>_GBPYC1M_cubicLCH</v>
      </c>
      <c r="F16" s="118"/>
      <c r="H16" s="119"/>
      <c r="I16" s="122" t="s">
        <v>84</v>
      </c>
      <c r="J16" s="105" t="s">
        <v>82</v>
      </c>
      <c r="K16" s="121"/>
    </row>
    <row r="17" spans="2:11" ht="12.75" x14ac:dyDescent="0.2">
      <c r="B17" s="115"/>
      <c r="C17" s="26" t="s">
        <v>40</v>
      </c>
      <c r="D17" s="29">
        <v>0</v>
      </c>
      <c r="E17" s="29">
        <v>0</v>
      </c>
      <c r="F17" s="118"/>
      <c r="H17" s="119"/>
      <c r="I17" s="122" t="s">
        <v>83</v>
      </c>
      <c r="J17" s="105" t="s">
        <v>82</v>
      </c>
      <c r="K17" s="121"/>
    </row>
    <row r="18" spans="2:11" ht="12.75" x14ac:dyDescent="0.2">
      <c r="B18" s="115"/>
      <c r="C18" s="26" t="s">
        <v>39</v>
      </c>
      <c r="D18" s="129" t="s">
        <v>38</v>
      </c>
      <c r="E18" s="129" t="s">
        <v>38</v>
      </c>
      <c r="F18" s="118"/>
      <c r="H18" s="119"/>
      <c r="I18" s="122" t="s">
        <v>98</v>
      </c>
      <c r="J18" s="105" t="str">
        <f>UPPER(Currency)&amp;"ON"&amp;LCHlinear</f>
        <v>GBPON_linearLCH</v>
      </c>
      <c r="K18" s="121"/>
    </row>
    <row r="19" spans="2:11" ht="12.75" x14ac:dyDescent="0.2">
      <c r="B19" s="115"/>
      <c r="C19" s="26" t="s">
        <v>37</v>
      </c>
      <c r="D19" s="129"/>
      <c r="E19" s="129"/>
      <c r="F19" s="118"/>
      <c r="H19" s="119"/>
      <c r="I19" s="122" t="s">
        <v>81</v>
      </c>
      <c r="J19" s="105" t="str">
        <f>UPPER(Currency)&amp;"ON"&amp;LCHcubic</f>
        <v>GBPON_cubicLCH</v>
      </c>
      <c r="K19" s="121"/>
    </row>
    <row r="20" spans="2:11" ht="12.75" x14ac:dyDescent="0.2">
      <c r="B20" s="115"/>
      <c r="C20" s="26" t="s">
        <v>36</v>
      </c>
      <c r="D20" s="27" t="e">
        <f>NA()</f>
        <v>#N/A</v>
      </c>
      <c r="E20" s="27" t="e">
        <f>NA()</f>
        <v>#N/A</v>
      </c>
      <c r="F20" s="118"/>
      <c r="H20" s="119"/>
      <c r="I20" s="122" t="s">
        <v>99</v>
      </c>
      <c r="J20" s="105" t="str">
        <f>UPPER(Currency)&amp;"STD"&amp;LCHlinear</f>
        <v>GBPSTD_linearLCH</v>
      </c>
      <c r="K20" s="121"/>
    </row>
    <row r="21" spans="2:11" ht="15.75" thickBot="1" x14ac:dyDescent="0.3">
      <c r="B21" s="115"/>
      <c r="C21" s="26" t="s">
        <v>35</v>
      </c>
      <c r="D21" s="25" t="s">
        <v>97</v>
      </c>
      <c r="E21" s="25" t="s">
        <v>34</v>
      </c>
      <c r="F21" s="118"/>
      <c r="H21" s="126"/>
      <c r="I21" s="127"/>
      <c r="J21" s="127"/>
      <c r="K21" s="128"/>
    </row>
    <row r="22" spans="2:11" x14ac:dyDescent="0.2">
      <c r="B22" s="115"/>
      <c r="C22" s="24" t="s">
        <v>33</v>
      </c>
      <c r="D22" s="23" t="s">
        <v>96</v>
      </c>
      <c r="E22" s="23" t="s">
        <v>100</v>
      </c>
      <c r="F22" s="118"/>
    </row>
    <row r="23" spans="2:11" x14ac:dyDescent="0.2">
      <c r="B23" s="115"/>
      <c r="C23" s="123"/>
      <c r="D23" s="123"/>
      <c r="E23" s="117"/>
      <c r="F23" s="118"/>
    </row>
    <row r="24" spans="2:11" x14ac:dyDescent="0.2">
      <c r="B24" s="115"/>
      <c r="C24" s="22">
        <f>_xll.qlTermStructureReferenceDate(YieldCurve1)</f>
        <v>42192</v>
      </c>
      <c r="D24" s="187">
        <f>MAX(_xll.ohPack(Selected!M1:M126))</f>
        <v>2.1802802686818078E-2</v>
      </c>
      <c r="E24" s="130">
        <f>MAX(_xll.ohPack(Selected!N1:N126))</f>
        <v>1</v>
      </c>
      <c r="F24" s="118"/>
    </row>
    <row r="25" spans="2:11" x14ac:dyDescent="0.2">
      <c r="B25" s="115"/>
      <c r="C25" s="21">
        <f>MAX(_xll.ohPack(Selected!L2:L126))</f>
        <v>64108</v>
      </c>
      <c r="D25" s="188">
        <f>MIN(_xll.ohPack(Selected!M1:M126))</f>
        <v>5.0714076590016501E-3</v>
      </c>
      <c r="E25" s="189">
        <f>MIN(_xll.ohPack(Selected!N1:N126))</f>
        <v>0.28635745020939707</v>
      </c>
      <c r="F25" s="118"/>
    </row>
    <row r="26" spans="2:11" x14ac:dyDescent="0.2">
      <c r="B26" s="115"/>
      <c r="C26" s="41" t="s">
        <v>25</v>
      </c>
      <c r="D26" s="131" t="str">
        <f>_xll.ohRangeRetrieveError(Selected!M1)</f>
        <v/>
      </c>
      <c r="E26" s="131" t="str">
        <f>_xll.ohRangeRetrieveError(Selected!N1)</f>
        <v/>
      </c>
      <c r="F26" s="118"/>
    </row>
    <row r="27" spans="2:11" x14ac:dyDescent="0.2">
      <c r="B27" s="115"/>
      <c r="C27" s="132"/>
      <c r="D27" s="133" t="str">
        <f>UPPER(Currency)&amp;IndexTenor&amp;LCHlinear</f>
        <v>GBP1M_linearLCH</v>
      </c>
      <c r="E27" s="133" t="str">
        <f>UPPER(Currency)&amp;IndexTenor&amp;LCHcubic</f>
        <v>GBP1M_cubicLCH</v>
      </c>
      <c r="F27" s="118"/>
    </row>
    <row r="28" spans="2:11" x14ac:dyDescent="0.2">
      <c r="B28" s="115"/>
      <c r="C28" s="134" t="s">
        <v>111</v>
      </c>
      <c r="D28" s="135" t="b">
        <f>_xll.qlRelinkableHandleLinkTo(D27,YieldCurve1)</f>
        <v>1</v>
      </c>
      <c r="E28" s="135" t="b">
        <f>_xll.qlRelinkableHandleLinkTo(E27,YieldCurve2)</f>
        <v>1</v>
      </c>
      <c r="F28" s="118"/>
    </row>
    <row r="29" spans="2:11" x14ac:dyDescent="0.2">
      <c r="B29" s="115"/>
      <c r="C29" s="136" t="s">
        <v>88</v>
      </c>
      <c r="D29" s="225" t="b">
        <v>0</v>
      </c>
      <c r="E29" s="225" t="b">
        <v>0</v>
      </c>
      <c r="F29" s="118"/>
    </row>
    <row r="30" spans="2:11" ht="12" thickBot="1" x14ac:dyDescent="0.25">
      <c r="B30" s="137"/>
      <c r="C30" s="186"/>
      <c r="D30" s="138"/>
      <c r="E30" s="139"/>
      <c r="F30" s="140"/>
    </row>
    <row r="31" spans="2:11" ht="11.25" customHeight="1" x14ac:dyDescent="0.2"/>
    <row r="33" ht="14.25" customHeight="1" x14ac:dyDescent="0.2"/>
  </sheetData>
  <mergeCells count="3">
    <mergeCell ref="B2:F2"/>
    <mergeCell ref="H2:K2"/>
    <mergeCell ref="H9:K9"/>
  </mergeCell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06"/>
  <sheetViews>
    <sheetView topLeftCell="C1" workbookViewId="0">
      <selection activeCell="C1" sqref="C1"/>
    </sheetView>
  </sheetViews>
  <sheetFormatPr defaultRowHeight="11.25" outlineLevelCol="1" x14ac:dyDescent="0.2"/>
  <cols>
    <col min="1" max="1" width="16" style="160" hidden="1" customWidth="1" outlineLevel="1"/>
    <col min="2" max="2" width="15.140625" style="161" hidden="1" customWidth="1" outlineLevel="1"/>
    <col min="3" max="3" width="22.42578125" style="161" bestFit="1" customWidth="1" collapsed="1"/>
    <col min="4" max="5" width="8" style="161" bestFit="1" customWidth="1"/>
    <col min="6" max="6" width="8.5703125" style="161" customWidth="1"/>
    <col min="7" max="8" width="10" style="161" customWidth="1"/>
    <col min="9" max="10" width="17.28515625" style="161" bestFit="1" customWidth="1"/>
    <col min="11" max="11" width="3" style="160" bestFit="1" customWidth="1"/>
    <col min="12" max="12" width="19.28515625" style="160" bestFit="1" customWidth="1"/>
    <col min="13" max="13" width="28.140625" style="160" bestFit="1" customWidth="1"/>
    <col min="14" max="14" width="3.5703125" style="160" customWidth="1"/>
    <col min="15" max="16384" width="9.140625" style="160"/>
  </cols>
  <sheetData>
    <row r="1" spans="1:11" ht="33.75" customHeight="1" x14ac:dyDescent="0.2">
      <c r="A1" s="163" t="s">
        <v>103</v>
      </c>
      <c r="B1" s="164" t="s">
        <v>104</v>
      </c>
      <c r="C1" s="164" t="s">
        <v>89</v>
      </c>
      <c r="D1" s="164" t="s">
        <v>24</v>
      </c>
      <c r="E1" s="164" t="s">
        <v>23</v>
      </c>
      <c r="F1" s="164" t="s">
        <v>22</v>
      </c>
      <c r="G1" s="164" t="s">
        <v>21</v>
      </c>
      <c r="H1" s="164" t="s">
        <v>20</v>
      </c>
      <c r="I1" s="164" t="s">
        <v>19</v>
      </c>
      <c r="J1" s="164" t="s">
        <v>18</v>
      </c>
      <c r="K1" s="165"/>
    </row>
    <row r="2" spans="1:11" ht="11.25" customHeight="1" x14ac:dyDescent="0.2">
      <c r="A2" s="166" t="str">
        <f>Deposits!F4</f>
        <v>obj_003fb#0002</v>
      </c>
      <c r="B2" s="64" t="str">
        <f>A2</f>
        <v>obj_003fb#0002</v>
      </c>
      <c r="C2" s="64" t="str">
        <f>SUBSTITUTE(_xll.qlRateHelperQuoteName(B2),"SB6L","SB6LBASIS")</f>
        <v>GBP1MD_LCHQuote</v>
      </c>
      <c r="D2" s="65">
        <f>_xll.qlRateHelperQuoteValue($B2,Trigger)</f>
        <v>5.0724999999999998E-3</v>
      </c>
      <c r="E2" s="65"/>
      <c r="F2" s="45" t="b">
        <v>1</v>
      </c>
      <c r="G2" s="45">
        <v>10</v>
      </c>
      <c r="H2" s="45">
        <v>1</v>
      </c>
      <c r="I2" s="66">
        <f>_xll.qlRateHelperEarliestDate($B2,Trigger)</f>
        <v>42192</v>
      </c>
      <c r="J2" s="67">
        <f>_xll.qlRateHelperMaturityDate($B2,Trigger)</f>
        <v>42223</v>
      </c>
      <c r="K2" s="142"/>
    </row>
    <row r="3" spans="1:11" x14ac:dyDescent="0.2">
      <c r="A3" s="167" t="str">
        <f>Swaps!M5</f>
        <v>obj_003fc#0001</v>
      </c>
      <c r="B3" s="68" t="str">
        <f>Swaps!N5</f>
        <v>obj_003fd#0001</v>
      </c>
      <c r="C3" s="68" t="str">
        <f>SUBSTITUTE(_xll.qlRateHelperQuoteName(B3),"SB6L","SB6LBASIS")</f>
        <v>GBPAB1L2M_LCHQuote</v>
      </c>
      <c r="D3" s="69">
        <f>_xll.qlRateHelperQuoteValue($B3,Trigger)</f>
        <v>5.1500000000000001E-3</v>
      </c>
      <c r="E3" s="69">
        <f>_xll.qlSwapRateHelperSpread($B3,Trigger)</f>
        <v>0</v>
      </c>
      <c r="F3" s="70" t="b">
        <v>1</v>
      </c>
      <c r="G3" s="70">
        <v>50</v>
      </c>
      <c r="H3" s="70">
        <v>1</v>
      </c>
      <c r="I3" s="71">
        <f>_xll.qlRateHelperEarliestDate($B3,Trigger)</f>
        <v>42192</v>
      </c>
      <c r="J3" s="72">
        <f>_xll.qlRateHelperMaturityDate($B3,Trigger)</f>
        <v>42254</v>
      </c>
      <c r="K3" s="142"/>
    </row>
    <row r="4" spans="1:11" x14ac:dyDescent="0.2">
      <c r="A4" s="166" t="str">
        <f>Swaps!M6</f>
        <v>obj_00405#0001</v>
      </c>
      <c r="B4" s="64" t="str">
        <f>Swaps!N6</f>
        <v>obj_00401#0001</v>
      </c>
      <c r="C4" s="64" t="str">
        <f>SUBSTITUTE(_xll.qlRateHelperQuoteName(B4),"SB6L","SB6LBASIS")</f>
        <v>GBPAB1L3M_LCHQuote</v>
      </c>
      <c r="D4" s="65">
        <f>_xll.qlRateHelperQuoteValue($B4,Trigger)</f>
        <v>5.1592499999999998E-3</v>
      </c>
      <c r="E4" s="65">
        <f>_xll.qlSwapRateHelperSpread($B4,Trigger)</f>
        <v>0</v>
      </c>
      <c r="F4" s="45" t="b">
        <v>1</v>
      </c>
      <c r="G4" s="45">
        <v>50</v>
      </c>
      <c r="H4" s="45">
        <v>1</v>
      </c>
      <c r="I4" s="66">
        <f>_xll.qlRateHelperEarliestDate($B4,Trigger)</f>
        <v>42192</v>
      </c>
      <c r="J4" s="67">
        <f>_xll.qlRateHelperMaturityDate($B4,Trigger)</f>
        <v>42284</v>
      </c>
      <c r="K4" s="142"/>
    </row>
    <row r="5" spans="1:11" x14ac:dyDescent="0.2">
      <c r="A5" s="166" t="str">
        <f>Swaps!M7</f>
        <v>obj_00404#0001</v>
      </c>
      <c r="B5" s="64" t="str">
        <f>Swaps!N7</f>
        <v>obj_00403#0001</v>
      </c>
      <c r="C5" s="64" t="str">
        <f>SUBSTITUTE(_xll.qlRateHelperQuoteName(B5),"SB6L","SB6LBASIS")</f>
        <v>GBPAB1L6M_LCHQuote</v>
      </c>
      <c r="D5" s="65">
        <f>_xll.qlRateHelperQuoteValue($B5,Trigger)</f>
        <v>5.2967500000000002E-3</v>
      </c>
      <c r="E5" s="65">
        <f>_xll.qlSwapRateHelperSpread($B5,Trigger)</f>
        <v>0</v>
      </c>
      <c r="F5" s="45" t="b">
        <v>1</v>
      </c>
      <c r="G5" s="45">
        <v>50</v>
      </c>
      <c r="H5" s="45">
        <v>1</v>
      </c>
      <c r="I5" s="66">
        <f>_xll.qlRateHelperEarliestDate($B5,Trigger)</f>
        <v>42192</v>
      </c>
      <c r="J5" s="67">
        <f>_xll.qlRateHelperMaturityDate($B5,Trigger)</f>
        <v>42376</v>
      </c>
      <c r="K5" s="142"/>
    </row>
    <row r="6" spans="1:11" x14ac:dyDescent="0.2">
      <c r="A6" s="166" t="str">
        <f>Swaps!M8</f>
        <v>obj_00402#0001</v>
      </c>
      <c r="B6" s="64" t="str">
        <f>Swaps!N8</f>
        <v>obj_00400#0001</v>
      </c>
      <c r="C6" s="64" t="str">
        <f>SUBSTITUTE(_xll.qlRateHelperQuoteName(B6),"SB6L","SB6LBASIS")</f>
        <v>GBPAB1L9M_LCHQuote</v>
      </c>
      <c r="D6" s="65">
        <f>_xll.qlRateHelperQuoteValue($B6,Trigger)</f>
        <v>5.5612500000000002E-3</v>
      </c>
      <c r="E6" s="65">
        <f>_xll.qlSwapRateHelperSpread($B6,Trigger)</f>
        <v>0</v>
      </c>
      <c r="F6" s="45" t="b">
        <v>1</v>
      </c>
      <c r="G6" s="45">
        <v>50</v>
      </c>
      <c r="H6" s="45">
        <v>1</v>
      </c>
      <c r="I6" s="66">
        <f>_xll.qlRateHelperEarliestDate($B6,Trigger)</f>
        <v>42192</v>
      </c>
      <c r="J6" s="67">
        <f>_xll.qlRateHelperMaturityDate($B6,Trigger)</f>
        <v>42467</v>
      </c>
      <c r="K6" s="142"/>
    </row>
    <row r="7" spans="1:11" x14ac:dyDescent="0.2">
      <c r="A7" s="166" t="str">
        <f>Swaps!M9</f>
        <v>obj_003ff#0001</v>
      </c>
      <c r="B7" s="64" t="str">
        <f>Swaps!N9</f>
        <v>obj_003fe#0001</v>
      </c>
      <c r="C7" s="64" t="str">
        <f>SUBSTITUTE(_xll.qlRateHelperQuoteName(B7),"SB6L","SB6LBASIS")</f>
        <v>GBPAB1L1Y_LCHQuote</v>
      </c>
      <c r="D7" s="65">
        <f>_xll.qlRateHelperQuoteValue($B7,Trigger)</f>
        <v>5.9699999999999996E-3</v>
      </c>
      <c r="E7" s="65">
        <f>_xll.qlSwapRateHelperSpread($B7,Trigger)</f>
        <v>0</v>
      </c>
      <c r="F7" s="45" t="b">
        <v>1</v>
      </c>
      <c r="G7" s="45">
        <v>50</v>
      </c>
      <c r="H7" s="45">
        <v>1</v>
      </c>
      <c r="I7" s="66">
        <f>_xll.qlRateHelperEarliestDate($B7,Trigger)</f>
        <v>42192</v>
      </c>
      <c r="J7" s="67">
        <f>_xll.qlRateHelperMaturityDate($B7,Trigger)</f>
        <v>42558</v>
      </c>
      <c r="K7" s="142"/>
    </row>
    <row r="8" spans="1:11" x14ac:dyDescent="0.2">
      <c r="A8" s="167" t="str">
        <f>SwapsFromBasis!M5</f>
        <v>obj_00406#0001</v>
      </c>
      <c r="B8" s="68" t="str">
        <f>SwapsFromBasis!N5</f>
        <v>obj_00407#0001</v>
      </c>
      <c r="C8" s="68" t="str">
        <f>SUBSTITUTE(_xll.qlRateHelperQuoteName(B8),"SB6L","SB6LBASIS")</f>
        <v>GBP1L6L2Y_LCHQuote</v>
      </c>
      <c r="D8" s="69">
        <f>_xll.qlRateHelperQuoteValue($B8,Trigger)</f>
        <v>8.1412499999999992E-3</v>
      </c>
      <c r="E8" s="69">
        <f>_xll.qlSwapRateHelperSpread($B8,Trigger)</f>
        <v>0</v>
      </c>
      <c r="F8" s="70" t="b">
        <v>1</v>
      </c>
      <c r="G8" s="70">
        <v>40</v>
      </c>
      <c r="H8" s="70">
        <v>1</v>
      </c>
      <c r="I8" s="71">
        <f>_xll.qlRateHelperEarliestDate($B8,Trigger)</f>
        <v>42192</v>
      </c>
      <c r="J8" s="72">
        <f>_xll.qlRateHelperMaturityDate($B8,Trigger)</f>
        <v>42923</v>
      </c>
      <c r="K8" s="142"/>
    </row>
    <row r="9" spans="1:11" x14ac:dyDescent="0.2">
      <c r="A9" s="166" t="str">
        <f>SwapsFromBasis!M6</f>
        <v>obj_00423#0001</v>
      </c>
      <c r="B9" s="64" t="str">
        <f>SwapsFromBasis!N6</f>
        <v>obj_00416#0001</v>
      </c>
      <c r="C9" s="64" t="str">
        <f>SUBSTITUTE(_xll.qlRateHelperQuoteName(B9),"SB6L","SB6LBASIS")</f>
        <v>GBP1L6L3Y_LCHQuote</v>
      </c>
      <c r="D9" s="65">
        <f>_xll.qlRateHelperQuoteValue($B9,Trigger)</f>
        <v>1.0371999999999999E-2</v>
      </c>
      <c r="E9" s="65">
        <f>_xll.qlSwapRateHelperSpread($B9,Trigger)</f>
        <v>0</v>
      </c>
      <c r="F9" s="45" t="b">
        <v>1</v>
      </c>
      <c r="G9" s="45">
        <v>40</v>
      </c>
      <c r="H9" s="45">
        <v>1</v>
      </c>
      <c r="I9" s="66">
        <f>_xll.qlRateHelperEarliestDate($B9,Trigger)</f>
        <v>42192</v>
      </c>
      <c r="J9" s="67">
        <f>_xll.qlRateHelperMaturityDate($B9,Trigger)</f>
        <v>43290</v>
      </c>
      <c r="K9" s="142"/>
    </row>
    <row r="10" spans="1:11" x14ac:dyDescent="0.2">
      <c r="A10" s="166" t="str">
        <f>SwapsFromBasis!M7</f>
        <v>obj_00415#0001</v>
      </c>
      <c r="B10" s="64" t="str">
        <f>SwapsFromBasis!N7</f>
        <v>obj_00425#0001</v>
      </c>
      <c r="C10" s="64" t="str">
        <f>SUBSTITUTE(_xll.qlRateHelperQuoteName(B10),"SB6L","SB6LBASIS")</f>
        <v>GBP1L6L4Y_LCHQuote</v>
      </c>
      <c r="D10" s="65">
        <f>_xll.qlRateHelperQuoteValue($B10,Trigger)</f>
        <v>1.2170500000000001E-2</v>
      </c>
      <c r="E10" s="65">
        <f>_xll.qlSwapRateHelperSpread($B10,Trigger)</f>
        <v>0</v>
      </c>
      <c r="F10" s="45" t="b">
        <v>1</v>
      </c>
      <c r="G10" s="45">
        <v>40</v>
      </c>
      <c r="H10" s="45">
        <v>1</v>
      </c>
      <c r="I10" s="66">
        <f>_xll.qlRateHelperEarliestDate($B10,Trigger)</f>
        <v>42192</v>
      </c>
      <c r="J10" s="67">
        <f>_xll.qlRateHelperMaturityDate($B10,Trigger)</f>
        <v>43654</v>
      </c>
      <c r="K10" s="142"/>
    </row>
    <row r="11" spans="1:11" x14ac:dyDescent="0.2">
      <c r="A11" s="166" t="str">
        <f>SwapsFromBasis!M8</f>
        <v>obj_0040c#0001</v>
      </c>
      <c r="B11" s="64" t="str">
        <f>SwapsFromBasis!N8</f>
        <v>obj_0041a#0001</v>
      </c>
      <c r="C11" s="64" t="str">
        <f>SUBSTITUTE(_xll.qlRateHelperQuoteName(B11),"SB6L","SB6LBASIS")</f>
        <v>GBP1L6L5Y_LCHQuote</v>
      </c>
      <c r="D11" s="65">
        <f>_xll.qlRateHelperQuoteValue($B11,Trigger)</f>
        <v>1.3615749999999999E-2</v>
      </c>
      <c r="E11" s="65">
        <f>_xll.qlSwapRateHelperSpread($B11,Trigger)</f>
        <v>0</v>
      </c>
      <c r="F11" s="45" t="b">
        <v>1</v>
      </c>
      <c r="G11" s="45">
        <v>40</v>
      </c>
      <c r="H11" s="45">
        <v>1</v>
      </c>
      <c r="I11" s="66">
        <f>_xll.qlRateHelperEarliestDate($B11,Trigger)</f>
        <v>42192</v>
      </c>
      <c r="J11" s="67">
        <f>_xll.qlRateHelperMaturityDate($B11,Trigger)</f>
        <v>44019</v>
      </c>
      <c r="K11" s="142"/>
    </row>
    <row r="12" spans="1:11" x14ac:dyDescent="0.2">
      <c r="A12" s="166" t="str">
        <f>SwapsFromBasis!M9</f>
        <v>obj_00412#0001</v>
      </c>
      <c r="B12" s="64" t="str">
        <f>SwapsFromBasis!N9</f>
        <v>obj_0040b#0001</v>
      </c>
      <c r="C12" s="64" t="str">
        <f>SUBSTITUTE(_xll.qlRateHelperQuoteName(B12),"SB6L","SB6LBASIS")</f>
        <v>GBP1L6L6Y_LCHQuote</v>
      </c>
      <c r="D12" s="65">
        <f>_xll.qlRateHelperQuoteValue($B12,Trigger)</f>
        <v>1.4847249999999999E-2</v>
      </c>
      <c r="E12" s="65">
        <f>_xll.qlSwapRateHelperSpread($B12,Trigger)</f>
        <v>0</v>
      </c>
      <c r="F12" s="45" t="b">
        <v>1</v>
      </c>
      <c r="G12" s="45">
        <v>40</v>
      </c>
      <c r="H12" s="45">
        <v>1</v>
      </c>
      <c r="I12" s="66">
        <f>_xll.qlRateHelperEarliestDate($B12,Trigger)</f>
        <v>42192</v>
      </c>
      <c r="J12" s="67">
        <f>_xll.qlRateHelperMaturityDate($B12,Trigger)</f>
        <v>44384</v>
      </c>
      <c r="K12" s="142"/>
    </row>
    <row r="13" spans="1:11" x14ac:dyDescent="0.2">
      <c r="A13" s="166" t="str">
        <f>SwapsFromBasis!M10</f>
        <v>obj_00422#0001</v>
      </c>
      <c r="B13" s="64" t="str">
        <f>SwapsFromBasis!N10</f>
        <v>obj_00427#0001</v>
      </c>
      <c r="C13" s="64" t="str">
        <f>SUBSTITUTE(_xll.qlRateHelperQuoteName(B13),"SB6L","SB6LBASIS")</f>
        <v>GBP1L6L7Y_LCHQuote</v>
      </c>
      <c r="D13" s="65">
        <f>_xll.qlRateHelperQuoteValue($B13,Trigger)</f>
        <v>1.58745E-2</v>
      </c>
      <c r="E13" s="65">
        <f>_xll.qlSwapRateHelperSpread($B13,Trigger)</f>
        <v>0</v>
      </c>
      <c r="F13" s="45" t="b">
        <v>1</v>
      </c>
      <c r="G13" s="45">
        <v>40</v>
      </c>
      <c r="H13" s="45">
        <v>1</v>
      </c>
      <c r="I13" s="66">
        <f>_xll.qlRateHelperEarliestDate($B13,Trigger)</f>
        <v>42192</v>
      </c>
      <c r="J13" s="67">
        <f>_xll.qlRateHelperMaturityDate($B13,Trigger)</f>
        <v>44749</v>
      </c>
      <c r="K13" s="142"/>
    </row>
    <row r="14" spans="1:11" x14ac:dyDescent="0.2">
      <c r="A14" s="166" t="str">
        <f>SwapsFromBasis!M11</f>
        <v>obj_00426#0001</v>
      </c>
      <c r="B14" s="64" t="str">
        <f>SwapsFromBasis!N11</f>
        <v>obj_00414#0001</v>
      </c>
      <c r="C14" s="64" t="str">
        <f>SUBSTITUTE(_xll.qlRateHelperQuoteName(B14),"SB6L","SB6LBASIS")</f>
        <v>GBP1L6L8Y_LCHQuote</v>
      </c>
      <c r="D14" s="65">
        <f>_xll.qlRateHelperQuoteValue($B14,Trigger)</f>
        <v>1.6725500000000001E-2</v>
      </c>
      <c r="E14" s="65">
        <f>_xll.qlSwapRateHelperSpread($B14,Trigger)</f>
        <v>0</v>
      </c>
      <c r="F14" s="45" t="b">
        <v>1</v>
      </c>
      <c r="G14" s="45">
        <v>40</v>
      </c>
      <c r="H14" s="45">
        <v>1</v>
      </c>
      <c r="I14" s="66">
        <f>_xll.qlRateHelperEarliestDate($B14,Trigger)</f>
        <v>42192</v>
      </c>
      <c r="J14" s="67">
        <f>_xll.qlRateHelperMaturityDate($B14,Trigger)</f>
        <v>45114</v>
      </c>
      <c r="K14" s="142"/>
    </row>
    <row r="15" spans="1:11" x14ac:dyDescent="0.2">
      <c r="A15" s="166" t="str">
        <f>SwapsFromBasis!M12</f>
        <v>obj_00413#0001</v>
      </c>
      <c r="B15" s="64" t="str">
        <f>SwapsFromBasis!N12</f>
        <v>obj_00419#0001</v>
      </c>
      <c r="C15" s="64" t="str">
        <f>SUBSTITUTE(_xll.qlRateHelperQuoteName(B15),"SB6L","SB6LBASIS")</f>
        <v>GBP1L6L9Y_LCHQuote</v>
      </c>
      <c r="D15" s="65">
        <f>_xll.qlRateHelperQuoteValue($B15,Trigger)</f>
        <v>1.7448000000000002E-2</v>
      </c>
      <c r="E15" s="65">
        <f>_xll.qlSwapRateHelperSpread($B15,Trigger)</f>
        <v>0</v>
      </c>
      <c r="F15" s="45" t="b">
        <v>1</v>
      </c>
      <c r="G15" s="45">
        <v>40</v>
      </c>
      <c r="H15" s="45">
        <v>1</v>
      </c>
      <c r="I15" s="66">
        <f>_xll.qlRateHelperEarliestDate($B15,Trigger)</f>
        <v>42192</v>
      </c>
      <c r="J15" s="67">
        <f>_xll.qlRateHelperMaturityDate($B15,Trigger)</f>
        <v>45481</v>
      </c>
      <c r="K15" s="142"/>
    </row>
    <row r="16" spans="1:11" x14ac:dyDescent="0.2">
      <c r="A16" s="166" t="str">
        <f>SwapsFromBasis!M13</f>
        <v>obj_00411#0001</v>
      </c>
      <c r="B16" s="64" t="str">
        <f>SwapsFromBasis!N13</f>
        <v>obj_0040a#0001</v>
      </c>
      <c r="C16" s="64" t="str">
        <f>SUBSTITUTE(_xll.qlRateHelperQuoteName(B16),"SB6L","SB6LBASIS")</f>
        <v>GBP1L6L10Y_LCHQuote</v>
      </c>
      <c r="D16" s="65">
        <f>_xll.qlRateHelperQuoteValue($B16,Trigger)</f>
        <v>1.8057500000000001E-2</v>
      </c>
      <c r="E16" s="65">
        <f>_xll.qlSwapRateHelperSpread($B16,Trigger)</f>
        <v>0</v>
      </c>
      <c r="F16" s="45" t="b">
        <v>1</v>
      </c>
      <c r="G16" s="45">
        <v>40</v>
      </c>
      <c r="H16" s="45">
        <v>1</v>
      </c>
      <c r="I16" s="66">
        <f>_xll.qlRateHelperEarliestDate($B16,Trigger)</f>
        <v>42192</v>
      </c>
      <c r="J16" s="67">
        <f>_xll.qlRateHelperMaturityDate($B16,Trigger)</f>
        <v>45845</v>
      </c>
      <c r="K16" s="142"/>
    </row>
    <row r="17" spans="1:11" x14ac:dyDescent="0.2">
      <c r="A17" s="166" t="str">
        <f>SwapsFromBasis!M14</f>
        <v>obj_00421#0001</v>
      </c>
      <c r="B17" s="64" t="str">
        <f>SwapsFromBasis!N14</f>
        <v>obj_0041c#0001</v>
      </c>
      <c r="C17" s="64" t="str">
        <f>SUBSTITUTE(_xll.qlRateHelperQuoteName(B17),"SB6L","SB6LBASIS")</f>
        <v>GBP1L6L12Y_LCHQuote</v>
      </c>
      <c r="D17" s="65">
        <f>_xll.qlRateHelperQuoteValue($B17,Trigger)</f>
        <v>1.92155E-2</v>
      </c>
      <c r="E17" s="65">
        <f>_xll.qlSwapRateHelperSpread($B17,Trigger)</f>
        <v>0</v>
      </c>
      <c r="F17" s="45" t="b">
        <v>1</v>
      </c>
      <c r="G17" s="45">
        <v>40</v>
      </c>
      <c r="H17" s="45">
        <v>1</v>
      </c>
      <c r="I17" s="66">
        <f>_xll.qlRateHelperEarliestDate($B17,Trigger)</f>
        <v>42192</v>
      </c>
      <c r="J17" s="67">
        <f>_xll.qlRateHelperMaturityDate($B17,Trigger)</f>
        <v>46575</v>
      </c>
      <c r="K17" s="142"/>
    </row>
    <row r="18" spans="1:11" x14ac:dyDescent="0.2">
      <c r="A18" s="166" t="str">
        <f>SwapsFromBasis!M15</f>
        <v>obj_0040d#0001</v>
      </c>
      <c r="B18" s="64" t="str">
        <f>SwapsFromBasis!N15</f>
        <v>obj_0041b#0001</v>
      </c>
      <c r="C18" s="64" t="str">
        <f>SUBSTITUTE(_xll.qlRateHelperQuoteName(B18),"SB6L","SB6LBASIS")</f>
        <v>GBP1L6L15Y_LCHQuote</v>
      </c>
      <c r="D18" s="65">
        <f>_xll.qlRateHelperQuoteValue($B18,Trigger)</f>
        <v>2.0344000000000001E-2</v>
      </c>
      <c r="E18" s="65">
        <f>_xll.qlSwapRateHelperSpread($B18,Trigger)</f>
        <v>0</v>
      </c>
      <c r="F18" s="45" t="b">
        <v>1</v>
      </c>
      <c r="G18" s="45">
        <v>40</v>
      </c>
      <c r="H18" s="45">
        <v>1</v>
      </c>
      <c r="I18" s="66">
        <f>_xll.qlRateHelperEarliestDate($B18,Trigger)</f>
        <v>42192</v>
      </c>
      <c r="J18" s="67">
        <f>_xll.qlRateHelperMaturityDate($B18,Trigger)</f>
        <v>47672</v>
      </c>
      <c r="K18" s="142"/>
    </row>
    <row r="19" spans="1:11" x14ac:dyDescent="0.2">
      <c r="A19" s="166" t="str">
        <f>SwapsFromBasis!M16</f>
        <v>obj_00424#0001</v>
      </c>
      <c r="B19" s="64" t="str">
        <f>SwapsFromBasis!N16</f>
        <v>obj_00418#0001</v>
      </c>
      <c r="C19" s="64" t="str">
        <f>SUBSTITUTE(_xll.qlRateHelperQuoteName(B19),"SB6L","SB6LBASIS")</f>
        <v>GBP1L6L20Y_LCHQuote</v>
      </c>
      <c r="D19" s="65">
        <f>_xll.qlRateHelperQuoteValue($B19,Trigger)</f>
        <v>2.1267000000000001E-2</v>
      </c>
      <c r="E19" s="65">
        <f>_xll.qlSwapRateHelperSpread($B19,Trigger)</f>
        <v>0</v>
      </c>
      <c r="F19" s="45" t="b">
        <v>1</v>
      </c>
      <c r="G19" s="45">
        <v>40</v>
      </c>
      <c r="H19" s="45">
        <v>1</v>
      </c>
      <c r="I19" s="66">
        <f>_xll.qlRateHelperEarliestDate($B19,Trigger)</f>
        <v>42192</v>
      </c>
      <c r="J19" s="67">
        <f>_xll.qlRateHelperMaturityDate($B19,Trigger)</f>
        <v>49499</v>
      </c>
      <c r="K19" s="142"/>
    </row>
    <row r="20" spans="1:11" x14ac:dyDescent="0.2">
      <c r="A20" s="166" t="str">
        <f>SwapsFromBasis!M17</f>
        <v>obj_00410#0001</v>
      </c>
      <c r="B20" s="64" t="str">
        <f>SwapsFromBasis!N17</f>
        <v>obj_00409#0001</v>
      </c>
      <c r="C20" s="64" t="str">
        <f>SUBSTITUTE(_xll.qlRateHelperQuoteName(B20),"SB6L","SB6LBASIS")</f>
        <v>GBP1L6L25Y_LCHQuote</v>
      </c>
      <c r="D20" s="65">
        <f>_xll.qlRateHelperQuoteValue($B20,Trigger)</f>
        <v>2.1444250000000002E-2</v>
      </c>
      <c r="E20" s="65">
        <f>_xll.qlSwapRateHelperSpread($B20,Trigger)</f>
        <v>0</v>
      </c>
      <c r="F20" s="45" t="b">
        <v>1</v>
      </c>
      <c r="G20" s="45">
        <v>40</v>
      </c>
      <c r="H20" s="45">
        <v>1</v>
      </c>
      <c r="I20" s="66">
        <f>_xll.qlRateHelperEarliestDate($B20,Trigger)</f>
        <v>42192</v>
      </c>
      <c r="J20" s="67">
        <f>_xll.qlRateHelperMaturityDate($B20,Trigger)</f>
        <v>51326</v>
      </c>
      <c r="K20" s="142"/>
    </row>
    <row r="21" spans="1:11" x14ac:dyDescent="0.2">
      <c r="A21" s="166" t="str">
        <f>SwapsFromBasis!M18</f>
        <v>obj_00420#0001</v>
      </c>
      <c r="B21" s="64" t="str">
        <f>SwapsFromBasis!N18</f>
        <v>obj_0040e#0001</v>
      </c>
      <c r="C21" s="64" t="str">
        <f>SUBSTITUTE(_xll.qlRateHelperQuoteName(B21),"SB6L","SB6LBASIS")</f>
        <v>GBP1L6L30Y_LCHQuote</v>
      </c>
      <c r="D21" s="65">
        <f>_xll.qlRateHelperQuoteValue($B21,Trigger)</f>
        <v>2.15055E-2</v>
      </c>
      <c r="E21" s="65">
        <f>_xll.qlSwapRateHelperSpread($B21,Trigger)</f>
        <v>0</v>
      </c>
      <c r="F21" s="45" t="b">
        <v>1</v>
      </c>
      <c r="G21" s="45">
        <v>40</v>
      </c>
      <c r="H21" s="45">
        <v>1</v>
      </c>
      <c r="I21" s="66">
        <f>_xll.qlRateHelperEarliestDate($B21,Trigger)</f>
        <v>42192</v>
      </c>
      <c r="J21" s="67">
        <f>_xll.qlRateHelperMaturityDate($B21,Trigger)</f>
        <v>53150</v>
      </c>
      <c r="K21" s="142"/>
    </row>
    <row r="22" spans="1:11" x14ac:dyDescent="0.2">
      <c r="A22" s="166" t="str">
        <f>SwapsFromBasis!M19</f>
        <v>obj_0041f#0001</v>
      </c>
      <c r="B22" s="64" t="str">
        <f>SwapsFromBasis!N19</f>
        <v>obj_0041e#0001</v>
      </c>
      <c r="C22" s="64" t="str">
        <f>SUBSTITUTE(_xll.qlRateHelperQuoteName(B22),"SB6L","SB6LBASIS")</f>
        <v>GBP1L6L40Y_LCHQuote</v>
      </c>
      <c r="D22" s="65">
        <f>_xll.qlRateHelperQuoteValue($B22,Trigger)</f>
        <v>2.1080000000000002E-2</v>
      </c>
      <c r="E22" s="65">
        <f>_xll.qlSwapRateHelperSpread($B22,Trigger)</f>
        <v>0</v>
      </c>
      <c r="F22" s="45" t="b">
        <v>1</v>
      </c>
      <c r="G22" s="45">
        <v>40</v>
      </c>
      <c r="H22" s="45">
        <v>1</v>
      </c>
      <c r="I22" s="66">
        <f>_xll.qlRateHelperEarliestDate($B22,Trigger)</f>
        <v>42192</v>
      </c>
      <c r="J22" s="67">
        <f>_xll.qlRateHelperMaturityDate($B22,Trigger)</f>
        <v>56802</v>
      </c>
      <c r="K22" s="142"/>
    </row>
    <row r="23" spans="1:11" x14ac:dyDescent="0.2">
      <c r="A23" s="166" t="str">
        <f>SwapsFromBasis!M20</f>
        <v>obj_0041d#0001</v>
      </c>
      <c r="B23" s="64" t="str">
        <f>SwapsFromBasis!N20</f>
        <v>obj_00417#0001</v>
      </c>
      <c r="C23" s="64" t="str">
        <f>SUBSTITUTE(_xll.qlRateHelperQuoteName(B23),"SB6L","SB6LBASIS")</f>
        <v>GBP1L6L50Y_LCHQuote</v>
      </c>
      <c r="D23" s="65">
        <f>_xll.qlRateHelperQuoteValue($B23,Trigger)</f>
        <v>2.0820499999999999E-2</v>
      </c>
      <c r="E23" s="65">
        <f>_xll.qlSwapRateHelperSpread($B23,Trigger)</f>
        <v>0</v>
      </c>
      <c r="F23" s="45" t="b">
        <v>1</v>
      </c>
      <c r="G23" s="45">
        <v>40</v>
      </c>
      <c r="H23" s="45">
        <v>1</v>
      </c>
      <c r="I23" s="66">
        <f>_xll.qlRateHelperEarliestDate($B23,Trigger)</f>
        <v>42192</v>
      </c>
      <c r="J23" s="67">
        <f>_xll.qlRateHelperMaturityDate($B23,Trigger)</f>
        <v>60455</v>
      </c>
      <c r="K23" s="142"/>
    </row>
    <row r="24" spans="1:11" x14ac:dyDescent="0.2">
      <c r="A24" s="168" t="str">
        <f>SwapsFromBasis!M21</f>
        <v>obj_0040f#0001</v>
      </c>
      <c r="B24" s="64" t="str">
        <f>SwapsFromBasis!N21</f>
        <v>obj_00408#0001</v>
      </c>
      <c r="C24" s="64" t="str">
        <f>SUBSTITUTE(_xll.qlRateHelperQuoteName(B24),"SB6L","SB6LBASIS")</f>
        <v>GBP1L6L60Y_LCHQuote</v>
      </c>
      <c r="D24" s="65">
        <f>_xll.qlRateHelperQuoteValue($B24,Trigger)</f>
        <v>2.0907499999999999E-2</v>
      </c>
      <c r="E24" s="65">
        <f>_xll.qlSwapRateHelperSpread($B24,Trigger)</f>
        <v>0</v>
      </c>
      <c r="F24" s="45" t="b">
        <v>1</v>
      </c>
      <c r="G24" s="45">
        <v>40</v>
      </c>
      <c r="H24" s="45">
        <v>1</v>
      </c>
      <c r="I24" s="66">
        <f>_xll.qlRateHelperEarliestDate($B24,Trigger)</f>
        <v>42192</v>
      </c>
      <c r="J24" s="67">
        <f>_xll.qlRateHelperMaturityDate($B24,Trigger)</f>
        <v>64108</v>
      </c>
      <c r="K24" s="142"/>
    </row>
    <row r="25" spans="1:11" ht="12" thickBot="1" x14ac:dyDescent="0.25">
      <c r="A25" s="169"/>
      <c r="B25" s="170"/>
      <c r="C25" s="170"/>
      <c r="D25" s="170"/>
      <c r="E25" s="170"/>
      <c r="F25" s="170"/>
      <c r="G25" s="170"/>
      <c r="H25" s="170"/>
      <c r="I25" s="170"/>
      <c r="J25" s="170"/>
      <c r="K25" s="171"/>
    </row>
    <row r="51" spans="11:11" x14ac:dyDescent="0.2">
      <c r="K51" s="173"/>
    </row>
    <row r="52" spans="11:11" ht="11.25" customHeight="1" x14ac:dyDescent="0.2">
      <c r="K52" s="172"/>
    </row>
    <row r="53" spans="11:11" x14ac:dyDescent="0.2">
      <c r="K53" s="174"/>
    </row>
    <row r="56" spans="11:11" ht="11.25" customHeight="1" x14ac:dyDescent="0.2"/>
    <row r="59" spans="11:11" ht="11.25" customHeight="1" x14ac:dyDescent="0.2"/>
    <row r="70" spans="12:12" x14ac:dyDescent="0.2">
      <c r="L70" s="172"/>
    </row>
    <row r="71" spans="12:12" x14ac:dyDescent="0.2">
      <c r="L71" s="172"/>
    </row>
    <row r="72" spans="12:12" x14ac:dyDescent="0.2">
      <c r="L72" s="172"/>
    </row>
    <row r="73" spans="12:12" x14ac:dyDescent="0.2">
      <c r="L73" s="172"/>
    </row>
    <row r="74" spans="12:12" x14ac:dyDescent="0.2">
      <c r="L74" s="172"/>
    </row>
    <row r="75" spans="12:12" x14ac:dyDescent="0.2">
      <c r="L75" s="172"/>
    </row>
    <row r="76" spans="12:12" x14ac:dyDescent="0.2">
      <c r="L76" s="172"/>
    </row>
    <row r="77" spans="12:12" x14ac:dyDescent="0.2">
      <c r="L77" s="172"/>
    </row>
    <row r="78" spans="12:12" x14ac:dyDescent="0.2">
      <c r="L78" s="172"/>
    </row>
    <row r="79" spans="12:12" x14ac:dyDescent="0.2">
      <c r="L79" s="172"/>
    </row>
    <row r="80" spans="12:12" x14ac:dyDescent="0.2">
      <c r="L80" s="172"/>
    </row>
    <row r="81" spans="12:12" x14ac:dyDescent="0.2">
      <c r="L81" s="172"/>
    </row>
    <row r="82" spans="12:12" x14ac:dyDescent="0.2">
      <c r="L82" s="172"/>
    </row>
    <row r="83" spans="12:12" x14ac:dyDescent="0.2">
      <c r="L83" s="172"/>
    </row>
    <row r="84" spans="12:12" x14ac:dyDescent="0.2">
      <c r="L84" s="172"/>
    </row>
    <row r="85" spans="12:12" x14ac:dyDescent="0.2">
      <c r="L85" s="172"/>
    </row>
    <row r="86" spans="12:12" x14ac:dyDescent="0.2">
      <c r="L86" s="172"/>
    </row>
    <row r="87" spans="12:12" x14ac:dyDescent="0.2">
      <c r="L87" s="172"/>
    </row>
    <row r="88" spans="12:12" x14ac:dyDescent="0.2">
      <c r="L88" s="172"/>
    </row>
    <row r="89" spans="12:12" x14ac:dyDescent="0.2">
      <c r="L89" s="172"/>
    </row>
    <row r="90" spans="12:12" x14ac:dyDescent="0.2">
      <c r="L90" s="172"/>
    </row>
    <row r="91" spans="12:12" x14ac:dyDescent="0.2">
      <c r="L91" s="172"/>
    </row>
    <row r="92" spans="12:12" x14ac:dyDescent="0.2">
      <c r="L92" s="172"/>
    </row>
    <row r="93" spans="12:12" x14ac:dyDescent="0.2">
      <c r="L93" s="172"/>
    </row>
    <row r="94" spans="12:12" x14ac:dyDescent="0.2">
      <c r="L94" s="172"/>
    </row>
    <row r="95" spans="12:12" x14ac:dyDescent="0.2">
      <c r="L95" s="172"/>
    </row>
    <row r="96" spans="12:12" x14ac:dyDescent="0.2">
      <c r="L96" s="172"/>
    </row>
    <row r="97" spans="12:12" x14ac:dyDescent="0.2">
      <c r="L97" s="172"/>
    </row>
    <row r="98" spans="12:12" x14ac:dyDescent="0.2">
      <c r="L98" s="172"/>
    </row>
    <row r="99" spans="12:12" x14ac:dyDescent="0.2">
      <c r="L99" s="172"/>
    </row>
    <row r="100" spans="12:12" x14ac:dyDescent="0.2">
      <c r="L100" s="172"/>
    </row>
    <row r="101" spans="12:12" x14ac:dyDescent="0.2">
      <c r="L101" s="172"/>
    </row>
    <row r="102" spans="12:12" x14ac:dyDescent="0.2">
      <c r="L102" s="172"/>
    </row>
    <row r="103" spans="12:12" x14ac:dyDescent="0.2">
      <c r="L103" s="172"/>
    </row>
    <row r="104" spans="12:12" x14ac:dyDescent="0.2">
      <c r="L104" s="172"/>
    </row>
    <row r="105" spans="12:12" x14ac:dyDescent="0.2">
      <c r="L105" s="172"/>
    </row>
    <row r="106" spans="12:12" x14ac:dyDescent="0.2">
      <c r="L106" s="17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4" width="25.7109375" style="1" hidden="1" customWidth="1" outlineLevel="1"/>
    <col min="5" max="5" width="24.42578125" style="2" hidden="1" customWidth="1" outlineLevel="1"/>
    <col min="6" max="6" width="24.42578125" style="2" customWidth="1" collapsed="1"/>
    <col min="7" max="7" width="24.42578125" style="2" hidden="1" customWidth="1"/>
    <col min="8" max="8" width="8" style="2" customWidth="1"/>
    <col min="9" max="9" width="8" style="2" bestFit="1" customWidth="1"/>
    <col min="10" max="10" width="17.28515625" style="2" bestFit="1" customWidth="1"/>
    <col min="11" max="11" width="17.28515625" style="2" customWidth="1"/>
    <col min="12" max="12" width="17.28515625" style="2" bestFit="1" customWidth="1"/>
    <col min="13" max="14" width="12" style="1" bestFit="1" customWidth="1"/>
    <col min="15" max="15" width="24.42578125" style="1" bestFit="1" customWidth="1"/>
    <col min="16" max="16384" width="9.140625" style="1"/>
  </cols>
  <sheetData>
    <row r="1" spans="1:16" ht="25.5" customHeight="1" thickBot="1" x14ac:dyDescent="0.25">
      <c r="A1" s="233" t="s">
        <v>32</v>
      </c>
      <c r="B1" s="234"/>
      <c r="D1" s="183" t="s">
        <v>105</v>
      </c>
      <c r="E1" s="183" t="s">
        <v>106</v>
      </c>
      <c r="F1" s="175" t="s">
        <v>90</v>
      </c>
      <c r="G1" s="176"/>
      <c r="H1" s="177" t="s">
        <v>31</v>
      </c>
      <c r="I1" s="177"/>
      <c r="J1" s="177" t="s">
        <v>19</v>
      </c>
      <c r="K1" s="224" t="s">
        <v>94</v>
      </c>
      <c r="L1" s="178" t="s">
        <v>126</v>
      </c>
      <c r="M1" s="73">
        <f t="array" ref="M1:M126">_xll.qlPiecewiseYieldCurveData(YieldCurve1)</f>
        <v>5.0714076590016501E-3</v>
      </c>
      <c r="N1" s="3">
        <f t="array" ref="N1:N126">_xll.qlPiecewiseYieldCurveData(YieldCurve2)</f>
        <v>1</v>
      </c>
    </row>
    <row r="2" spans="1:16" x14ac:dyDescent="0.2">
      <c r="A2" s="16" t="s">
        <v>30</v>
      </c>
      <c r="B2" s="15">
        <v>8</v>
      </c>
      <c r="D2" s="11" t="str">
        <f t="array" ref="D2:D126">_xll.qlRateHelperSelection(_xll.ohFilter(RateHelpers1,RateHelpersIncluded),_xll.ohFilter(RateHelpersPriority,RateHelpersIncluded),nIMMFutures,nSerialFutures,FrontFuturesRollingDays,DepoInclusionCriteria,_xll.ohFilter(MinDistance,RateHelpersIncluded),Trigger)</f>
        <v>obj_003fb</v>
      </c>
      <c r="E2" s="11" t="str">
        <f t="array" ref="E2:E126">_xll.qlRateHelperSelection(_xll.ohFilter(RateHelpers2,RateHelpersIncluded),_xll.ohFilter(RateHelpersPriority,RateHelpersIncluded),nIMMFutures,nSerialFutures,FrontFuturesRollingDays,DepoInclusionCriteria,_xll.ohFilter(MinDistance,RateHelpersIncluded),Trigger)</f>
        <v>obj_003fb</v>
      </c>
      <c r="F2" s="11" t="str">
        <f>SUBSTITUTE(_xll.qlRateHelperQuoteName(E2),"SB6L","SB6LBASIS")</f>
        <v>GBP1MD_LCHQuote</v>
      </c>
      <c r="G2" s="144">
        <f>_xll.qlRateHelperRate($E2)-H2</f>
        <v>0</v>
      </c>
      <c r="H2" s="10">
        <f>_xll.qlRateHelperRate($E2)</f>
        <v>5.0724999999999998E-3</v>
      </c>
      <c r="I2" s="10" t="str">
        <f>IF(ISERROR(_xll.qlSwapRateHelperSpread($E2)),IF(ISERROR(_xll.qlFuturesRateHelperConvexityAdjustment($E2)),"--",_xll.qlFuturesRateHelperConvexityAdjustment($E2)),_xll.qlSwapRateHelperSpread($E2))</f>
        <v>--</v>
      </c>
      <c r="J2" s="9">
        <f>_xll.qlRateHelperEarliestDate($E2)</f>
        <v>42192</v>
      </c>
      <c r="K2" s="9">
        <f>_xll.qlRateHelperMaturityDate(E2)</f>
        <v>42223</v>
      </c>
      <c r="L2" s="8">
        <f>_xll.qlRateHelperPillarDate($E2)</f>
        <v>42223</v>
      </c>
      <c r="M2" s="73">
        <v>5.0714076590016501E-3</v>
      </c>
      <c r="N2" s="3">
        <v>0.99956937045320449</v>
      </c>
      <c r="P2" s="39"/>
    </row>
    <row r="3" spans="1:16" x14ac:dyDescent="0.2">
      <c r="A3" s="12" t="s">
        <v>29</v>
      </c>
      <c r="B3" s="14">
        <v>0</v>
      </c>
      <c r="D3" s="11" t="str">
        <v>obj_003fc</v>
      </c>
      <c r="E3" s="11" t="str">
        <v>obj_003fd</v>
      </c>
      <c r="F3" s="11" t="str">
        <f>SUBSTITUTE(_xll.qlRateHelperQuoteName(E3),"SB6L","SB6LBASIS")</f>
        <v>GBPAB1L2M_LCHQuote</v>
      </c>
      <c r="G3" s="144">
        <f>_xll.qlRateHelperRate($E3)-H3</f>
        <v>0</v>
      </c>
      <c r="H3" s="10">
        <f>_xll.qlRateHelperRate($E3)</f>
        <v>5.1500000000000001E-3</v>
      </c>
      <c r="I3" s="10">
        <f>IF(ISERROR(_xll.qlSwapRateHelperSpread($E3)),IF(ISERROR(_xll.qlFuturesRateHelperConvexityAdjustment($E3)),"--",_xll.qlFuturesRateHelperConvexityAdjustment($E3)),_xll.qlSwapRateHelperSpread($E3))</f>
        <v>0</v>
      </c>
      <c r="J3" s="9">
        <f>_xll.qlRateHelperEarliestDate($E3)</f>
        <v>42192</v>
      </c>
      <c r="K3" s="9">
        <f>_xll.qlRateHelperMaturityDate(E3)</f>
        <v>42254</v>
      </c>
      <c r="L3" s="8">
        <f>_xll.qlRateHelperPillarDate($E3)</f>
        <v>42254</v>
      </c>
      <c r="M3" s="73">
        <v>5.1478857695994125E-3</v>
      </c>
      <c r="N3" s="3">
        <v>0.9991259468162127</v>
      </c>
      <c r="P3" s="39"/>
    </row>
    <row r="4" spans="1:16" x14ac:dyDescent="0.2">
      <c r="A4" s="12" t="s">
        <v>28</v>
      </c>
      <c r="B4" s="14">
        <v>1</v>
      </c>
      <c r="D4" s="11" t="str">
        <v>obj_00405</v>
      </c>
      <c r="E4" s="11" t="str">
        <v>obj_00401</v>
      </c>
      <c r="F4" s="11" t="str">
        <f>SUBSTITUTE(_xll.qlRateHelperQuoteName(E4),"SB6L","SB6LBASIS")</f>
        <v>GBPAB1L3M_LCHQuote</v>
      </c>
      <c r="G4" s="144">
        <f>_xll.qlRateHelperRate($E4)-H4</f>
        <v>0</v>
      </c>
      <c r="H4" s="10">
        <f>_xll.qlRateHelperRate($E4)</f>
        <v>5.1592499999999998E-3</v>
      </c>
      <c r="I4" s="10">
        <f>IF(ISERROR(_xll.qlSwapRateHelperSpread($E4)),IF(ISERROR(_xll.qlFuturesRateHelperConvexityAdjustment($E4)),"--",_xll.qlFuturesRateHelperConvexityAdjustment($E4)),_xll.qlSwapRateHelperSpread($E4))</f>
        <v>0</v>
      </c>
      <c r="J4" s="9">
        <f>_xll.qlRateHelperEarliestDate($E4)</f>
        <v>42192</v>
      </c>
      <c r="K4" s="9">
        <f>_xll.qlRateHelperMaturityDate(E4)</f>
        <v>42284</v>
      </c>
      <c r="L4" s="8">
        <f>_xll.qlRateHelperPillarDate($E4)</f>
        <v>42284</v>
      </c>
      <c r="M4" s="73">
        <v>5.1561497131856135E-3</v>
      </c>
      <c r="N4" s="3">
        <v>0.99870121189976291</v>
      </c>
      <c r="P4" s="39"/>
    </row>
    <row r="5" spans="1:16" x14ac:dyDescent="0.2">
      <c r="A5" s="12" t="s">
        <v>27</v>
      </c>
      <c r="B5" s="13" t="s">
        <v>26</v>
      </c>
      <c r="D5" s="11" t="str">
        <v>obj_00404</v>
      </c>
      <c r="E5" s="11" t="str">
        <v>obj_00403</v>
      </c>
      <c r="F5" s="11" t="str">
        <f>SUBSTITUTE(_xll.qlRateHelperQuoteName(E5),"SB6L","SB6LBASIS")</f>
        <v>GBPAB1L6M_LCHQuote</v>
      </c>
      <c r="G5" s="144">
        <f>_xll.qlRateHelperRate($E5)-H5</f>
        <v>0</v>
      </c>
      <c r="H5" s="10">
        <f>_xll.qlRateHelperRate($E5)</f>
        <v>5.2967500000000002E-3</v>
      </c>
      <c r="I5" s="10">
        <f>IF(ISERROR(_xll.qlSwapRateHelperSpread($E5)),IF(ISERROR(_xll.qlFuturesRateHelperConvexityAdjustment($E5)),"--",_xll.qlFuturesRateHelperConvexityAdjustment($E5)),_xll.qlSwapRateHelperSpread($E5))</f>
        <v>0</v>
      </c>
      <c r="J5" s="9">
        <f>_xll.qlRateHelperEarliestDate($E5)</f>
        <v>42192</v>
      </c>
      <c r="K5" s="9">
        <f>_xll.qlRateHelperMaturityDate(E5)</f>
        <v>42376</v>
      </c>
      <c r="L5" s="8">
        <f>_xll.qlRateHelperPillarDate($E5)</f>
        <v>42376</v>
      </c>
      <c r="M5" s="73">
        <v>5.2899055946836956E-3</v>
      </c>
      <c r="N5" s="3">
        <v>0.9973370575266004</v>
      </c>
      <c r="P5" s="39"/>
    </row>
    <row r="6" spans="1:16" x14ac:dyDescent="0.2">
      <c r="D6" s="11" t="str">
        <v>obj_00402</v>
      </c>
      <c r="E6" s="11" t="str">
        <v>obj_00400</v>
      </c>
      <c r="F6" s="11" t="str">
        <f>SUBSTITUTE(_xll.qlRateHelperQuoteName(E6),"SB6L","SB6LBASIS")</f>
        <v>GBPAB1L9M_LCHQuote</v>
      </c>
      <c r="G6" s="144">
        <f>_xll.qlRateHelperRate($E6)-H6</f>
        <v>0</v>
      </c>
      <c r="H6" s="10">
        <f>_xll.qlRateHelperRate($E6)</f>
        <v>5.5612500000000002E-3</v>
      </c>
      <c r="I6" s="10">
        <f>IF(ISERROR(_xll.qlSwapRateHelperSpread($E6)),IF(ISERROR(_xll.qlFuturesRateHelperConvexityAdjustment($E6)),"--",_xll.qlFuturesRateHelperConvexityAdjustment($E6)),_xll.qlSwapRateHelperSpread($E6))</f>
        <v>0</v>
      </c>
      <c r="J6" s="9">
        <f>_xll.qlRateHelperEarliestDate($E6)</f>
        <v>42192</v>
      </c>
      <c r="K6" s="9">
        <f>_xll.qlRateHelperMaturityDate(E6)</f>
        <v>42467</v>
      </c>
      <c r="L6" s="8">
        <f>_xll.qlRateHelperPillarDate($E6)</f>
        <v>42467</v>
      </c>
      <c r="M6" s="73">
        <v>5.5502475394747751E-3</v>
      </c>
      <c r="N6" s="3">
        <v>0.99582739007930221</v>
      </c>
      <c r="P6" s="39"/>
    </row>
    <row r="7" spans="1:16" x14ac:dyDescent="0.2">
      <c r="D7" s="11" t="str">
        <v>obj_003ff</v>
      </c>
      <c r="E7" s="11" t="str">
        <v>obj_003fe</v>
      </c>
      <c r="F7" s="11" t="str">
        <f>SUBSTITUTE(_xll.qlRateHelperQuoteName(E7),"SB6L","SB6LBASIS")</f>
        <v>GBPAB1L1Y_LCHQuote</v>
      </c>
      <c r="G7" s="144">
        <f>_xll.qlRateHelperRate($E7)-H7</f>
        <v>0</v>
      </c>
      <c r="H7" s="10">
        <f>_xll.qlRateHelperRate($E7)</f>
        <v>5.9699999999999996E-3</v>
      </c>
      <c r="I7" s="10">
        <f>IF(ISERROR(_xll.qlSwapRateHelperSpread($E7)),IF(ISERROR(_xll.qlFuturesRateHelperConvexityAdjustment($E7)),"--",_xll.qlFuturesRateHelperConvexityAdjustment($E7)),_xll.qlSwapRateHelperSpread($E7))</f>
        <v>0</v>
      </c>
      <c r="J7" s="9">
        <f>_xll.qlRateHelperEarliestDate($E7)</f>
        <v>42192</v>
      </c>
      <c r="K7" s="9">
        <f>_xll.qlRateHelperMaturityDate(E7)</f>
        <v>42558</v>
      </c>
      <c r="L7" s="8">
        <f>_xll.qlRateHelperPillarDate($E7)</f>
        <v>42558</v>
      </c>
      <c r="M7" s="73">
        <v>5.9529139735052389E-3</v>
      </c>
      <c r="N7" s="3">
        <v>0.99404927252494912</v>
      </c>
      <c r="P7" s="39"/>
    </row>
    <row r="8" spans="1:16" x14ac:dyDescent="0.2">
      <c r="D8" s="11" t="str">
        <v>obj_00406</v>
      </c>
      <c r="E8" s="11" t="str">
        <v>obj_00407</v>
      </c>
      <c r="F8" s="11" t="str">
        <f>SUBSTITUTE(_xll.qlRateHelperQuoteName(E8),"SB6L","SB6LBASIS")</f>
        <v>GBP1L6L2Y_LCHQuote</v>
      </c>
      <c r="G8" s="144">
        <f>_xll.qlRateHelperRate($E8)-H8</f>
        <v>0</v>
      </c>
      <c r="H8" s="10">
        <f>_xll.qlRateHelperRate($E8)</f>
        <v>8.1412499999999992E-3</v>
      </c>
      <c r="I8" s="10">
        <f>IF(ISERROR(_xll.qlSwapRateHelperSpread($E8)),IF(ISERROR(_xll.qlFuturesRateHelperConvexityAdjustment($E8)),"--",_xll.qlFuturesRateHelperConvexityAdjustment($E8)),_xll.qlSwapRateHelperSpread($E8))</f>
        <v>0</v>
      </c>
      <c r="J8" s="9">
        <f>_xll.qlRateHelperEarliestDate($E8)</f>
        <v>42192</v>
      </c>
      <c r="K8" s="9">
        <f>_xll.qlRateHelperMaturityDate(E8)</f>
        <v>42923</v>
      </c>
      <c r="L8" s="8">
        <f>_xll.qlRateHelperPillarDate($E8)</f>
        <v>42923</v>
      </c>
      <c r="M8" s="73">
        <v>8.1339478088109148E-3</v>
      </c>
      <c r="N8" s="3">
        <v>0.98384231646834763</v>
      </c>
      <c r="P8" s="39"/>
    </row>
    <row r="9" spans="1:16" x14ac:dyDescent="0.2">
      <c r="D9" s="11" t="str">
        <v>obj_00423</v>
      </c>
      <c r="E9" s="11" t="str">
        <v>obj_00416</v>
      </c>
      <c r="F9" s="11" t="str">
        <f>SUBSTITUTE(_xll.qlRateHelperQuoteName(E9),"SB6L","SB6LBASIS")</f>
        <v>GBP1L6L3Y_LCHQuote</v>
      </c>
      <c r="G9" s="144">
        <f>_xll.qlRateHelperRate($E9)-H9</f>
        <v>0</v>
      </c>
      <c r="H9" s="10">
        <f>_xll.qlRateHelperRate($E9)</f>
        <v>1.0371999999999999E-2</v>
      </c>
      <c r="I9" s="10">
        <f>IF(ISERROR(_xll.qlSwapRateHelperSpread($E9)),IF(ISERROR(_xll.qlFuturesRateHelperConvexityAdjustment($E9)),"--",_xll.qlFuturesRateHelperConvexityAdjustment($E9)),_xll.qlSwapRateHelperSpread($E9))</f>
        <v>0</v>
      </c>
      <c r="J9" s="9">
        <f>_xll.qlRateHelperEarliestDate($E9)</f>
        <v>42192</v>
      </c>
      <c r="K9" s="9">
        <f>_xll.qlRateHelperMaturityDate(E9)</f>
        <v>43290</v>
      </c>
      <c r="L9" s="8">
        <f>_xll.qlRateHelperPillarDate($E9)</f>
        <v>43290</v>
      </c>
      <c r="M9" s="73">
        <v>1.0375491682960017E-2</v>
      </c>
      <c r="N9" s="3">
        <v>0.96927067958430579</v>
      </c>
      <c r="P9" s="39"/>
    </row>
    <row r="10" spans="1:16" x14ac:dyDescent="0.2">
      <c r="D10" s="11" t="str">
        <v>obj_00415</v>
      </c>
      <c r="E10" s="11" t="str">
        <v>obj_00425</v>
      </c>
      <c r="F10" s="11" t="str">
        <f>SUBSTITUTE(_xll.qlRateHelperQuoteName(E10),"SB6L","SB6LBASIS")</f>
        <v>GBP1L6L4Y_LCHQuote</v>
      </c>
      <c r="G10" s="144">
        <f>_xll.qlRateHelperRate($E10)-H10</f>
        <v>0</v>
      </c>
      <c r="H10" s="10">
        <f>_xll.qlRateHelperRate($E10)</f>
        <v>1.2170500000000001E-2</v>
      </c>
      <c r="I10" s="10">
        <f>IF(ISERROR(_xll.qlSwapRateHelperSpread($E10)),IF(ISERROR(_xll.qlFuturesRateHelperConvexityAdjustment($E10)),"--",_xll.qlFuturesRateHelperConvexityAdjustment($E10)),_xll.qlSwapRateHelperSpread($E10))</f>
        <v>0</v>
      </c>
      <c r="J10" s="9">
        <f>_xll.qlRateHelperEarliestDate($E10)</f>
        <v>42192</v>
      </c>
      <c r="K10" s="9">
        <f>_xll.qlRateHelperMaturityDate(E10)</f>
        <v>43654</v>
      </c>
      <c r="L10" s="8">
        <f>_xll.qlRateHelperPillarDate($E10)</f>
        <v>43654</v>
      </c>
      <c r="M10" s="73">
        <v>1.2192086140461784E-2</v>
      </c>
      <c r="N10" s="3">
        <v>0.95233924040213136</v>
      </c>
      <c r="P10" s="39"/>
    </row>
    <row r="11" spans="1:16" x14ac:dyDescent="0.2">
      <c r="D11" s="11" t="str">
        <v>obj_0040c</v>
      </c>
      <c r="E11" s="11" t="str">
        <v>obj_0041a</v>
      </c>
      <c r="F11" s="11" t="str">
        <f>SUBSTITUTE(_xll.qlRateHelperQuoteName(E11),"SB6L","SB6LBASIS")</f>
        <v>GBP1L6L5Y_LCHQuote</v>
      </c>
      <c r="G11" s="144">
        <f>_xll.qlRateHelperRate($E11)-H11</f>
        <v>0</v>
      </c>
      <c r="H11" s="10">
        <f>_xll.qlRateHelperRate($E11)</f>
        <v>1.3615749999999999E-2</v>
      </c>
      <c r="I11" s="10">
        <f>IF(ISERROR(_xll.qlSwapRateHelperSpread($E11)),IF(ISERROR(_xll.qlFuturesRateHelperConvexityAdjustment($E11)),"--",_xll.qlFuturesRateHelperConvexityAdjustment($E11)),_xll.qlSwapRateHelperSpread($E11))</f>
        <v>0</v>
      </c>
      <c r="J11" s="9">
        <f>_xll.qlRateHelperEarliestDate($E11)</f>
        <v>42192</v>
      </c>
      <c r="K11" s="9">
        <f>_xll.qlRateHelperMaturityDate(E11)</f>
        <v>44019</v>
      </c>
      <c r="L11" s="8">
        <f>_xll.qlRateHelperPillarDate($E11)</f>
        <v>44019</v>
      </c>
      <c r="M11" s="73">
        <v>1.3660280988353646E-2</v>
      </c>
      <c r="N11" s="3">
        <v>0.93391264905783145</v>
      </c>
      <c r="P11" s="39"/>
    </row>
    <row r="12" spans="1:16" x14ac:dyDescent="0.2">
      <c r="D12" s="11" t="str">
        <v>obj_00412</v>
      </c>
      <c r="E12" s="11" t="str">
        <v>obj_0040b</v>
      </c>
      <c r="F12" s="11" t="str">
        <f>SUBSTITUTE(_xll.qlRateHelperQuoteName(E12),"SB6L","SB6LBASIS")</f>
        <v>GBP1L6L6Y_LCHQuote</v>
      </c>
      <c r="G12" s="144">
        <f>_xll.qlRateHelperRate($E12)-H12</f>
        <v>0</v>
      </c>
      <c r="H12" s="10">
        <f>_xll.qlRateHelperRate($E12)</f>
        <v>1.4847249999999999E-2</v>
      </c>
      <c r="I12" s="10">
        <f>IF(ISERROR(_xll.qlSwapRateHelperSpread($E12)),IF(ISERROR(_xll.qlFuturesRateHelperConvexityAdjustment($E12)),"--",_xll.qlFuturesRateHelperConvexityAdjustment($E12)),_xll.qlSwapRateHelperSpread($E12))</f>
        <v>0</v>
      </c>
      <c r="J12" s="9">
        <f>_xll.qlRateHelperEarliestDate($E12)</f>
        <v>42192</v>
      </c>
      <c r="K12" s="9">
        <f>_xll.qlRateHelperMaturityDate(E12)</f>
        <v>44384</v>
      </c>
      <c r="L12" s="8">
        <f>_xll.qlRateHelperPillarDate($E12)</f>
        <v>44384</v>
      </c>
      <c r="M12" s="73">
        <v>1.4919466129640695E-2</v>
      </c>
      <c r="N12" s="3">
        <v>0.91430249142005104</v>
      </c>
      <c r="P12" s="39"/>
    </row>
    <row r="13" spans="1:16" x14ac:dyDescent="0.2">
      <c r="D13" s="11" t="str">
        <v>obj_00422</v>
      </c>
      <c r="E13" s="11" t="str">
        <v>obj_00427</v>
      </c>
      <c r="F13" s="11" t="str">
        <f>SUBSTITUTE(_xll.qlRateHelperQuoteName(E13),"SB6L","SB6LBASIS")</f>
        <v>GBP1L6L7Y_LCHQuote</v>
      </c>
      <c r="G13" s="144">
        <f>_xll.qlRateHelperRate($E13)-H13</f>
        <v>0</v>
      </c>
      <c r="H13" s="10">
        <f>_xll.qlRateHelperRate($E13)</f>
        <v>1.58745E-2</v>
      </c>
      <c r="I13" s="10">
        <f>IF(ISERROR(_xll.qlSwapRateHelperSpread($E13)),IF(ISERROR(_xll.qlFuturesRateHelperConvexityAdjustment($E13)),"--",_xll.qlFuturesRateHelperConvexityAdjustment($E13)),_xll.qlSwapRateHelperSpread($E13))</f>
        <v>0</v>
      </c>
      <c r="J13" s="9">
        <f>_xll.qlRateHelperEarliestDate($E13)</f>
        <v>42192</v>
      </c>
      <c r="K13" s="9">
        <f>_xll.qlRateHelperMaturityDate(E13)</f>
        <v>44749</v>
      </c>
      <c r="L13" s="8">
        <f>_xll.qlRateHelperPillarDate($E13)</f>
        <v>44749</v>
      </c>
      <c r="M13" s="73">
        <v>1.5976226829317774E-2</v>
      </c>
      <c r="N13" s="3">
        <v>0.89411966730632275</v>
      </c>
      <c r="P13" s="39"/>
    </row>
    <row r="14" spans="1:16" x14ac:dyDescent="0.2">
      <c r="D14" s="11" t="str">
        <v>obj_00426</v>
      </c>
      <c r="E14" s="11" t="str">
        <v>obj_00414</v>
      </c>
      <c r="F14" s="11" t="str">
        <f>SUBSTITUTE(_xll.qlRateHelperQuoteName(E14),"SB6L","SB6LBASIS")</f>
        <v>GBP1L6L8Y_LCHQuote</v>
      </c>
      <c r="G14" s="144">
        <f>_xll.qlRateHelperRate($E14)-H14</f>
        <v>0</v>
      </c>
      <c r="H14" s="10">
        <f>_xll.qlRateHelperRate($E14)</f>
        <v>1.6725500000000001E-2</v>
      </c>
      <c r="I14" s="10">
        <f>IF(ISERROR(_xll.qlSwapRateHelperSpread($E14)),IF(ISERROR(_xll.qlFuturesRateHelperConvexityAdjustment($E14)),"--",_xll.qlFuturesRateHelperConvexityAdjustment($E14)),_xll.qlSwapRateHelperSpread($E14))</f>
        <v>0</v>
      </c>
      <c r="J14" s="9">
        <f>_xll.qlRateHelperEarliestDate($E14)</f>
        <v>42192</v>
      </c>
      <c r="K14" s="9">
        <f>_xll.qlRateHelperMaturityDate(E14)</f>
        <v>45114</v>
      </c>
      <c r="L14" s="8">
        <f>_xll.qlRateHelperPillarDate($E14)</f>
        <v>45114</v>
      </c>
      <c r="M14" s="73">
        <v>1.6856812217604853E-2</v>
      </c>
      <c r="N14" s="3">
        <v>0.87376762828213872</v>
      </c>
      <c r="P14" s="39"/>
    </row>
    <row r="15" spans="1:16" x14ac:dyDescent="0.2">
      <c r="D15" s="11" t="str">
        <v>obj_00413</v>
      </c>
      <c r="E15" s="11" t="str">
        <v>obj_00419</v>
      </c>
      <c r="F15" s="11" t="str">
        <f>SUBSTITUTE(_xll.qlRateHelperQuoteName(E15),"SB6L","SB6LBASIS")</f>
        <v>GBP1L6L9Y_LCHQuote</v>
      </c>
      <c r="G15" s="144">
        <f>_xll.qlRateHelperRate($E15)-H15</f>
        <v>0</v>
      </c>
      <c r="H15" s="10">
        <f>_xll.qlRateHelperRate($E15)</f>
        <v>1.7448000000000002E-2</v>
      </c>
      <c r="I15" s="10">
        <f>IF(ISERROR(_xll.qlSwapRateHelperSpread($E15)),IF(ISERROR(_xll.qlFuturesRateHelperConvexityAdjustment($E15)),"--",_xll.qlFuturesRateHelperConvexityAdjustment($E15)),_xll.qlSwapRateHelperSpread($E15))</f>
        <v>0</v>
      </c>
      <c r="J15" s="9">
        <f>_xll.qlRateHelperEarliestDate($E15)</f>
        <v>42192</v>
      </c>
      <c r="K15" s="9">
        <f>_xll.qlRateHelperMaturityDate(E15)</f>
        <v>45481</v>
      </c>
      <c r="L15" s="8">
        <f>_xll.qlRateHelperPillarDate($E15)</f>
        <v>45481</v>
      </c>
      <c r="M15" s="73">
        <v>1.7608752276288674E-2</v>
      </c>
      <c r="N15" s="3">
        <v>0.85328276032481987</v>
      </c>
      <c r="P15" s="39"/>
    </row>
    <row r="16" spans="1:16" x14ac:dyDescent="0.2">
      <c r="D16" s="11" t="str">
        <v>obj_00411</v>
      </c>
      <c r="E16" s="11" t="str">
        <v>obj_0040a</v>
      </c>
      <c r="F16" s="11" t="str">
        <f>SUBSTITUTE(_xll.qlRateHelperQuoteName(E16),"SB6L","SB6LBASIS")</f>
        <v>GBP1L6L10Y_LCHQuote</v>
      </c>
      <c r="G16" s="144">
        <f>_xll.qlRateHelperRate($E16)-H16</f>
        <v>0</v>
      </c>
      <c r="H16" s="10">
        <f>_xll.qlRateHelperRate($E16)</f>
        <v>1.8057500000000001E-2</v>
      </c>
      <c r="I16" s="10">
        <f>IF(ISERROR(_xll.qlSwapRateHelperSpread($E16)),IF(ISERROR(_xll.qlFuturesRateHelperConvexityAdjustment($E16)),"--",_xll.qlFuturesRateHelperConvexityAdjustment($E16)),_xll.qlSwapRateHelperSpread($E16))</f>
        <v>0</v>
      </c>
      <c r="J16" s="9">
        <f>_xll.qlRateHelperEarliestDate($E16)</f>
        <v>42192</v>
      </c>
      <c r="K16" s="9">
        <f>_xll.qlRateHelperMaturityDate(E16)</f>
        <v>45845</v>
      </c>
      <c r="L16" s="8">
        <f>_xll.qlRateHelperPillarDate($E16)</f>
        <v>45845</v>
      </c>
      <c r="M16" s="73">
        <v>1.8246901746701055E-2</v>
      </c>
      <c r="N16" s="3">
        <v>0.83309305412232382</v>
      </c>
      <c r="P16" s="39"/>
    </row>
    <row r="17" spans="4:16" x14ac:dyDescent="0.2">
      <c r="D17" s="11" t="str">
        <v>obj_00421</v>
      </c>
      <c r="E17" s="11" t="str">
        <v>obj_0041c</v>
      </c>
      <c r="F17" s="11" t="str">
        <f>SUBSTITUTE(_xll.qlRateHelperQuoteName(E17),"SB6L","SB6LBASIS")</f>
        <v>GBP1L6L12Y_LCHQuote</v>
      </c>
      <c r="G17" s="144">
        <f>_xll.qlRateHelperRate($E17)-H17</f>
        <v>0</v>
      </c>
      <c r="H17" s="10">
        <f>_xll.qlRateHelperRate($E17)</f>
        <v>1.92155E-2</v>
      </c>
      <c r="I17" s="10">
        <f>IF(ISERROR(_xll.qlSwapRateHelperSpread($E17)),IF(ISERROR(_xll.qlFuturesRateHelperConvexityAdjustment($E17)),"--",_xll.qlFuturesRateHelperConvexityAdjustment($E17)),_xll.qlSwapRateHelperSpread($E17))</f>
        <v>0</v>
      </c>
      <c r="J17" s="9">
        <f>_xll.qlRateHelperEarliestDate($E17)</f>
        <v>42192</v>
      </c>
      <c r="K17" s="9">
        <f>_xll.qlRateHelperMaturityDate(E17)</f>
        <v>46575</v>
      </c>
      <c r="L17" s="8">
        <f>_xll.qlRateHelperPillarDate($E17)</f>
        <v>46575</v>
      </c>
      <c r="M17" s="73">
        <v>1.9479328151562218E-2</v>
      </c>
      <c r="N17" s="3">
        <v>0.79144437544747803</v>
      </c>
      <c r="P17" s="39"/>
    </row>
    <row r="18" spans="4:16" x14ac:dyDescent="0.2">
      <c r="D18" s="11" t="str">
        <v>obj_0040d</v>
      </c>
      <c r="E18" s="11" t="str">
        <v>obj_0041b</v>
      </c>
      <c r="F18" s="11" t="str">
        <f>SUBSTITUTE(_xll.qlRateHelperQuoteName(E18),"SB6L","SB6LBASIS")</f>
        <v>GBP1L6L15Y_LCHQuote</v>
      </c>
      <c r="G18" s="144">
        <f>_xll.qlRateHelperRate($E18)-H18</f>
        <v>0</v>
      </c>
      <c r="H18" s="10">
        <f>_xll.qlRateHelperRate($E18)</f>
        <v>2.0344000000000001E-2</v>
      </c>
      <c r="I18" s="10">
        <f>IF(ISERROR(_xll.qlSwapRateHelperSpread($E18)),IF(ISERROR(_xll.qlFuturesRateHelperConvexityAdjustment($E18)),"--",_xll.qlFuturesRateHelperConvexityAdjustment($E18)),_xll.qlSwapRateHelperSpread($E18))</f>
        <v>0</v>
      </c>
      <c r="J18" s="9">
        <f>_xll.qlRateHelperEarliestDate($E18)</f>
        <v>42192</v>
      </c>
      <c r="K18" s="9">
        <f>_xll.qlRateHelperMaturityDate(E18)</f>
        <v>47672</v>
      </c>
      <c r="L18" s="8">
        <f>_xll.qlRateHelperPillarDate($E18)</f>
        <v>47672</v>
      </c>
      <c r="M18" s="73">
        <v>2.0691917594208988E-2</v>
      </c>
      <c r="N18" s="3">
        <v>0.7330072782028858</v>
      </c>
      <c r="P18" s="39"/>
    </row>
    <row r="19" spans="4:16" x14ac:dyDescent="0.2">
      <c r="D19" s="11" t="str">
        <v>obj_00424</v>
      </c>
      <c r="E19" s="11" t="str">
        <v>obj_00418</v>
      </c>
      <c r="F19" s="11" t="str">
        <f>SUBSTITUTE(_xll.qlRateHelperQuoteName(E19),"SB6L","SB6LBASIS")</f>
        <v>GBP1L6L20Y_LCHQuote</v>
      </c>
      <c r="G19" s="144">
        <f>_xll.qlRateHelperRate($E19)-H19</f>
        <v>0</v>
      </c>
      <c r="H19" s="10">
        <f>_xll.qlRateHelperRate($E19)</f>
        <v>2.1267000000000001E-2</v>
      </c>
      <c r="I19" s="10">
        <f>IF(ISERROR(_xll.qlSwapRateHelperSpread($E19)),IF(ISERROR(_xll.qlFuturesRateHelperConvexityAdjustment($E19)),"--",_xll.qlFuturesRateHelperConvexityAdjustment($E19)),_xll.qlSwapRateHelperSpread($E19))</f>
        <v>0</v>
      </c>
      <c r="J19" s="9">
        <f>_xll.qlRateHelperEarliestDate($E19)</f>
        <v>42192</v>
      </c>
      <c r="K19" s="9">
        <f>_xll.qlRateHelperMaturityDate(E19)</f>
        <v>49499</v>
      </c>
      <c r="L19" s="8">
        <f>_xll.qlRateHelperPillarDate($E19)</f>
        <v>49499</v>
      </c>
      <c r="M19" s="73">
        <v>2.1678784506846047E-2</v>
      </c>
      <c r="N19" s="3">
        <v>0.64806712317040671</v>
      </c>
      <c r="P19" s="39"/>
    </row>
    <row r="20" spans="4:16" x14ac:dyDescent="0.2">
      <c r="D20" s="11" t="str">
        <v>obj_00410</v>
      </c>
      <c r="E20" s="11" t="str">
        <v>obj_00409</v>
      </c>
      <c r="F20" s="11" t="str">
        <f>SUBSTITUTE(_xll.qlRateHelperQuoteName(E20),"SB6L","SB6LBASIS")</f>
        <v>GBP1L6L25Y_LCHQuote</v>
      </c>
      <c r="G20" s="144">
        <f>_xll.qlRateHelperRate($E20)-H20</f>
        <v>0</v>
      </c>
      <c r="H20" s="10">
        <f>_xll.qlRateHelperRate($E20)</f>
        <v>2.1444250000000002E-2</v>
      </c>
      <c r="I20" s="10">
        <f>IF(ISERROR(_xll.qlSwapRateHelperSpread($E20)),IF(ISERROR(_xll.qlFuturesRateHelperConvexityAdjustment($E20)),"--",_xll.qlFuturesRateHelperConvexityAdjustment($E20)),_xll.qlSwapRateHelperSpread($E20))</f>
        <v>0</v>
      </c>
      <c r="J20" s="9">
        <f>_xll.qlRateHelperEarliestDate($E20)</f>
        <v>42192</v>
      </c>
      <c r="K20" s="9">
        <f>_xll.qlRateHelperMaturityDate(E20)</f>
        <v>51326</v>
      </c>
      <c r="L20" s="8">
        <f>_xll.qlRateHelperPillarDate($E20)</f>
        <v>51326</v>
      </c>
      <c r="M20" s="73">
        <v>2.1798492989611364E-2</v>
      </c>
      <c r="N20" s="3">
        <v>0.57972717329138512</v>
      </c>
      <c r="P20" s="39"/>
    </row>
    <row r="21" spans="4:16" x14ac:dyDescent="0.2">
      <c r="D21" s="11" t="str">
        <v>obj_00420</v>
      </c>
      <c r="E21" s="11" t="str">
        <v>obj_0040e</v>
      </c>
      <c r="F21" s="11" t="str">
        <f>SUBSTITUTE(_xll.qlRateHelperQuoteName(E21),"SB6L","SB6LBASIS")</f>
        <v>GBP1L6L30Y_LCHQuote</v>
      </c>
      <c r="G21" s="144">
        <f>_xll.qlRateHelperRate($E21)-H21</f>
        <v>0</v>
      </c>
      <c r="H21" s="10">
        <f>_xll.qlRateHelperRate($E21)</f>
        <v>2.15055E-2</v>
      </c>
      <c r="I21" s="10">
        <f>IF(ISERROR(_xll.qlSwapRateHelperSpread($E21)),IF(ISERROR(_xll.qlFuturesRateHelperConvexityAdjustment($E21)),"--",_xll.qlFuturesRateHelperConvexityAdjustment($E21)),_xll.qlSwapRateHelperSpread($E21))</f>
        <v>0</v>
      </c>
      <c r="J21" s="9">
        <f>_xll.qlRateHelperEarliestDate($E21)</f>
        <v>42192</v>
      </c>
      <c r="K21" s="9">
        <f>_xll.qlRateHelperMaturityDate(E21)</f>
        <v>53150</v>
      </c>
      <c r="L21" s="8">
        <f>_xll.qlRateHelperPillarDate($E21)</f>
        <v>53150</v>
      </c>
      <c r="M21" s="73">
        <v>2.1802802686818078E-2</v>
      </c>
      <c r="N21" s="3">
        <v>0.51985090870588424</v>
      </c>
      <c r="P21" s="39"/>
    </row>
    <row r="22" spans="4:16" x14ac:dyDescent="0.2">
      <c r="D22" s="11" t="str">
        <v>obj_0041f</v>
      </c>
      <c r="E22" s="11" t="str">
        <v>obj_0041e</v>
      </c>
      <c r="F22" s="11" t="str">
        <f>SUBSTITUTE(_xll.qlRateHelperQuoteName(E22),"SB6L","SB6LBASIS")</f>
        <v>GBP1L6L40Y_LCHQuote</v>
      </c>
      <c r="G22" s="144">
        <f>_xll.qlRateHelperRate($E22)-H22</f>
        <v>0</v>
      </c>
      <c r="H22" s="10">
        <f>_xll.qlRateHelperRate($E22)</f>
        <v>2.1080000000000002E-2</v>
      </c>
      <c r="I22" s="10">
        <f>IF(ISERROR(_xll.qlSwapRateHelperSpread($E22)),IF(ISERROR(_xll.qlFuturesRateHelperConvexityAdjustment($E22)),"--",_xll.qlFuturesRateHelperConvexityAdjustment($E22)),_xll.qlSwapRateHelperSpread($E22))</f>
        <v>0</v>
      </c>
      <c r="J22" s="9">
        <f>_xll.qlRateHelperEarliestDate($E22)</f>
        <v>42192</v>
      </c>
      <c r="K22" s="9">
        <f>_xll.qlRateHelperMaturityDate(E22)</f>
        <v>56802</v>
      </c>
      <c r="L22" s="8">
        <f>_xll.qlRateHelperPillarDate($E22)</f>
        <v>56802</v>
      </c>
      <c r="M22" s="73">
        <v>2.1093000831761844E-2</v>
      </c>
      <c r="N22" s="3">
        <v>0.43010744089034286</v>
      </c>
      <c r="P22" s="39"/>
    </row>
    <row r="23" spans="4:16" x14ac:dyDescent="0.2">
      <c r="D23" s="11" t="str">
        <v>obj_0041d</v>
      </c>
      <c r="E23" s="11" t="str">
        <v>obj_00417</v>
      </c>
      <c r="F23" s="11" t="str">
        <f>SUBSTITUTE(_xll.qlRateHelperQuoteName(E23),"SB6L","SB6LBASIS")</f>
        <v>GBP1L6L50Y_LCHQuote</v>
      </c>
      <c r="G23" s="144">
        <f>_xll.qlRateHelperRate($E23)-H23</f>
        <v>0</v>
      </c>
      <c r="H23" s="10">
        <f>_xll.qlRateHelperRate($E23)</f>
        <v>2.0820499999999999E-2</v>
      </c>
      <c r="I23" s="10">
        <f>IF(ISERROR(_xll.qlSwapRateHelperSpread($E23)),IF(ISERROR(_xll.qlFuturesRateHelperConvexityAdjustment($E23)),"--",_xll.qlFuturesRateHelperConvexityAdjustment($E23)),_xll.qlSwapRateHelperSpread($E23))</f>
        <v>0</v>
      </c>
      <c r="J23" s="9">
        <f>_xll.qlRateHelperEarliestDate($E23)</f>
        <v>42192</v>
      </c>
      <c r="K23" s="9">
        <f>_xll.qlRateHelperMaturityDate(E23)</f>
        <v>60455</v>
      </c>
      <c r="L23" s="8">
        <f>_xll.qlRateHelperPillarDate($E23)</f>
        <v>60455</v>
      </c>
      <c r="M23" s="73">
        <v>2.0660060326256731E-2</v>
      </c>
      <c r="N23" s="3">
        <v>0.35568491073160324</v>
      </c>
      <c r="P23" s="39"/>
    </row>
    <row r="24" spans="4:16" x14ac:dyDescent="0.2">
      <c r="D24" s="11" t="str">
        <v>obj_0040f</v>
      </c>
      <c r="E24" s="11" t="str">
        <v>obj_00408</v>
      </c>
      <c r="F24" s="11" t="str">
        <f>SUBSTITUTE(_xll.qlRateHelperQuoteName(E24),"SB6L","SB6LBASIS")</f>
        <v>GBP1L6L60Y_LCHQuote</v>
      </c>
      <c r="G24" s="144">
        <f>_xll.qlRateHelperRate($E24)-H24</f>
        <v>0</v>
      </c>
      <c r="H24" s="10">
        <f>_xll.qlRateHelperRate($E24)</f>
        <v>2.0907499999999999E-2</v>
      </c>
      <c r="I24" s="10">
        <f>IF(ISERROR(_xll.qlSwapRateHelperSpread($E24)),IF(ISERROR(_xll.qlFuturesRateHelperConvexityAdjustment($E24)),"--",_xll.qlFuturesRateHelperConvexityAdjustment($E24)),_xll.qlSwapRateHelperSpread($E24))</f>
        <v>0</v>
      </c>
      <c r="J24" s="9">
        <f>_xll.qlRateHelperEarliestDate($E24)</f>
        <v>42192</v>
      </c>
      <c r="K24" s="9">
        <f>_xll.qlRateHelperMaturityDate(E24)</f>
        <v>64108</v>
      </c>
      <c r="L24" s="8">
        <f>_xll.qlRateHelperPillarDate($E24)</f>
        <v>64108</v>
      </c>
      <c r="M24" s="73">
        <v>2.0822631657722752E-2</v>
      </c>
      <c r="N24" s="3">
        <v>0.28635745020939707</v>
      </c>
      <c r="P24" s="39"/>
    </row>
    <row r="25" spans="4:16" x14ac:dyDescent="0.2">
      <c r="D25" s="11" t="e">
        <v>#N/A</v>
      </c>
      <c r="E25" s="11" t="e">
        <v>#N/A</v>
      </c>
      <c r="F25" s="11" t="e">
        <f>SUBSTITUTE(_xll.qlRateHelperQuoteName(E25),"SB6L","SB6LBASIS")</f>
        <v>#VALUE!</v>
      </c>
      <c r="G25" s="144" t="e">
        <f>_xll.qlRateHelperRate($E25)-H25</f>
        <v>#VALUE!</v>
      </c>
      <c r="H25" s="10" t="e">
        <f>_xll.qlRateHelperRate($E25)</f>
        <v>#VALUE!</v>
      </c>
      <c r="I25" s="10" t="str">
        <f>IF(ISERROR(_xll.qlSwapRateHelperSpread($E25)),IF(ISERROR(_xll.qlFuturesRateHelperConvexityAdjustment($E25)),"--",_xll.qlFuturesRateHelperConvexityAdjustment($E25)),_xll.qlSwapRateHelperSpread($E25))</f>
        <v>--</v>
      </c>
      <c r="J25" s="9" t="e">
        <f>_xll.qlRateHelperEarliestDate($E25)</f>
        <v>#VALUE!</v>
      </c>
      <c r="K25" s="9" t="e">
        <f>_xll.qlRateHelperMaturityDate(E25)</f>
        <v>#VALUE!</v>
      </c>
      <c r="L25" s="8" t="e">
        <f>_xll.qlRateHelperPillarDate($E25)</f>
        <v>#VALUE!</v>
      </c>
      <c r="M25" s="73" t="e">
        <v>#N/A</v>
      </c>
      <c r="N25" s="3" t="e">
        <v>#N/A</v>
      </c>
      <c r="P25" s="39"/>
    </row>
    <row r="26" spans="4:16" x14ac:dyDescent="0.2">
      <c r="D26" s="11" t="e">
        <v>#N/A</v>
      </c>
      <c r="E26" s="11" t="e">
        <v>#N/A</v>
      </c>
      <c r="F26" s="11" t="e">
        <f>SUBSTITUTE(_xll.qlRateHelperQuoteName(E26),"SB6L","SB6LBASIS")</f>
        <v>#VALUE!</v>
      </c>
      <c r="G26" s="144" t="e">
        <f>_xll.qlRateHelperRate($E26)-H26</f>
        <v>#VALUE!</v>
      </c>
      <c r="H26" s="10" t="e">
        <f>_xll.qlRateHelperRate($E26)</f>
        <v>#VALUE!</v>
      </c>
      <c r="I26" s="10" t="str">
        <f>IF(ISERROR(_xll.qlSwapRateHelperSpread($E26)),IF(ISERROR(_xll.qlFuturesRateHelperConvexityAdjustment($E26)),"--",_xll.qlFuturesRateHelperConvexityAdjustment($E26)),_xll.qlSwapRateHelperSpread($E26))</f>
        <v>--</v>
      </c>
      <c r="J26" s="9" t="e">
        <f>_xll.qlRateHelperEarliestDate($E26)</f>
        <v>#VALUE!</v>
      </c>
      <c r="K26" s="9" t="e">
        <f>_xll.qlRateHelperMaturityDate(E26)</f>
        <v>#VALUE!</v>
      </c>
      <c r="L26" s="8" t="e">
        <f>_xll.qlRateHelperPillarDate($E26)</f>
        <v>#VALUE!</v>
      </c>
      <c r="M26" s="73" t="e">
        <v>#N/A</v>
      </c>
      <c r="N26" s="3" t="e">
        <v>#N/A</v>
      </c>
      <c r="P26" s="39"/>
    </row>
    <row r="27" spans="4:16" x14ac:dyDescent="0.2">
      <c r="D27" s="11" t="e">
        <v>#N/A</v>
      </c>
      <c r="E27" s="11" t="e">
        <v>#N/A</v>
      </c>
      <c r="F27" s="11" t="e">
        <f>SUBSTITUTE(_xll.qlRateHelperQuoteName(E27),"SB6L","SB6LBASIS")</f>
        <v>#VALUE!</v>
      </c>
      <c r="G27" s="144" t="e">
        <f>_xll.qlRateHelperRate($E27)-H27</f>
        <v>#VALUE!</v>
      </c>
      <c r="H27" s="10" t="e">
        <f>_xll.qlRateHelperRate($E27)</f>
        <v>#VALUE!</v>
      </c>
      <c r="I27" s="10" t="str">
        <f>IF(ISERROR(_xll.qlSwapRateHelperSpread($E27)),IF(ISERROR(_xll.qlFuturesRateHelperConvexityAdjustment($E27)),"--",_xll.qlFuturesRateHelperConvexityAdjustment($E27)),_xll.qlSwapRateHelperSpread($E27))</f>
        <v>--</v>
      </c>
      <c r="J27" s="9" t="e">
        <f>_xll.qlRateHelperEarliestDate($E27)</f>
        <v>#VALUE!</v>
      </c>
      <c r="K27" s="9" t="e">
        <f>_xll.qlRateHelperMaturityDate(E27)</f>
        <v>#VALUE!</v>
      </c>
      <c r="L27" s="8" t="e">
        <f>_xll.qlRateHelperPillarDate($E27)</f>
        <v>#VALUE!</v>
      </c>
      <c r="M27" s="73" t="e">
        <v>#N/A</v>
      </c>
      <c r="N27" s="3" t="e">
        <v>#N/A</v>
      </c>
      <c r="P27" s="39"/>
    </row>
    <row r="28" spans="4:16" x14ac:dyDescent="0.2">
      <c r="D28" s="11" t="e">
        <v>#N/A</v>
      </c>
      <c r="E28" s="11" t="e">
        <v>#N/A</v>
      </c>
      <c r="F28" s="11" t="e">
        <f>SUBSTITUTE(_xll.qlRateHelperQuoteName(E28),"SB6L","SB6LBASIS")</f>
        <v>#VALUE!</v>
      </c>
      <c r="G28" s="144" t="e">
        <f>_xll.qlRateHelperRate($E28)-H28</f>
        <v>#VALUE!</v>
      </c>
      <c r="H28" s="10" t="e">
        <f>_xll.qlRateHelperRate($E28)</f>
        <v>#VALUE!</v>
      </c>
      <c r="I28" s="10" t="str">
        <f>IF(ISERROR(_xll.qlSwapRateHelperSpread($E28)),IF(ISERROR(_xll.qlFuturesRateHelperConvexityAdjustment($E28)),"--",_xll.qlFuturesRateHelperConvexityAdjustment($E28)),_xll.qlSwapRateHelperSpread($E28))</f>
        <v>--</v>
      </c>
      <c r="J28" s="9" t="e">
        <f>_xll.qlRateHelperEarliestDate($E28)</f>
        <v>#VALUE!</v>
      </c>
      <c r="K28" s="9" t="e">
        <f>_xll.qlRateHelperMaturityDate(E28)</f>
        <v>#VALUE!</v>
      </c>
      <c r="L28" s="8" t="e">
        <f>_xll.qlRateHelperPillarDate($E28)</f>
        <v>#VALUE!</v>
      </c>
      <c r="M28" s="73" t="e">
        <v>#N/A</v>
      </c>
      <c r="N28" s="3" t="e">
        <v>#N/A</v>
      </c>
      <c r="P28" s="39"/>
    </row>
    <row r="29" spans="4:16" x14ac:dyDescent="0.2">
      <c r="D29" s="11" t="e">
        <v>#N/A</v>
      </c>
      <c r="E29" s="11" t="e">
        <v>#N/A</v>
      </c>
      <c r="F29" s="11" t="e">
        <f>SUBSTITUTE(_xll.qlRateHelperQuoteName(E29),"SB6L","SB6LBASIS")</f>
        <v>#VALUE!</v>
      </c>
      <c r="G29" s="144" t="e">
        <f>_xll.qlRateHelperRate($E29)-H29</f>
        <v>#VALUE!</v>
      </c>
      <c r="H29" s="10" t="e">
        <f>_xll.qlRateHelperRate($E29)</f>
        <v>#VALUE!</v>
      </c>
      <c r="I29" s="10" t="str">
        <f>IF(ISERROR(_xll.qlSwapRateHelperSpread($E29)),IF(ISERROR(_xll.qlFuturesRateHelperConvexityAdjustment($E29)),"--",_xll.qlFuturesRateHelperConvexityAdjustment($E29)),_xll.qlSwapRateHelperSpread($E29))</f>
        <v>--</v>
      </c>
      <c r="J29" s="9" t="e">
        <f>_xll.qlRateHelperEarliestDate($E29)</f>
        <v>#VALUE!</v>
      </c>
      <c r="K29" s="9" t="e">
        <f>_xll.qlRateHelperMaturityDate(E29)</f>
        <v>#VALUE!</v>
      </c>
      <c r="L29" s="8" t="e">
        <f>_xll.qlRateHelperPillarDate($E29)</f>
        <v>#VALUE!</v>
      </c>
      <c r="M29" s="73" t="e">
        <v>#N/A</v>
      </c>
      <c r="N29" s="3" t="e">
        <v>#N/A</v>
      </c>
      <c r="P29" s="39"/>
    </row>
    <row r="30" spans="4:16" x14ac:dyDescent="0.2">
      <c r="D30" s="11" t="e">
        <v>#N/A</v>
      </c>
      <c r="E30" s="11" t="e">
        <v>#N/A</v>
      </c>
      <c r="F30" s="11" t="e">
        <f>SUBSTITUTE(_xll.qlRateHelperQuoteName(E30),"SB6L","SB6LBASIS")</f>
        <v>#VALUE!</v>
      </c>
      <c r="G30" s="144" t="e">
        <f>_xll.qlRateHelperRate($E30)-H30</f>
        <v>#VALUE!</v>
      </c>
      <c r="H30" s="10" t="e">
        <f>_xll.qlRateHelperRate($E30)</f>
        <v>#VALUE!</v>
      </c>
      <c r="I30" s="10" t="str">
        <f>IF(ISERROR(_xll.qlSwapRateHelperSpread($E30)),IF(ISERROR(_xll.qlFuturesRateHelperConvexityAdjustment($E30)),"--",_xll.qlFuturesRateHelperConvexityAdjustment($E30)),_xll.qlSwapRateHelperSpread($E30))</f>
        <v>--</v>
      </c>
      <c r="J30" s="9" t="e">
        <f>_xll.qlRateHelperEarliestDate($E30)</f>
        <v>#VALUE!</v>
      </c>
      <c r="K30" s="9" t="e">
        <f>_xll.qlRateHelperMaturityDate(E30)</f>
        <v>#VALUE!</v>
      </c>
      <c r="L30" s="8" t="e">
        <f>_xll.qlRateHelperPillarDate($E30)</f>
        <v>#VALUE!</v>
      </c>
      <c r="M30" s="73" t="e">
        <v>#N/A</v>
      </c>
      <c r="N30" s="3" t="e">
        <v>#N/A</v>
      </c>
      <c r="P30" s="39"/>
    </row>
    <row r="31" spans="4:16" x14ac:dyDescent="0.2">
      <c r="D31" s="11" t="e">
        <v>#N/A</v>
      </c>
      <c r="E31" s="11" t="e">
        <v>#N/A</v>
      </c>
      <c r="F31" s="11" t="e">
        <f>SUBSTITUTE(_xll.qlRateHelperQuoteName(E31),"SB6L","SB6LBASIS")</f>
        <v>#VALUE!</v>
      </c>
      <c r="G31" s="144" t="e">
        <f>_xll.qlRateHelperRate($E31)-H31</f>
        <v>#VALUE!</v>
      </c>
      <c r="H31" s="10" t="e">
        <f>_xll.qlRateHelperRate($E31)</f>
        <v>#VALUE!</v>
      </c>
      <c r="I31" s="10" t="str">
        <f>IF(ISERROR(_xll.qlSwapRateHelperSpread($E31)),IF(ISERROR(_xll.qlFuturesRateHelperConvexityAdjustment($E31)),"--",_xll.qlFuturesRateHelperConvexityAdjustment($E31)),_xll.qlSwapRateHelperSpread($E31))</f>
        <v>--</v>
      </c>
      <c r="J31" s="9" t="e">
        <f>_xll.qlRateHelperEarliestDate($E31)</f>
        <v>#VALUE!</v>
      </c>
      <c r="K31" s="9" t="e">
        <f>_xll.qlRateHelperMaturityDate(E31)</f>
        <v>#VALUE!</v>
      </c>
      <c r="L31" s="8" t="e">
        <f>_xll.qlRateHelperPillarDate($E31)</f>
        <v>#VALUE!</v>
      </c>
      <c r="M31" s="73" t="e">
        <v>#N/A</v>
      </c>
      <c r="N31" s="3" t="e">
        <v>#N/A</v>
      </c>
    </row>
    <row r="32" spans="4:16" x14ac:dyDescent="0.2">
      <c r="D32" s="11" t="e">
        <v>#N/A</v>
      </c>
      <c r="E32" s="11" t="e">
        <v>#N/A</v>
      </c>
      <c r="F32" s="11" t="e">
        <f>SUBSTITUTE(_xll.qlRateHelperQuoteName(E32),"SB6L","SB6LBASIS")</f>
        <v>#VALUE!</v>
      </c>
      <c r="G32" s="144" t="e">
        <f>_xll.qlRateHelperRate($E32)-H32</f>
        <v>#VALUE!</v>
      </c>
      <c r="H32" s="10" t="e">
        <f>_xll.qlRateHelperRate($E32)</f>
        <v>#VALUE!</v>
      </c>
      <c r="I32" s="10" t="str">
        <f>IF(ISERROR(_xll.qlSwapRateHelperSpread($E32)),IF(ISERROR(_xll.qlFuturesRateHelperConvexityAdjustment($E32)),"--",_xll.qlFuturesRateHelperConvexityAdjustment($E32)),_xll.qlSwapRateHelperSpread($E32))</f>
        <v>--</v>
      </c>
      <c r="J32" s="9" t="e">
        <f>_xll.qlRateHelperEarliestDate($E32)</f>
        <v>#VALUE!</v>
      </c>
      <c r="K32" s="9" t="e">
        <f>_xll.qlRateHelperMaturityDate(E32)</f>
        <v>#VALUE!</v>
      </c>
      <c r="L32" s="8" t="e">
        <f>_xll.qlRateHelperPillarDate($E32)</f>
        <v>#VALUE!</v>
      </c>
      <c r="M32" s="73" t="e">
        <v>#N/A</v>
      </c>
      <c r="N32" s="3" t="e">
        <v>#N/A</v>
      </c>
    </row>
    <row r="33" spans="4:14" x14ac:dyDescent="0.2">
      <c r="D33" s="11" t="e">
        <v>#N/A</v>
      </c>
      <c r="E33" s="11" t="e">
        <v>#N/A</v>
      </c>
      <c r="F33" s="11" t="e">
        <f>SUBSTITUTE(_xll.qlRateHelperQuoteName(E33),"SB6L","SB6LBASIS")</f>
        <v>#VALUE!</v>
      </c>
      <c r="G33" s="144" t="e">
        <f>_xll.qlRateHelperRate($E33)-H33</f>
        <v>#VALUE!</v>
      </c>
      <c r="H33" s="10" t="e">
        <f>_xll.qlRateHelperRate($E33)</f>
        <v>#VALUE!</v>
      </c>
      <c r="I33" s="10" t="str">
        <f>IF(ISERROR(_xll.qlSwapRateHelperSpread($E33)),IF(ISERROR(_xll.qlFuturesRateHelperConvexityAdjustment($E33)),"--",_xll.qlFuturesRateHelperConvexityAdjustment($E33)),_xll.qlSwapRateHelperSpread($E33))</f>
        <v>--</v>
      </c>
      <c r="J33" s="9" t="e">
        <f>_xll.qlRateHelperEarliestDate($E33)</f>
        <v>#VALUE!</v>
      </c>
      <c r="K33" s="9" t="e">
        <f>_xll.qlRateHelperMaturityDate(E33)</f>
        <v>#VALUE!</v>
      </c>
      <c r="L33" s="8" t="e">
        <f>_xll.qlRateHelperPillarDate($E33)</f>
        <v>#VALUE!</v>
      </c>
      <c r="M33" s="73" t="e">
        <v>#N/A</v>
      </c>
      <c r="N33" s="3" t="e">
        <v>#N/A</v>
      </c>
    </row>
    <row r="34" spans="4:14" x14ac:dyDescent="0.2">
      <c r="D34" s="11" t="e">
        <v>#N/A</v>
      </c>
      <c r="E34" s="11" t="e">
        <v>#N/A</v>
      </c>
      <c r="F34" s="11" t="e">
        <f>SUBSTITUTE(_xll.qlRateHelperQuoteName(E34),"SB6L","SB6LBASIS")</f>
        <v>#VALUE!</v>
      </c>
      <c r="G34" s="144" t="e">
        <f>_xll.qlRateHelperRate($E34)-H34</f>
        <v>#VALUE!</v>
      </c>
      <c r="H34" s="10" t="e">
        <f>_xll.qlRateHelperRate($E34)</f>
        <v>#VALUE!</v>
      </c>
      <c r="I34" s="10" t="str">
        <f>IF(ISERROR(_xll.qlSwapRateHelperSpread($E34)),IF(ISERROR(_xll.qlFuturesRateHelperConvexityAdjustment($E34)),"--",_xll.qlFuturesRateHelperConvexityAdjustment($E34)),_xll.qlSwapRateHelperSpread($E34))</f>
        <v>--</v>
      </c>
      <c r="J34" s="9" t="e">
        <f>_xll.qlRateHelperEarliestDate($E34)</f>
        <v>#VALUE!</v>
      </c>
      <c r="K34" s="9" t="e">
        <f>_xll.qlRateHelperMaturityDate(E34)</f>
        <v>#VALUE!</v>
      </c>
      <c r="L34" s="8" t="e">
        <f>_xll.qlRateHelperPillarDate($E34)</f>
        <v>#VALUE!</v>
      </c>
      <c r="M34" s="73" t="e">
        <v>#N/A</v>
      </c>
      <c r="N34" s="3" t="e">
        <v>#N/A</v>
      </c>
    </row>
    <row r="35" spans="4:14" x14ac:dyDescent="0.2">
      <c r="D35" s="11" t="e">
        <v>#N/A</v>
      </c>
      <c r="E35" s="11" t="e">
        <v>#N/A</v>
      </c>
      <c r="F35" s="11" t="e">
        <f>SUBSTITUTE(_xll.qlRateHelperQuoteName(E35),"SB6L","SB6LBASIS")</f>
        <v>#VALUE!</v>
      </c>
      <c r="G35" s="144" t="e">
        <f>_xll.qlRateHelperRate($E35)-H35</f>
        <v>#VALUE!</v>
      </c>
      <c r="H35" s="10" t="e">
        <f>_xll.qlRateHelperRate($E35)</f>
        <v>#VALUE!</v>
      </c>
      <c r="I35" s="10" t="str">
        <f>IF(ISERROR(_xll.qlSwapRateHelperSpread($E35)),IF(ISERROR(_xll.qlFuturesRateHelperConvexityAdjustment($E35)),"--",_xll.qlFuturesRateHelperConvexityAdjustment($E35)),_xll.qlSwapRateHelperSpread($E35))</f>
        <v>--</v>
      </c>
      <c r="J35" s="9" t="e">
        <f>_xll.qlRateHelperEarliestDate($E35)</f>
        <v>#VALUE!</v>
      </c>
      <c r="K35" s="9" t="e">
        <f>_xll.qlRateHelperMaturityDate(E35)</f>
        <v>#VALUE!</v>
      </c>
      <c r="L35" s="8" t="e">
        <f>_xll.qlRateHelperPillarDate($E35)</f>
        <v>#VALUE!</v>
      </c>
      <c r="M35" s="73" t="e">
        <v>#N/A</v>
      </c>
      <c r="N35" s="3" t="e">
        <v>#N/A</v>
      </c>
    </row>
    <row r="36" spans="4:14" x14ac:dyDescent="0.2">
      <c r="D36" s="11" t="e">
        <v>#N/A</v>
      </c>
      <c r="E36" s="11" t="e">
        <v>#N/A</v>
      </c>
      <c r="F36" s="11" t="e">
        <f>SUBSTITUTE(_xll.qlRateHelperQuoteName(E36),"SB6L","SB6LBASIS")</f>
        <v>#VALUE!</v>
      </c>
      <c r="G36" s="144" t="e">
        <f>_xll.qlRateHelperRate($E36)-H36</f>
        <v>#VALUE!</v>
      </c>
      <c r="H36" s="10" t="e">
        <f>_xll.qlRateHelperRate($E36)</f>
        <v>#VALUE!</v>
      </c>
      <c r="I36" s="10" t="str">
        <f>IF(ISERROR(_xll.qlSwapRateHelperSpread($E36)),IF(ISERROR(_xll.qlFuturesRateHelperConvexityAdjustment($E36)),"--",_xll.qlFuturesRateHelperConvexityAdjustment($E36)),_xll.qlSwapRateHelperSpread($E36))</f>
        <v>--</v>
      </c>
      <c r="J36" s="9" t="e">
        <f>_xll.qlRateHelperEarliestDate($E36)</f>
        <v>#VALUE!</v>
      </c>
      <c r="K36" s="9" t="e">
        <f>_xll.qlRateHelperMaturityDate(E36)</f>
        <v>#VALUE!</v>
      </c>
      <c r="L36" s="8" t="e">
        <f>_xll.qlRateHelperPillarDate($E36)</f>
        <v>#VALUE!</v>
      </c>
      <c r="M36" s="73" t="e">
        <v>#N/A</v>
      </c>
      <c r="N36" s="3" t="e">
        <v>#N/A</v>
      </c>
    </row>
    <row r="37" spans="4:14" x14ac:dyDescent="0.2">
      <c r="D37" s="11" t="e">
        <v>#N/A</v>
      </c>
      <c r="E37" s="11" t="e">
        <v>#N/A</v>
      </c>
      <c r="F37" s="11" t="e">
        <f>SUBSTITUTE(_xll.qlRateHelperQuoteName(E37),"SB6L","SB6LBASIS")</f>
        <v>#VALUE!</v>
      </c>
      <c r="G37" s="144" t="e">
        <f>_xll.qlRateHelperRate($E37)-H37</f>
        <v>#VALUE!</v>
      </c>
      <c r="H37" s="10" t="e">
        <f>_xll.qlRateHelperRate($E37)</f>
        <v>#VALUE!</v>
      </c>
      <c r="I37" s="10" t="str">
        <f>IF(ISERROR(_xll.qlSwapRateHelperSpread($E37)),IF(ISERROR(_xll.qlFuturesRateHelperConvexityAdjustment($E37)),"--",_xll.qlFuturesRateHelperConvexityAdjustment($E37)),_xll.qlSwapRateHelperSpread($E37))</f>
        <v>--</v>
      </c>
      <c r="J37" s="9" t="e">
        <f>_xll.qlRateHelperEarliestDate($E37)</f>
        <v>#VALUE!</v>
      </c>
      <c r="K37" s="9" t="e">
        <f>_xll.qlRateHelperMaturityDate(E37)</f>
        <v>#VALUE!</v>
      </c>
      <c r="L37" s="8" t="e">
        <f>_xll.qlRateHelperPillarDate($E37)</f>
        <v>#VALUE!</v>
      </c>
      <c r="M37" s="73" t="e">
        <v>#N/A</v>
      </c>
      <c r="N37" s="3" t="e">
        <v>#N/A</v>
      </c>
    </row>
    <row r="38" spans="4:14" x14ac:dyDescent="0.2">
      <c r="D38" s="11" t="e">
        <v>#N/A</v>
      </c>
      <c r="E38" s="11" t="e">
        <v>#N/A</v>
      </c>
      <c r="F38" s="11" t="e">
        <f>SUBSTITUTE(_xll.qlRateHelperQuoteName(E38),"SB6L","SB6LBASIS")</f>
        <v>#VALUE!</v>
      </c>
      <c r="G38" s="144" t="e">
        <f>_xll.qlRateHelperRate($E38)-H38</f>
        <v>#VALUE!</v>
      </c>
      <c r="H38" s="10" t="e">
        <f>_xll.qlRateHelperRate($E38)</f>
        <v>#VALUE!</v>
      </c>
      <c r="I38" s="10" t="str">
        <f>IF(ISERROR(_xll.qlSwapRateHelperSpread($E38)),IF(ISERROR(_xll.qlFuturesRateHelperConvexityAdjustment($E38)),"--",_xll.qlFuturesRateHelperConvexityAdjustment($E38)),_xll.qlSwapRateHelperSpread($E38))</f>
        <v>--</v>
      </c>
      <c r="J38" s="9" t="e">
        <f>_xll.qlRateHelperEarliestDate($E38)</f>
        <v>#VALUE!</v>
      </c>
      <c r="K38" s="9" t="e">
        <f>_xll.qlRateHelperMaturityDate(E38)</f>
        <v>#VALUE!</v>
      </c>
      <c r="L38" s="8" t="e">
        <f>_xll.qlRateHelperPillarDate($E38)</f>
        <v>#VALUE!</v>
      </c>
      <c r="M38" s="73" t="e">
        <v>#N/A</v>
      </c>
      <c r="N38" s="3" t="e">
        <v>#N/A</v>
      </c>
    </row>
    <row r="39" spans="4:14" x14ac:dyDescent="0.2">
      <c r="D39" s="11" t="e">
        <v>#N/A</v>
      </c>
      <c r="E39" s="11" t="e">
        <v>#N/A</v>
      </c>
      <c r="F39" s="11" t="e">
        <f>SUBSTITUTE(_xll.qlRateHelperQuoteName(E39),"SB6L","SB6LBASIS")</f>
        <v>#VALUE!</v>
      </c>
      <c r="G39" s="144" t="e">
        <f>_xll.qlRateHelperRate($E39)-H39</f>
        <v>#VALUE!</v>
      </c>
      <c r="H39" s="10" t="e">
        <f>_xll.qlRateHelperRate($E39)</f>
        <v>#VALUE!</v>
      </c>
      <c r="I39" s="10" t="str">
        <f>IF(ISERROR(_xll.qlSwapRateHelperSpread($E39)),IF(ISERROR(_xll.qlFuturesRateHelperConvexityAdjustment($E39)),"--",_xll.qlFuturesRateHelperConvexityAdjustment($E39)),_xll.qlSwapRateHelperSpread($E39))</f>
        <v>--</v>
      </c>
      <c r="J39" s="9" t="e">
        <f>_xll.qlRateHelperEarliestDate($E39)</f>
        <v>#VALUE!</v>
      </c>
      <c r="K39" s="9" t="e">
        <f>_xll.qlRateHelperMaturityDate(E39)</f>
        <v>#VALUE!</v>
      </c>
      <c r="L39" s="8" t="e">
        <f>_xll.qlRateHelperPillarDate($E39)</f>
        <v>#VALUE!</v>
      </c>
      <c r="M39" s="73" t="e">
        <v>#N/A</v>
      </c>
      <c r="N39" s="3" t="e">
        <v>#N/A</v>
      </c>
    </row>
    <row r="40" spans="4:14" x14ac:dyDescent="0.2">
      <c r="D40" s="11" t="e">
        <v>#N/A</v>
      </c>
      <c r="E40" s="11" t="e">
        <v>#N/A</v>
      </c>
      <c r="F40" s="11" t="e">
        <f>SUBSTITUTE(_xll.qlRateHelperQuoteName(E40),"SB6L","SB6LBASIS")</f>
        <v>#VALUE!</v>
      </c>
      <c r="G40" s="144" t="e">
        <f>_xll.qlRateHelperRate($E40)-H40</f>
        <v>#VALUE!</v>
      </c>
      <c r="H40" s="10" t="e">
        <f>_xll.qlRateHelperRate($E40)</f>
        <v>#VALUE!</v>
      </c>
      <c r="I40" s="10" t="str">
        <f>IF(ISERROR(_xll.qlSwapRateHelperSpread($E40)),IF(ISERROR(_xll.qlFuturesRateHelperConvexityAdjustment($E40)),"--",_xll.qlFuturesRateHelperConvexityAdjustment($E40)),_xll.qlSwapRateHelperSpread($E40))</f>
        <v>--</v>
      </c>
      <c r="J40" s="9" t="e">
        <f>_xll.qlRateHelperEarliestDate($E40)</f>
        <v>#VALUE!</v>
      </c>
      <c r="K40" s="9" t="e">
        <f>_xll.qlRateHelperMaturityDate(E40)</f>
        <v>#VALUE!</v>
      </c>
      <c r="L40" s="8" t="e">
        <f>_xll.qlRateHelperPillarDate($E40)</f>
        <v>#VALUE!</v>
      </c>
      <c r="M40" s="73" t="e">
        <v>#N/A</v>
      </c>
      <c r="N40" s="3" t="e">
        <v>#N/A</v>
      </c>
    </row>
    <row r="41" spans="4:14" x14ac:dyDescent="0.2">
      <c r="D41" s="11" t="e">
        <v>#N/A</v>
      </c>
      <c r="E41" s="11" t="e">
        <v>#N/A</v>
      </c>
      <c r="F41" s="11" t="e">
        <f>SUBSTITUTE(_xll.qlRateHelperQuoteName(E41),"SB6L","SB6LBASIS")</f>
        <v>#VALUE!</v>
      </c>
      <c r="G41" s="144" t="e">
        <f>_xll.qlRateHelperRate($E41)-H41</f>
        <v>#VALUE!</v>
      </c>
      <c r="H41" s="10" t="e">
        <f>_xll.qlRateHelperRate($E41)</f>
        <v>#VALUE!</v>
      </c>
      <c r="I41" s="10" t="str">
        <f>IF(ISERROR(_xll.qlSwapRateHelperSpread($E41)),IF(ISERROR(_xll.qlFuturesRateHelperConvexityAdjustment($E41)),"--",_xll.qlFuturesRateHelperConvexityAdjustment($E41)),_xll.qlSwapRateHelperSpread($E41))</f>
        <v>--</v>
      </c>
      <c r="J41" s="9" t="e">
        <f>_xll.qlRateHelperEarliestDate($E41)</f>
        <v>#VALUE!</v>
      </c>
      <c r="K41" s="9" t="e">
        <f>_xll.qlRateHelperMaturityDate(E41)</f>
        <v>#VALUE!</v>
      </c>
      <c r="L41" s="8" t="e">
        <f>_xll.qlRateHelperPillarDate($E41)</f>
        <v>#VALUE!</v>
      </c>
      <c r="M41" s="73" t="e">
        <v>#N/A</v>
      </c>
      <c r="N41" s="3" t="e">
        <v>#N/A</v>
      </c>
    </row>
    <row r="42" spans="4:14" x14ac:dyDescent="0.2">
      <c r="D42" s="11" t="e">
        <v>#N/A</v>
      </c>
      <c r="E42" s="11" t="e">
        <v>#N/A</v>
      </c>
      <c r="F42" s="11" t="e">
        <f>SUBSTITUTE(_xll.qlRateHelperQuoteName(E42),"SB6L","SB6LBASIS")</f>
        <v>#VALUE!</v>
      </c>
      <c r="G42" s="144" t="e">
        <f>_xll.qlRateHelperRate($E42)-H42</f>
        <v>#VALUE!</v>
      </c>
      <c r="H42" s="10" t="e">
        <f>_xll.qlRateHelperRate($E42)</f>
        <v>#VALUE!</v>
      </c>
      <c r="I42" s="10" t="str">
        <f>IF(ISERROR(_xll.qlSwapRateHelperSpread($E42)),IF(ISERROR(_xll.qlFuturesRateHelperConvexityAdjustment($E42)),"--",_xll.qlFuturesRateHelperConvexityAdjustment($E42)),_xll.qlSwapRateHelperSpread($E42))</f>
        <v>--</v>
      </c>
      <c r="J42" s="9" t="e">
        <f>_xll.qlRateHelperEarliestDate($E42)</f>
        <v>#VALUE!</v>
      </c>
      <c r="K42" s="9" t="e">
        <f>_xll.qlRateHelperMaturityDate(E42)</f>
        <v>#VALUE!</v>
      </c>
      <c r="L42" s="8" t="e">
        <f>_xll.qlRateHelperPillarDate($E42)</f>
        <v>#VALUE!</v>
      </c>
      <c r="M42" s="73" t="e">
        <v>#N/A</v>
      </c>
      <c r="N42" s="3" t="e">
        <v>#N/A</v>
      </c>
    </row>
    <row r="43" spans="4:14" x14ac:dyDescent="0.2">
      <c r="D43" s="11" t="e">
        <v>#N/A</v>
      </c>
      <c r="E43" s="11" t="e">
        <v>#N/A</v>
      </c>
      <c r="F43" s="11" t="e">
        <f>SUBSTITUTE(_xll.qlRateHelperQuoteName(E43),"SB6L","SB6LBASIS")</f>
        <v>#VALUE!</v>
      </c>
      <c r="G43" s="144" t="e">
        <f>_xll.qlRateHelperRate($E43)-H43</f>
        <v>#VALUE!</v>
      </c>
      <c r="H43" s="10" t="e">
        <f>_xll.qlRateHelperRate($E43)</f>
        <v>#VALUE!</v>
      </c>
      <c r="I43" s="10" t="str">
        <f>IF(ISERROR(_xll.qlSwapRateHelperSpread($E43)),IF(ISERROR(_xll.qlFuturesRateHelperConvexityAdjustment($E43)),"--",_xll.qlFuturesRateHelperConvexityAdjustment($E43)),_xll.qlSwapRateHelperSpread($E43))</f>
        <v>--</v>
      </c>
      <c r="J43" s="9" t="e">
        <f>_xll.qlRateHelperEarliestDate($E43)</f>
        <v>#VALUE!</v>
      </c>
      <c r="K43" s="9" t="e">
        <f>_xll.qlRateHelperMaturityDate(E43)</f>
        <v>#VALUE!</v>
      </c>
      <c r="L43" s="8" t="e">
        <f>_xll.qlRateHelperPillarDate($E43)</f>
        <v>#VALUE!</v>
      </c>
      <c r="M43" s="73" t="e">
        <v>#N/A</v>
      </c>
      <c r="N43" s="3" t="e">
        <v>#N/A</v>
      </c>
    </row>
    <row r="44" spans="4:14" x14ac:dyDescent="0.2">
      <c r="D44" s="11" t="e">
        <v>#N/A</v>
      </c>
      <c r="E44" s="11" t="e">
        <v>#N/A</v>
      </c>
      <c r="F44" s="11" t="e">
        <f>SUBSTITUTE(_xll.qlRateHelperQuoteName(E44),"SB6L","SB6LBASIS")</f>
        <v>#VALUE!</v>
      </c>
      <c r="G44" s="144" t="e">
        <f>_xll.qlRateHelperRate($E44)-H44</f>
        <v>#VALUE!</v>
      </c>
      <c r="H44" s="10" t="e">
        <f>_xll.qlRateHelperRate($E44)</f>
        <v>#VALUE!</v>
      </c>
      <c r="I44" s="10" t="str">
        <f>IF(ISERROR(_xll.qlSwapRateHelperSpread($E44)),IF(ISERROR(_xll.qlFuturesRateHelperConvexityAdjustment($E44)),"--",_xll.qlFuturesRateHelperConvexityAdjustment($E44)),_xll.qlSwapRateHelperSpread($E44))</f>
        <v>--</v>
      </c>
      <c r="J44" s="9" t="e">
        <f>_xll.qlRateHelperEarliestDate($E44)</f>
        <v>#VALUE!</v>
      </c>
      <c r="K44" s="9" t="e">
        <f>_xll.qlRateHelperMaturityDate(E44)</f>
        <v>#VALUE!</v>
      </c>
      <c r="L44" s="8" t="e">
        <f>_xll.qlRateHelperPillarDate($E44)</f>
        <v>#VALUE!</v>
      </c>
      <c r="M44" s="73" t="e">
        <v>#N/A</v>
      </c>
      <c r="N44" s="3" t="e">
        <v>#N/A</v>
      </c>
    </row>
    <row r="45" spans="4:14" x14ac:dyDescent="0.2">
      <c r="D45" s="11" t="e">
        <v>#N/A</v>
      </c>
      <c r="E45" s="11" t="e">
        <v>#N/A</v>
      </c>
      <c r="F45" s="11" t="e">
        <f>SUBSTITUTE(_xll.qlRateHelperQuoteName(E45),"SB6L","SB6LBASIS")</f>
        <v>#VALUE!</v>
      </c>
      <c r="G45" s="144" t="e">
        <f>_xll.qlRateHelperRate($E45)-H45</f>
        <v>#VALUE!</v>
      </c>
      <c r="H45" s="10" t="e">
        <f>_xll.qlRateHelperRate($E45)</f>
        <v>#VALUE!</v>
      </c>
      <c r="I45" s="10" t="str">
        <f>IF(ISERROR(_xll.qlSwapRateHelperSpread($E45)),IF(ISERROR(_xll.qlFuturesRateHelperConvexityAdjustment($E45)),"--",_xll.qlFuturesRateHelperConvexityAdjustment($E45)),_xll.qlSwapRateHelperSpread($E45))</f>
        <v>--</v>
      </c>
      <c r="J45" s="9" t="e">
        <f>_xll.qlRateHelperEarliestDate($E45)</f>
        <v>#VALUE!</v>
      </c>
      <c r="K45" s="9" t="e">
        <f>_xll.qlRateHelperMaturityDate(E45)</f>
        <v>#VALUE!</v>
      </c>
      <c r="L45" s="8" t="e">
        <f>_xll.qlRateHelperPillarDate($E45)</f>
        <v>#VALUE!</v>
      </c>
      <c r="M45" s="73" t="e">
        <v>#N/A</v>
      </c>
      <c r="N45" s="3" t="e">
        <v>#N/A</v>
      </c>
    </row>
    <row r="46" spans="4:14" x14ac:dyDescent="0.2">
      <c r="D46" s="11" t="e">
        <v>#N/A</v>
      </c>
      <c r="E46" s="11" t="e">
        <v>#N/A</v>
      </c>
      <c r="F46" s="11" t="e">
        <f>SUBSTITUTE(_xll.qlRateHelperQuoteName(E46),"SB6L","SB6LBASIS")</f>
        <v>#VALUE!</v>
      </c>
      <c r="G46" s="144" t="e">
        <f>_xll.qlRateHelperRate($E46)-H46</f>
        <v>#VALUE!</v>
      </c>
      <c r="H46" s="10" t="e">
        <f>_xll.qlRateHelperRate($E46)</f>
        <v>#VALUE!</v>
      </c>
      <c r="I46" s="10" t="str">
        <f>IF(ISERROR(_xll.qlSwapRateHelperSpread($E46)),IF(ISERROR(_xll.qlFuturesRateHelperConvexityAdjustment($E46)),"--",_xll.qlFuturesRateHelperConvexityAdjustment($E46)),_xll.qlSwapRateHelperSpread($E46))</f>
        <v>--</v>
      </c>
      <c r="J46" s="9" t="e">
        <f>_xll.qlRateHelperEarliestDate($E46)</f>
        <v>#VALUE!</v>
      </c>
      <c r="K46" s="9" t="e">
        <f>_xll.qlRateHelperMaturityDate(E46)</f>
        <v>#VALUE!</v>
      </c>
      <c r="L46" s="8" t="e">
        <f>_xll.qlRateHelperPillarDate($E46)</f>
        <v>#VALUE!</v>
      </c>
      <c r="M46" s="73" t="e">
        <v>#N/A</v>
      </c>
      <c r="N46" s="3" t="e">
        <v>#N/A</v>
      </c>
    </row>
    <row r="47" spans="4:14" x14ac:dyDescent="0.2">
      <c r="D47" s="11" t="e">
        <v>#N/A</v>
      </c>
      <c r="E47" s="11" t="e">
        <v>#N/A</v>
      </c>
      <c r="F47" s="11" t="e">
        <f>SUBSTITUTE(_xll.qlRateHelperQuoteName(E47),"SB6L","SB6LBASIS")</f>
        <v>#VALUE!</v>
      </c>
      <c r="G47" s="144" t="e">
        <f>_xll.qlRateHelperRate($E47)-H47</f>
        <v>#VALUE!</v>
      </c>
      <c r="H47" s="10" t="e">
        <f>_xll.qlRateHelperRate($E47)</f>
        <v>#VALUE!</v>
      </c>
      <c r="I47" s="10" t="str">
        <f>IF(ISERROR(_xll.qlSwapRateHelperSpread($E47)),IF(ISERROR(_xll.qlFuturesRateHelperConvexityAdjustment($E47)),"--",_xll.qlFuturesRateHelperConvexityAdjustment($E47)),_xll.qlSwapRateHelperSpread($E47))</f>
        <v>--</v>
      </c>
      <c r="J47" s="9" t="e">
        <f>_xll.qlRateHelperEarliestDate($E47)</f>
        <v>#VALUE!</v>
      </c>
      <c r="K47" s="9" t="e">
        <f>_xll.qlRateHelperMaturityDate(E47)</f>
        <v>#VALUE!</v>
      </c>
      <c r="L47" s="8" t="e">
        <f>_xll.qlRateHelperPillarDate($E47)</f>
        <v>#VALUE!</v>
      </c>
      <c r="M47" s="73" t="e">
        <v>#N/A</v>
      </c>
      <c r="N47" s="3" t="e">
        <v>#N/A</v>
      </c>
    </row>
    <row r="48" spans="4:14" x14ac:dyDescent="0.2">
      <c r="D48" s="11" t="e">
        <v>#N/A</v>
      </c>
      <c r="E48" s="11" t="e">
        <v>#N/A</v>
      </c>
      <c r="F48" s="11" t="e">
        <f>SUBSTITUTE(_xll.qlRateHelperQuoteName(E48),"SB6L","SB6LBASIS")</f>
        <v>#VALUE!</v>
      </c>
      <c r="G48" s="144" t="e">
        <f>_xll.qlRateHelperRate($E48)-H48</f>
        <v>#VALUE!</v>
      </c>
      <c r="H48" s="10" t="e">
        <f>_xll.qlRateHelperRate($E48)</f>
        <v>#VALUE!</v>
      </c>
      <c r="I48" s="10" t="str">
        <f>IF(ISERROR(_xll.qlSwapRateHelperSpread($E48)),IF(ISERROR(_xll.qlFuturesRateHelperConvexityAdjustment($E48)),"--",_xll.qlFuturesRateHelperConvexityAdjustment($E48)),_xll.qlSwapRateHelperSpread($E48))</f>
        <v>--</v>
      </c>
      <c r="J48" s="9" t="e">
        <f>_xll.qlRateHelperEarliestDate($E48)</f>
        <v>#VALUE!</v>
      </c>
      <c r="K48" s="9" t="e">
        <f>_xll.qlRateHelperMaturityDate(E48)</f>
        <v>#VALUE!</v>
      </c>
      <c r="L48" s="8" t="e">
        <f>_xll.qlRateHelperPillarDate($E48)</f>
        <v>#VALUE!</v>
      </c>
      <c r="M48" s="73" t="e">
        <v>#N/A</v>
      </c>
      <c r="N48" s="3" t="e">
        <v>#N/A</v>
      </c>
    </row>
    <row r="49" spans="4:14" x14ac:dyDescent="0.2">
      <c r="D49" s="11" t="e">
        <v>#N/A</v>
      </c>
      <c r="E49" s="11" t="e">
        <v>#N/A</v>
      </c>
      <c r="F49" s="11" t="e">
        <f>SUBSTITUTE(_xll.qlRateHelperQuoteName(E49),"SB6L","SB6LBASIS")</f>
        <v>#VALUE!</v>
      </c>
      <c r="G49" s="144" t="e">
        <f>_xll.qlRateHelperRate($E49)-H49</f>
        <v>#VALUE!</v>
      </c>
      <c r="H49" s="10" t="e">
        <f>_xll.qlRateHelperRate($E49)</f>
        <v>#VALUE!</v>
      </c>
      <c r="I49" s="10" t="str">
        <f>IF(ISERROR(_xll.qlSwapRateHelperSpread($E49)),IF(ISERROR(_xll.qlFuturesRateHelperConvexityAdjustment($E49)),"--",_xll.qlFuturesRateHelperConvexityAdjustment($E49)),_xll.qlSwapRateHelperSpread($E49))</f>
        <v>--</v>
      </c>
      <c r="J49" s="9" t="e">
        <f>_xll.qlRateHelperEarliestDate($E49)</f>
        <v>#VALUE!</v>
      </c>
      <c r="K49" s="9" t="e">
        <f>_xll.qlRateHelperMaturityDate(E49)</f>
        <v>#VALUE!</v>
      </c>
      <c r="L49" s="8" t="e">
        <f>_xll.qlRateHelperPillarDate($E49)</f>
        <v>#VALUE!</v>
      </c>
      <c r="M49" s="73" t="e">
        <v>#N/A</v>
      </c>
      <c r="N49" s="3" t="e">
        <v>#N/A</v>
      </c>
    </row>
    <row r="50" spans="4:14" x14ac:dyDescent="0.2">
      <c r="D50" s="11" t="e">
        <v>#N/A</v>
      </c>
      <c r="E50" s="11" t="e">
        <v>#N/A</v>
      </c>
      <c r="F50" s="11" t="e">
        <f>SUBSTITUTE(_xll.qlRateHelperQuoteName(E50),"SB6L","SB6LBASIS")</f>
        <v>#VALUE!</v>
      </c>
      <c r="G50" s="144" t="e">
        <f>_xll.qlRateHelperRate($E50)-H50</f>
        <v>#VALUE!</v>
      </c>
      <c r="H50" s="10" t="e">
        <f>_xll.qlRateHelperRate($E50)</f>
        <v>#VALUE!</v>
      </c>
      <c r="I50" s="10" t="str">
        <f>IF(ISERROR(_xll.qlSwapRateHelperSpread($E50)),IF(ISERROR(_xll.qlFuturesRateHelperConvexityAdjustment($E50)),"--",_xll.qlFuturesRateHelperConvexityAdjustment($E50)),_xll.qlSwapRateHelperSpread($E50))</f>
        <v>--</v>
      </c>
      <c r="J50" s="9" t="e">
        <f>_xll.qlRateHelperEarliestDate($E50)</f>
        <v>#VALUE!</v>
      </c>
      <c r="K50" s="9" t="e">
        <f>_xll.qlRateHelperMaturityDate(E50)</f>
        <v>#VALUE!</v>
      </c>
      <c r="L50" s="8" t="e">
        <f>_xll.qlRateHelperPillarDate($E50)</f>
        <v>#VALUE!</v>
      </c>
      <c r="M50" s="73" t="e">
        <v>#N/A</v>
      </c>
      <c r="N50" s="3" t="e">
        <v>#N/A</v>
      </c>
    </row>
    <row r="51" spans="4:14" x14ac:dyDescent="0.2">
      <c r="D51" s="11" t="e">
        <v>#N/A</v>
      </c>
      <c r="E51" s="11" t="e">
        <v>#N/A</v>
      </c>
      <c r="F51" s="11" t="e">
        <f>SUBSTITUTE(_xll.qlRateHelperQuoteName(E51),"SB6L","SB6LBASIS")</f>
        <v>#VALUE!</v>
      </c>
      <c r="G51" s="144" t="e">
        <f>_xll.qlRateHelperRate($E51)-H51</f>
        <v>#VALUE!</v>
      </c>
      <c r="H51" s="10" t="e">
        <f>_xll.qlRateHelperRate($E51)</f>
        <v>#VALUE!</v>
      </c>
      <c r="I51" s="10" t="str">
        <f>IF(ISERROR(_xll.qlSwapRateHelperSpread($E51)),IF(ISERROR(_xll.qlFuturesRateHelperConvexityAdjustment($E51)),"--",_xll.qlFuturesRateHelperConvexityAdjustment($E51)),_xll.qlSwapRateHelperSpread($E51))</f>
        <v>--</v>
      </c>
      <c r="J51" s="9" t="e">
        <f>_xll.qlRateHelperEarliestDate($E51)</f>
        <v>#VALUE!</v>
      </c>
      <c r="K51" s="9" t="e">
        <f>_xll.qlRateHelperMaturityDate(E51)</f>
        <v>#VALUE!</v>
      </c>
      <c r="L51" s="8" t="e">
        <f>_xll.qlRateHelperPillarDate($E51)</f>
        <v>#VALUE!</v>
      </c>
      <c r="M51" s="73" t="e">
        <v>#N/A</v>
      </c>
      <c r="N51" s="3" t="e">
        <v>#N/A</v>
      </c>
    </row>
    <row r="52" spans="4:14" x14ac:dyDescent="0.2">
      <c r="D52" s="11" t="e">
        <v>#N/A</v>
      </c>
      <c r="E52" s="11" t="e">
        <v>#N/A</v>
      </c>
      <c r="F52" s="11" t="e">
        <f>SUBSTITUTE(_xll.qlRateHelperQuoteName(E52),"SB6L","SB6LBASIS")</f>
        <v>#VALUE!</v>
      </c>
      <c r="G52" s="144" t="e">
        <f>_xll.qlRateHelperRate($E52)-H52</f>
        <v>#VALUE!</v>
      </c>
      <c r="H52" s="10" t="e">
        <f>_xll.qlRateHelperRate($E52)</f>
        <v>#VALUE!</v>
      </c>
      <c r="I52" s="10" t="str">
        <f>IF(ISERROR(_xll.qlSwapRateHelperSpread($E52)),IF(ISERROR(_xll.qlFuturesRateHelperConvexityAdjustment($E52)),"--",_xll.qlFuturesRateHelperConvexityAdjustment($E52)),_xll.qlSwapRateHelperSpread($E52))</f>
        <v>--</v>
      </c>
      <c r="J52" s="9" t="e">
        <f>_xll.qlRateHelperEarliestDate($E52)</f>
        <v>#VALUE!</v>
      </c>
      <c r="K52" s="9" t="e">
        <f>_xll.qlRateHelperMaturityDate(E52)</f>
        <v>#VALUE!</v>
      </c>
      <c r="L52" s="8" t="e">
        <f>_xll.qlRateHelperPillarDate($E52)</f>
        <v>#VALUE!</v>
      </c>
      <c r="M52" s="73" t="e">
        <v>#N/A</v>
      </c>
      <c r="N52" s="3" t="e">
        <v>#N/A</v>
      </c>
    </row>
    <row r="53" spans="4:14" x14ac:dyDescent="0.2">
      <c r="D53" s="11" t="e">
        <v>#N/A</v>
      </c>
      <c r="E53" s="11" t="e">
        <v>#N/A</v>
      </c>
      <c r="F53" s="11" t="e">
        <f>SUBSTITUTE(_xll.qlRateHelperQuoteName(E53),"SB6L","SB6LBASIS")</f>
        <v>#VALUE!</v>
      </c>
      <c r="G53" s="144" t="e">
        <f>_xll.qlRateHelperRate($E53)-H53</f>
        <v>#VALUE!</v>
      </c>
      <c r="H53" s="10" t="e">
        <f>_xll.qlRateHelperRate($E53)</f>
        <v>#VALUE!</v>
      </c>
      <c r="I53" s="10" t="str">
        <f>IF(ISERROR(_xll.qlSwapRateHelperSpread($E53)),IF(ISERROR(_xll.qlFuturesRateHelperConvexityAdjustment($E53)),"--",_xll.qlFuturesRateHelperConvexityAdjustment($E53)),_xll.qlSwapRateHelperSpread($E53))</f>
        <v>--</v>
      </c>
      <c r="J53" s="9" t="e">
        <f>_xll.qlRateHelperEarliestDate($E53)</f>
        <v>#VALUE!</v>
      </c>
      <c r="K53" s="9" t="e">
        <f>_xll.qlRateHelperMaturityDate(E53)</f>
        <v>#VALUE!</v>
      </c>
      <c r="L53" s="8" t="e">
        <f>_xll.qlRateHelperPillarDate($E53)</f>
        <v>#VALUE!</v>
      </c>
      <c r="M53" s="73" t="e">
        <v>#N/A</v>
      </c>
      <c r="N53" s="3" t="e">
        <v>#N/A</v>
      </c>
    </row>
    <row r="54" spans="4:14" x14ac:dyDescent="0.2">
      <c r="D54" s="11" t="e">
        <v>#N/A</v>
      </c>
      <c r="E54" s="11" t="e">
        <v>#N/A</v>
      </c>
      <c r="F54" s="11" t="e">
        <f>SUBSTITUTE(_xll.qlRateHelperQuoteName(E54),"SB6L","SB6LBASIS")</f>
        <v>#VALUE!</v>
      </c>
      <c r="G54" s="144" t="e">
        <f>_xll.qlRateHelperRate($E54)-H54</f>
        <v>#VALUE!</v>
      </c>
      <c r="H54" s="10" t="e">
        <f>_xll.qlRateHelperRate($E54)</f>
        <v>#VALUE!</v>
      </c>
      <c r="I54" s="10" t="str">
        <f>IF(ISERROR(_xll.qlSwapRateHelperSpread($E54)),IF(ISERROR(_xll.qlFuturesRateHelperConvexityAdjustment($E54)),"--",_xll.qlFuturesRateHelperConvexityAdjustment($E54)),_xll.qlSwapRateHelperSpread($E54))</f>
        <v>--</v>
      </c>
      <c r="J54" s="9" t="e">
        <f>_xll.qlRateHelperEarliestDate($E54)</f>
        <v>#VALUE!</v>
      </c>
      <c r="K54" s="9" t="e">
        <f>_xll.qlRateHelperMaturityDate(E54)</f>
        <v>#VALUE!</v>
      </c>
      <c r="L54" s="8" t="e">
        <f>_xll.qlRateHelperPillarDate($E54)</f>
        <v>#VALUE!</v>
      </c>
      <c r="M54" s="73" t="e">
        <v>#N/A</v>
      </c>
      <c r="N54" s="3" t="e">
        <v>#N/A</v>
      </c>
    </row>
    <row r="55" spans="4:14" x14ac:dyDescent="0.2">
      <c r="D55" s="11" t="e">
        <v>#N/A</v>
      </c>
      <c r="E55" s="11" t="e">
        <v>#N/A</v>
      </c>
      <c r="F55" s="11" t="e">
        <f>SUBSTITUTE(_xll.qlRateHelperQuoteName(E55),"SB6L","SB6LBASIS")</f>
        <v>#VALUE!</v>
      </c>
      <c r="G55" s="144" t="e">
        <f>_xll.qlRateHelperRate($E55)-H55</f>
        <v>#VALUE!</v>
      </c>
      <c r="H55" s="10" t="e">
        <f>_xll.qlRateHelperRate($E55)</f>
        <v>#VALUE!</v>
      </c>
      <c r="I55" s="10" t="str">
        <f>IF(ISERROR(_xll.qlSwapRateHelperSpread($E55)),IF(ISERROR(_xll.qlFuturesRateHelperConvexityAdjustment($E55)),"--",_xll.qlFuturesRateHelperConvexityAdjustment($E55)),_xll.qlSwapRateHelperSpread($E55))</f>
        <v>--</v>
      </c>
      <c r="J55" s="9" t="e">
        <f>_xll.qlRateHelperEarliestDate($E55)</f>
        <v>#VALUE!</v>
      </c>
      <c r="K55" s="9" t="e">
        <f>_xll.qlRateHelperMaturityDate(E55)</f>
        <v>#VALUE!</v>
      </c>
      <c r="L55" s="8" t="e">
        <f>_xll.qlRateHelperPillarDate($E55)</f>
        <v>#VALUE!</v>
      </c>
      <c r="M55" s="73" t="e">
        <v>#N/A</v>
      </c>
      <c r="N55" s="3" t="e">
        <v>#N/A</v>
      </c>
    </row>
    <row r="56" spans="4:14" x14ac:dyDescent="0.2">
      <c r="D56" s="11" t="e">
        <v>#N/A</v>
      </c>
      <c r="E56" s="11" t="e">
        <v>#N/A</v>
      </c>
      <c r="F56" s="11" t="e">
        <f>SUBSTITUTE(_xll.qlRateHelperQuoteName(E56),"SB6L","SB6LBASIS")</f>
        <v>#VALUE!</v>
      </c>
      <c r="G56" s="144" t="e">
        <f>_xll.qlRateHelperRate($E56)-H56</f>
        <v>#VALUE!</v>
      </c>
      <c r="H56" s="10" t="e">
        <f>_xll.qlRateHelperRate($E56)</f>
        <v>#VALUE!</v>
      </c>
      <c r="I56" s="10" t="str">
        <f>IF(ISERROR(_xll.qlSwapRateHelperSpread($E56)),IF(ISERROR(_xll.qlFuturesRateHelperConvexityAdjustment($E56)),"--",_xll.qlFuturesRateHelperConvexityAdjustment($E56)),_xll.qlSwapRateHelperSpread($E56))</f>
        <v>--</v>
      </c>
      <c r="J56" s="9" t="e">
        <f>_xll.qlRateHelperEarliestDate($E56)</f>
        <v>#VALUE!</v>
      </c>
      <c r="K56" s="9" t="e">
        <f>_xll.qlRateHelperMaturityDate(E56)</f>
        <v>#VALUE!</v>
      </c>
      <c r="L56" s="8" t="e">
        <f>_xll.qlRateHelperPillarDate($E56)</f>
        <v>#VALUE!</v>
      </c>
      <c r="M56" s="73" t="e">
        <v>#N/A</v>
      </c>
      <c r="N56" s="3" t="e">
        <v>#N/A</v>
      </c>
    </row>
    <row r="57" spans="4:14" x14ac:dyDescent="0.2">
      <c r="D57" s="11" t="e">
        <v>#N/A</v>
      </c>
      <c r="E57" s="11" t="e">
        <v>#N/A</v>
      </c>
      <c r="F57" s="11" t="e">
        <f>SUBSTITUTE(_xll.qlRateHelperQuoteName(E57),"SB6L","SB6LBASIS")</f>
        <v>#VALUE!</v>
      </c>
      <c r="G57" s="144" t="e">
        <f>_xll.qlRateHelperRate($E57)-H57</f>
        <v>#VALUE!</v>
      </c>
      <c r="H57" s="10" t="e">
        <f>_xll.qlRateHelperRate($E57)</f>
        <v>#VALUE!</v>
      </c>
      <c r="I57" s="10" t="str">
        <f>IF(ISERROR(_xll.qlSwapRateHelperSpread($E57)),IF(ISERROR(_xll.qlFuturesRateHelperConvexityAdjustment($E57)),"--",_xll.qlFuturesRateHelperConvexityAdjustment($E57)),_xll.qlSwapRateHelperSpread($E57))</f>
        <v>--</v>
      </c>
      <c r="J57" s="9" t="e">
        <f>_xll.qlRateHelperEarliestDate($E57)</f>
        <v>#VALUE!</v>
      </c>
      <c r="K57" s="9" t="e">
        <f>_xll.qlRateHelperMaturityDate(E57)</f>
        <v>#VALUE!</v>
      </c>
      <c r="L57" s="8" t="e">
        <f>_xll.qlRateHelperPillarDate($E57)</f>
        <v>#VALUE!</v>
      </c>
      <c r="M57" s="73" t="e">
        <v>#N/A</v>
      </c>
      <c r="N57" s="3" t="e">
        <v>#N/A</v>
      </c>
    </row>
    <row r="58" spans="4:14" x14ac:dyDescent="0.2">
      <c r="D58" s="11" t="e">
        <v>#N/A</v>
      </c>
      <c r="E58" s="11" t="e">
        <v>#N/A</v>
      </c>
      <c r="F58" s="11" t="e">
        <f>SUBSTITUTE(_xll.qlRateHelperQuoteName(E58),"SB6L","SB6LBASIS")</f>
        <v>#VALUE!</v>
      </c>
      <c r="G58" s="144" t="e">
        <f>_xll.qlRateHelperRate($E58)-H58</f>
        <v>#VALUE!</v>
      </c>
      <c r="H58" s="10" t="e">
        <f>_xll.qlRateHelperRate($E58)</f>
        <v>#VALUE!</v>
      </c>
      <c r="I58" s="10" t="str">
        <f>IF(ISERROR(_xll.qlSwapRateHelperSpread($E58)),IF(ISERROR(_xll.qlFuturesRateHelperConvexityAdjustment($E58)),"--",_xll.qlFuturesRateHelperConvexityAdjustment($E58)),_xll.qlSwapRateHelperSpread($E58))</f>
        <v>--</v>
      </c>
      <c r="J58" s="9" t="e">
        <f>_xll.qlRateHelperEarliestDate($E58)</f>
        <v>#VALUE!</v>
      </c>
      <c r="K58" s="9" t="e">
        <f>_xll.qlRateHelperMaturityDate(E58)</f>
        <v>#VALUE!</v>
      </c>
      <c r="L58" s="8" t="e">
        <f>_xll.qlRateHelperPillarDate($E58)</f>
        <v>#VALUE!</v>
      </c>
      <c r="M58" s="73" t="e">
        <v>#N/A</v>
      </c>
      <c r="N58" s="3" t="e">
        <v>#N/A</v>
      </c>
    </row>
    <row r="59" spans="4:14" x14ac:dyDescent="0.2">
      <c r="D59" s="11" t="e">
        <v>#N/A</v>
      </c>
      <c r="E59" s="11" t="e">
        <v>#N/A</v>
      </c>
      <c r="F59" s="11" t="e">
        <f>SUBSTITUTE(_xll.qlRateHelperQuoteName(E59),"SB6L","SB6LBASIS")</f>
        <v>#VALUE!</v>
      </c>
      <c r="G59" s="144" t="e">
        <f>_xll.qlRateHelperRate($E59)-H59</f>
        <v>#VALUE!</v>
      </c>
      <c r="H59" s="10" t="e">
        <f>_xll.qlRateHelperRate($E59)</f>
        <v>#VALUE!</v>
      </c>
      <c r="I59" s="10" t="str">
        <f>IF(ISERROR(_xll.qlSwapRateHelperSpread($E59)),IF(ISERROR(_xll.qlFuturesRateHelperConvexityAdjustment($E59)),"--",_xll.qlFuturesRateHelperConvexityAdjustment($E59)),_xll.qlSwapRateHelperSpread($E59))</f>
        <v>--</v>
      </c>
      <c r="J59" s="9" t="e">
        <f>_xll.qlRateHelperEarliestDate($E59)</f>
        <v>#VALUE!</v>
      </c>
      <c r="K59" s="9" t="e">
        <f>_xll.qlRateHelperMaturityDate(E59)</f>
        <v>#VALUE!</v>
      </c>
      <c r="L59" s="8" t="e">
        <f>_xll.qlRateHelperPillarDate($E59)</f>
        <v>#VALUE!</v>
      </c>
      <c r="M59" s="73" t="e">
        <v>#N/A</v>
      </c>
      <c r="N59" s="3" t="e">
        <v>#N/A</v>
      </c>
    </row>
    <row r="60" spans="4:14" x14ac:dyDescent="0.2">
      <c r="D60" s="11" t="e">
        <v>#N/A</v>
      </c>
      <c r="E60" s="11" t="e">
        <v>#N/A</v>
      </c>
      <c r="F60" s="11" t="e">
        <f>SUBSTITUTE(_xll.qlRateHelperQuoteName(E60),"SB6L","SB6LBASIS")</f>
        <v>#VALUE!</v>
      </c>
      <c r="G60" s="144" t="e">
        <f>_xll.qlRateHelperRate($E60)-H60</f>
        <v>#VALUE!</v>
      </c>
      <c r="H60" s="10" t="e">
        <f>_xll.qlRateHelperRate($E60)</f>
        <v>#VALUE!</v>
      </c>
      <c r="I60" s="10" t="str">
        <f>IF(ISERROR(_xll.qlSwapRateHelperSpread($E60)),IF(ISERROR(_xll.qlFuturesRateHelperConvexityAdjustment($E60)),"--",_xll.qlFuturesRateHelperConvexityAdjustment($E60)),_xll.qlSwapRateHelperSpread($E60))</f>
        <v>--</v>
      </c>
      <c r="J60" s="9" t="e">
        <f>_xll.qlRateHelperEarliestDate($E60)</f>
        <v>#VALUE!</v>
      </c>
      <c r="K60" s="9" t="e">
        <f>_xll.qlRateHelperMaturityDate(E60)</f>
        <v>#VALUE!</v>
      </c>
      <c r="L60" s="8" t="e">
        <f>_xll.qlRateHelperPillarDate($E60)</f>
        <v>#VALUE!</v>
      </c>
      <c r="M60" s="73" t="e">
        <v>#N/A</v>
      </c>
      <c r="N60" s="3" t="e">
        <v>#N/A</v>
      </c>
    </row>
    <row r="61" spans="4:14" x14ac:dyDescent="0.2">
      <c r="D61" s="11" t="e">
        <v>#N/A</v>
      </c>
      <c r="E61" s="11" t="e">
        <v>#N/A</v>
      </c>
      <c r="F61" s="11" t="e">
        <f>SUBSTITUTE(_xll.qlRateHelperQuoteName(E61),"SB6L","SB6LBASIS")</f>
        <v>#VALUE!</v>
      </c>
      <c r="G61" s="144" t="e">
        <f>_xll.qlRateHelperRate($E61)-H61</f>
        <v>#VALUE!</v>
      </c>
      <c r="H61" s="10" t="e">
        <f>_xll.qlRateHelperRate($E61)</f>
        <v>#VALUE!</v>
      </c>
      <c r="I61" s="10" t="str">
        <f>IF(ISERROR(_xll.qlSwapRateHelperSpread($E61)),IF(ISERROR(_xll.qlFuturesRateHelperConvexityAdjustment($E61)),"--",_xll.qlFuturesRateHelperConvexityAdjustment($E61)),_xll.qlSwapRateHelperSpread($E61))</f>
        <v>--</v>
      </c>
      <c r="J61" s="9" t="e">
        <f>_xll.qlRateHelperEarliestDate($E61)</f>
        <v>#VALUE!</v>
      </c>
      <c r="K61" s="9" t="e">
        <f>_xll.qlRateHelperMaturityDate(E61)</f>
        <v>#VALUE!</v>
      </c>
      <c r="L61" s="8" t="e">
        <f>_xll.qlRateHelperPillarDate($E61)</f>
        <v>#VALUE!</v>
      </c>
      <c r="M61" s="73" t="e">
        <v>#N/A</v>
      </c>
      <c r="N61" s="3" t="e">
        <v>#N/A</v>
      </c>
    </row>
    <row r="62" spans="4:14" x14ac:dyDescent="0.2">
      <c r="D62" s="11" t="e">
        <v>#N/A</v>
      </c>
      <c r="E62" s="11" t="e">
        <v>#N/A</v>
      </c>
      <c r="F62" s="11" t="e">
        <f>SUBSTITUTE(_xll.qlRateHelperQuoteName(E62),"SB6L","SB6LBASIS")</f>
        <v>#VALUE!</v>
      </c>
      <c r="G62" s="144" t="e">
        <f>_xll.qlRateHelperRate($E62)-H62</f>
        <v>#VALUE!</v>
      </c>
      <c r="H62" s="10" t="e">
        <f>_xll.qlRateHelperRate($E62)</f>
        <v>#VALUE!</v>
      </c>
      <c r="I62" s="10" t="str">
        <f>IF(ISERROR(_xll.qlSwapRateHelperSpread($E62)),IF(ISERROR(_xll.qlFuturesRateHelperConvexityAdjustment($E62)),"--",_xll.qlFuturesRateHelperConvexityAdjustment($E62)),_xll.qlSwapRateHelperSpread($E62))</f>
        <v>--</v>
      </c>
      <c r="J62" s="9" t="e">
        <f>_xll.qlRateHelperEarliestDate($E62)</f>
        <v>#VALUE!</v>
      </c>
      <c r="K62" s="9" t="e">
        <f>_xll.qlRateHelperMaturityDate(E62)</f>
        <v>#VALUE!</v>
      </c>
      <c r="L62" s="8" t="e">
        <f>_xll.qlRateHelperPillarDate($E62)</f>
        <v>#VALUE!</v>
      </c>
      <c r="M62" s="73" t="e">
        <v>#N/A</v>
      </c>
      <c r="N62" s="3" t="e">
        <v>#N/A</v>
      </c>
    </row>
    <row r="63" spans="4:14" x14ac:dyDescent="0.2">
      <c r="D63" s="11" t="e">
        <v>#N/A</v>
      </c>
      <c r="E63" s="11" t="e">
        <v>#N/A</v>
      </c>
      <c r="F63" s="11" t="e">
        <f>SUBSTITUTE(_xll.qlRateHelperQuoteName(E63),"SB6L","SB6LBASIS")</f>
        <v>#VALUE!</v>
      </c>
      <c r="G63" s="144" t="e">
        <f>_xll.qlRateHelperRate($E63)-H63</f>
        <v>#VALUE!</v>
      </c>
      <c r="H63" s="10" t="e">
        <f>_xll.qlRateHelperRate($E63)</f>
        <v>#VALUE!</v>
      </c>
      <c r="I63" s="10" t="str">
        <f>IF(ISERROR(_xll.qlSwapRateHelperSpread($E63)),IF(ISERROR(_xll.qlFuturesRateHelperConvexityAdjustment($E63)),"--",_xll.qlFuturesRateHelperConvexityAdjustment($E63)),_xll.qlSwapRateHelperSpread($E63))</f>
        <v>--</v>
      </c>
      <c r="J63" s="9" t="e">
        <f>_xll.qlRateHelperEarliestDate($E63)</f>
        <v>#VALUE!</v>
      </c>
      <c r="K63" s="9" t="e">
        <f>_xll.qlRateHelperMaturityDate(E63)</f>
        <v>#VALUE!</v>
      </c>
      <c r="L63" s="8" t="e">
        <f>_xll.qlRateHelperPillarDate($E63)</f>
        <v>#VALUE!</v>
      </c>
      <c r="M63" s="73" t="e">
        <v>#N/A</v>
      </c>
      <c r="N63" s="3" t="e">
        <v>#N/A</v>
      </c>
    </row>
    <row r="64" spans="4:14" x14ac:dyDescent="0.2">
      <c r="D64" s="11" t="e">
        <v>#N/A</v>
      </c>
      <c r="E64" s="11" t="e">
        <v>#N/A</v>
      </c>
      <c r="F64" s="11" t="e">
        <f>SUBSTITUTE(_xll.qlRateHelperQuoteName(E64),"SB6L","SB6LBASIS")</f>
        <v>#VALUE!</v>
      </c>
      <c r="G64" s="144" t="e">
        <f>_xll.qlRateHelperRate($E64)-H64</f>
        <v>#VALUE!</v>
      </c>
      <c r="H64" s="10" t="e">
        <f>_xll.qlRateHelperRate($E64)</f>
        <v>#VALUE!</v>
      </c>
      <c r="I64" s="10" t="str">
        <f>IF(ISERROR(_xll.qlSwapRateHelperSpread($E64)),IF(ISERROR(_xll.qlFuturesRateHelperConvexityAdjustment($E64)),"--",_xll.qlFuturesRateHelperConvexityAdjustment($E64)),_xll.qlSwapRateHelperSpread($E64))</f>
        <v>--</v>
      </c>
      <c r="J64" s="9" t="e">
        <f>_xll.qlRateHelperEarliestDate($E64)</f>
        <v>#VALUE!</v>
      </c>
      <c r="K64" s="9" t="e">
        <f>_xll.qlRateHelperMaturityDate(E64)</f>
        <v>#VALUE!</v>
      </c>
      <c r="L64" s="8" t="e">
        <f>_xll.qlRateHelperPillarDate($E64)</f>
        <v>#VALUE!</v>
      </c>
      <c r="M64" s="73" t="e">
        <v>#N/A</v>
      </c>
      <c r="N64" s="3" t="e">
        <v>#N/A</v>
      </c>
    </row>
    <row r="65" spans="4:14" x14ac:dyDescent="0.2">
      <c r="D65" s="11" t="e">
        <v>#N/A</v>
      </c>
      <c r="E65" s="11" t="e">
        <v>#N/A</v>
      </c>
      <c r="F65" s="11" t="e">
        <f>SUBSTITUTE(_xll.qlRateHelperQuoteName(E65),"SB6L","SB6LBASIS")</f>
        <v>#VALUE!</v>
      </c>
      <c r="G65" s="144" t="e">
        <f>_xll.qlRateHelperRate($E65)-H65</f>
        <v>#VALUE!</v>
      </c>
      <c r="H65" s="10" t="e">
        <f>_xll.qlRateHelperRate($E65)</f>
        <v>#VALUE!</v>
      </c>
      <c r="I65" s="10" t="str">
        <f>IF(ISERROR(_xll.qlSwapRateHelperSpread($E65)),IF(ISERROR(_xll.qlFuturesRateHelperConvexityAdjustment($E65)),"--",_xll.qlFuturesRateHelperConvexityAdjustment($E65)),_xll.qlSwapRateHelperSpread($E65))</f>
        <v>--</v>
      </c>
      <c r="J65" s="9" t="e">
        <f>_xll.qlRateHelperEarliestDate($E65)</f>
        <v>#VALUE!</v>
      </c>
      <c r="K65" s="9" t="e">
        <f>_xll.qlRateHelperMaturityDate(E65)</f>
        <v>#VALUE!</v>
      </c>
      <c r="L65" s="8" t="e">
        <f>_xll.qlRateHelperPillarDate($E65)</f>
        <v>#VALUE!</v>
      </c>
      <c r="M65" s="73" t="e">
        <v>#N/A</v>
      </c>
      <c r="N65" s="3" t="e">
        <v>#N/A</v>
      </c>
    </row>
    <row r="66" spans="4:14" x14ac:dyDescent="0.2">
      <c r="D66" s="11" t="e">
        <v>#N/A</v>
      </c>
      <c r="E66" s="11" t="e">
        <v>#N/A</v>
      </c>
      <c r="F66" s="11" t="e">
        <f>SUBSTITUTE(_xll.qlRateHelperQuoteName(E66),"SB6L","SB6LBASIS")</f>
        <v>#VALUE!</v>
      </c>
      <c r="G66" s="144" t="e">
        <f>_xll.qlRateHelperRate($E66)-H66</f>
        <v>#VALUE!</v>
      </c>
      <c r="H66" s="10" t="e">
        <f>_xll.qlRateHelperRate($E66)</f>
        <v>#VALUE!</v>
      </c>
      <c r="I66" s="10" t="str">
        <f>IF(ISERROR(_xll.qlSwapRateHelperSpread($E66)),IF(ISERROR(_xll.qlFuturesRateHelperConvexityAdjustment($E66)),"--",_xll.qlFuturesRateHelperConvexityAdjustment($E66)),_xll.qlSwapRateHelperSpread($E66))</f>
        <v>--</v>
      </c>
      <c r="J66" s="9" t="e">
        <f>_xll.qlRateHelperEarliestDate($E66)</f>
        <v>#VALUE!</v>
      </c>
      <c r="K66" s="9" t="e">
        <f>_xll.qlRateHelperMaturityDate(E66)</f>
        <v>#VALUE!</v>
      </c>
      <c r="L66" s="8" t="e">
        <f>_xll.qlRateHelperPillarDate($E66)</f>
        <v>#VALUE!</v>
      </c>
      <c r="M66" s="73" t="e">
        <v>#N/A</v>
      </c>
      <c r="N66" s="3" t="e">
        <v>#N/A</v>
      </c>
    </row>
    <row r="67" spans="4:14" x14ac:dyDescent="0.2">
      <c r="D67" s="11" t="e">
        <v>#N/A</v>
      </c>
      <c r="E67" s="11" t="e">
        <v>#N/A</v>
      </c>
      <c r="F67" s="11" t="e">
        <f>SUBSTITUTE(_xll.qlRateHelperQuoteName(E67),"SB6L","SB6LBASIS")</f>
        <v>#VALUE!</v>
      </c>
      <c r="G67" s="144" t="e">
        <f>_xll.qlRateHelperRate($E67)-H67</f>
        <v>#VALUE!</v>
      </c>
      <c r="H67" s="10" t="e">
        <f>_xll.qlRateHelperRate($E67)</f>
        <v>#VALUE!</v>
      </c>
      <c r="I67" s="10" t="str">
        <f>IF(ISERROR(_xll.qlSwapRateHelperSpread($E67)),IF(ISERROR(_xll.qlFuturesRateHelperConvexityAdjustment($E67)),"--",_xll.qlFuturesRateHelperConvexityAdjustment($E67)),_xll.qlSwapRateHelperSpread($E67))</f>
        <v>--</v>
      </c>
      <c r="J67" s="9" t="e">
        <f>_xll.qlRateHelperEarliestDate($E67)</f>
        <v>#VALUE!</v>
      </c>
      <c r="K67" s="9" t="e">
        <f>_xll.qlRateHelperMaturityDate(E67)</f>
        <v>#VALUE!</v>
      </c>
      <c r="L67" s="8" t="e">
        <f>_xll.qlRateHelperPillarDate($E67)</f>
        <v>#VALUE!</v>
      </c>
      <c r="M67" s="73" t="e">
        <v>#N/A</v>
      </c>
      <c r="N67" s="3" t="e">
        <v>#N/A</v>
      </c>
    </row>
    <row r="68" spans="4:14" x14ac:dyDescent="0.2">
      <c r="D68" s="11" t="e">
        <v>#N/A</v>
      </c>
      <c r="E68" s="11" t="e">
        <v>#N/A</v>
      </c>
      <c r="F68" s="11" t="e">
        <f>SUBSTITUTE(_xll.qlRateHelperQuoteName(E68),"SB6L","SB6LBASIS")</f>
        <v>#VALUE!</v>
      </c>
      <c r="G68" s="144" t="e">
        <f>_xll.qlRateHelperRate($E68)-H68</f>
        <v>#VALUE!</v>
      </c>
      <c r="H68" s="10" t="e">
        <f>_xll.qlRateHelperRate($E68)</f>
        <v>#VALUE!</v>
      </c>
      <c r="I68" s="10" t="str">
        <f>IF(ISERROR(_xll.qlSwapRateHelperSpread($E68)),IF(ISERROR(_xll.qlFuturesRateHelperConvexityAdjustment($E68)),"--",_xll.qlFuturesRateHelperConvexityAdjustment($E68)),_xll.qlSwapRateHelperSpread($E68))</f>
        <v>--</v>
      </c>
      <c r="J68" s="9" t="e">
        <f>_xll.qlRateHelperEarliestDate($E68)</f>
        <v>#VALUE!</v>
      </c>
      <c r="K68" s="9" t="e">
        <f>_xll.qlRateHelperMaturityDate(E68)</f>
        <v>#VALUE!</v>
      </c>
      <c r="L68" s="8" t="e">
        <f>_xll.qlRateHelperPillarDate($E68)</f>
        <v>#VALUE!</v>
      </c>
      <c r="M68" s="73" t="e">
        <v>#N/A</v>
      </c>
      <c r="N68" s="3" t="e">
        <v>#N/A</v>
      </c>
    </row>
    <row r="69" spans="4:14" x14ac:dyDescent="0.2">
      <c r="D69" s="11" t="e">
        <v>#N/A</v>
      </c>
      <c r="E69" s="11" t="e">
        <v>#N/A</v>
      </c>
      <c r="F69" s="11" t="e">
        <f>SUBSTITUTE(_xll.qlRateHelperQuoteName(E69),"SB6L","SB6LBASIS")</f>
        <v>#VALUE!</v>
      </c>
      <c r="G69" s="144" t="e">
        <f>_xll.qlRateHelperRate($E69)-H69</f>
        <v>#VALUE!</v>
      </c>
      <c r="H69" s="10" t="e">
        <f>_xll.qlRateHelperRate($E69)</f>
        <v>#VALUE!</v>
      </c>
      <c r="I69" s="10" t="str">
        <f>IF(ISERROR(_xll.qlSwapRateHelperSpread($E69)),IF(ISERROR(_xll.qlFuturesRateHelperConvexityAdjustment($E69)),"--",_xll.qlFuturesRateHelperConvexityAdjustment($E69)),_xll.qlSwapRateHelperSpread($E69))</f>
        <v>--</v>
      </c>
      <c r="J69" s="9" t="e">
        <f>_xll.qlRateHelperEarliestDate($E69)</f>
        <v>#VALUE!</v>
      </c>
      <c r="K69" s="9" t="e">
        <f>_xll.qlRateHelperMaturityDate(E69)</f>
        <v>#VALUE!</v>
      </c>
      <c r="L69" s="8" t="e">
        <f>_xll.qlRateHelperPillarDate($E69)</f>
        <v>#VALUE!</v>
      </c>
      <c r="M69" s="73" t="e">
        <v>#N/A</v>
      </c>
      <c r="N69" s="3" t="e">
        <v>#N/A</v>
      </c>
    </row>
    <row r="70" spans="4:14" x14ac:dyDescent="0.2">
      <c r="D70" s="11" t="e">
        <v>#N/A</v>
      </c>
      <c r="E70" s="11" t="e">
        <v>#N/A</v>
      </c>
      <c r="F70" s="11" t="e">
        <f>SUBSTITUTE(_xll.qlRateHelperQuoteName(E70),"SB6L","SB6LBASIS")</f>
        <v>#VALUE!</v>
      </c>
      <c r="G70" s="144" t="e">
        <f>_xll.qlRateHelperRate($E70)-H70</f>
        <v>#VALUE!</v>
      </c>
      <c r="H70" s="10" t="e">
        <f>_xll.qlRateHelperRate($E70)</f>
        <v>#VALUE!</v>
      </c>
      <c r="I70" s="10" t="str">
        <f>IF(ISERROR(_xll.qlSwapRateHelperSpread($E70)),IF(ISERROR(_xll.qlFuturesRateHelperConvexityAdjustment($E70)),"--",_xll.qlFuturesRateHelperConvexityAdjustment($E70)),_xll.qlSwapRateHelperSpread($E70))</f>
        <v>--</v>
      </c>
      <c r="J70" s="9" t="e">
        <f>_xll.qlRateHelperEarliestDate($E70)</f>
        <v>#VALUE!</v>
      </c>
      <c r="K70" s="9" t="e">
        <f>_xll.qlRateHelperMaturityDate(E70)</f>
        <v>#VALUE!</v>
      </c>
      <c r="L70" s="8" t="e">
        <f>_xll.qlRateHelperPillarDate($E70)</f>
        <v>#VALUE!</v>
      </c>
      <c r="M70" s="73" t="e">
        <v>#N/A</v>
      </c>
      <c r="N70" s="3" t="e">
        <v>#N/A</v>
      </c>
    </row>
    <row r="71" spans="4:14" x14ac:dyDescent="0.2">
      <c r="D71" s="11" t="e">
        <v>#N/A</v>
      </c>
      <c r="E71" s="11" t="e">
        <v>#N/A</v>
      </c>
      <c r="F71" s="11" t="e">
        <f>SUBSTITUTE(_xll.qlRateHelperQuoteName(E71),"SB6L","SB6LBASIS")</f>
        <v>#VALUE!</v>
      </c>
      <c r="G71" s="144" t="e">
        <f>_xll.qlRateHelperRate($E71)-H71</f>
        <v>#VALUE!</v>
      </c>
      <c r="H71" s="10" t="e">
        <f>_xll.qlRateHelperRate($E71)</f>
        <v>#VALUE!</v>
      </c>
      <c r="I71" s="10" t="str">
        <f>IF(ISERROR(_xll.qlSwapRateHelperSpread($E71)),IF(ISERROR(_xll.qlFuturesRateHelperConvexityAdjustment($E71)),"--",_xll.qlFuturesRateHelperConvexityAdjustment($E71)),_xll.qlSwapRateHelperSpread($E71))</f>
        <v>--</v>
      </c>
      <c r="J71" s="9" t="e">
        <f>_xll.qlRateHelperEarliestDate($E71)</f>
        <v>#VALUE!</v>
      </c>
      <c r="K71" s="9" t="e">
        <f>_xll.qlRateHelperMaturityDate(E71)</f>
        <v>#VALUE!</v>
      </c>
      <c r="L71" s="8" t="e">
        <f>_xll.qlRateHelperPillarDate($E71)</f>
        <v>#VALUE!</v>
      </c>
      <c r="M71" s="73" t="e">
        <v>#N/A</v>
      </c>
      <c r="N71" s="3" t="e">
        <v>#N/A</v>
      </c>
    </row>
    <row r="72" spans="4:14" x14ac:dyDescent="0.2">
      <c r="D72" s="11" t="e">
        <v>#N/A</v>
      </c>
      <c r="E72" s="11" t="e">
        <v>#N/A</v>
      </c>
      <c r="F72" s="11" t="e">
        <f>SUBSTITUTE(_xll.qlRateHelperQuoteName(E72),"SB6L","SB6LBASIS")</f>
        <v>#VALUE!</v>
      </c>
      <c r="G72" s="144" t="e">
        <f>_xll.qlRateHelperRate($E72)-H72</f>
        <v>#VALUE!</v>
      </c>
      <c r="H72" s="10" t="e">
        <f>_xll.qlRateHelperRate($E72)</f>
        <v>#VALUE!</v>
      </c>
      <c r="I72" s="10" t="str">
        <f>IF(ISERROR(_xll.qlSwapRateHelperSpread($E72)),IF(ISERROR(_xll.qlFuturesRateHelperConvexityAdjustment($E72)),"--",_xll.qlFuturesRateHelperConvexityAdjustment($E72)),_xll.qlSwapRateHelperSpread($E72))</f>
        <v>--</v>
      </c>
      <c r="J72" s="9" t="e">
        <f>_xll.qlRateHelperEarliestDate($E72)</f>
        <v>#VALUE!</v>
      </c>
      <c r="K72" s="9" t="e">
        <f>_xll.qlRateHelperMaturityDate(E72)</f>
        <v>#VALUE!</v>
      </c>
      <c r="L72" s="8" t="e">
        <f>_xll.qlRateHelperPillarDate($E72)</f>
        <v>#VALUE!</v>
      </c>
      <c r="M72" s="73" t="e">
        <v>#N/A</v>
      </c>
      <c r="N72" s="3" t="e">
        <v>#N/A</v>
      </c>
    </row>
    <row r="73" spans="4:14" x14ac:dyDescent="0.2">
      <c r="D73" s="11" t="e">
        <v>#N/A</v>
      </c>
      <c r="E73" s="11" t="e">
        <v>#N/A</v>
      </c>
      <c r="F73" s="11" t="e">
        <f>SUBSTITUTE(_xll.qlRateHelperQuoteName(E73),"SB6L","SB6LBASIS")</f>
        <v>#VALUE!</v>
      </c>
      <c r="G73" s="144" t="e">
        <f>_xll.qlRateHelperRate($E73)-H73</f>
        <v>#VALUE!</v>
      </c>
      <c r="H73" s="10" t="e">
        <f>_xll.qlRateHelperRate($E73)</f>
        <v>#VALUE!</v>
      </c>
      <c r="I73" s="10" t="str">
        <f>IF(ISERROR(_xll.qlSwapRateHelperSpread($E73)),IF(ISERROR(_xll.qlFuturesRateHelperConvexityAdjustment($E73)),"--",_xll.qlFuturesRateHelperConvexityAdjustment($E73)),_xll.qlSwapRateHelperSpread($E73))</f>
        <v>--</v>
      </c>
      <c r="J73" s="9" t="e">
        <f>_xll.qlRateHelperEarliestDate($E73)</f>
        <v>#VALUE!</v>
      </c>
      <c r="K73" s="9" t="e">
        <f>_xll.qlRateHelperMaturityDate(E73)</f>
        <v>#VALUE!</v>
      </c>
      <c r="L73" s="8" t="e">
        <f>_xll.qlRateHelperPillarDate($E73)</f>
        <v>#VALUE!</v>
      </c>
      <c r="M73" s="73" t="e">
        <v>#N/A</v>
      </c>
      <c r="N73" s="3" t="e">
        <v>#N/A</v>
      </c>
    </row>
    <row r="74" spans="4:14" x14ac:dyDescent="0.2">
      <c r="D74" s="11" t="e">
        <v>#N/A</v>
      </c>
      <c r="E74" s="11" t="e">
        <v>#N/A</v>
      </c>
      <c r="F74" s="11" t="e">
        <f>SUBSTITUTE(_xll.qlRateHelperQuoteName(E74),"SB6L","SB6LBASIS")</f>
        <v>#VALUE!</v>
      </c>
      <c r="G74" s="144" t="e">
        <f>_xll.qlRateHelperRate($E74)-H74</f>
        <v>#VALUE!</v>
      </c>
      <c r="H74" s="10" t="e">
        <f>_xll.qlRateHelperRate($E74)</f>
        <v>#VALUE!</v>
      </c>
      <c r="I74" s="10" t="str">
        <f>IF(ISERROR(_xll.qlSwapRateHelperSpread($E74)),IF(ISERROR(_xll.qlFuturesRateHelperConvexityAdjustment($E74)),"--",_xll.qlFuturesRateHelperConvexityAdjustment($E74)),_xll.qlSwapRateHelperSpread($E74))</f>
        <v>--</v>
      </c>
      <c r="J74" s="9" t="e">
        <f>_xll.qlRateHelperEarliestDate($E74)</f>
        <v>#VALUE!</v>
      </c>
      <c r="K74" s="9" t="e">
        <f>_xll.qlRateHelperMaturityDate(E74)</f>
        <v>#VALUE!</v>
      </c>
      <c r="L74" s="8" t="e">
        <f>_xll.qlRateHelperPillarDate($E74)</f>
        <v>#VALUE!</v>
      </c>
      <c r="M74" s="73" t="e">
        <v>#N/A</v>
      </c>
      <c r="N74" s="3" t="e">
        <v>#N/A</v>
      </c>
    </row>
    <row r="75" spans="4:14" x14ac:dyDescent="0.2">
      <c r="D75" s="11" t="e">
        <v>#N/A</v>
      </c>
      <c r="E75" s="11" t="e">
        <v>#N/A</v>
      </c>
      <c r="F75" s="11" t="e">
        <f>SUBSTITUTE(_xll.qlRateHelperQuoteName(E75),"SB6L","SB6LBASIS")</f>
        <v>#VALUE!</v>
      </c>
      <c r="G75" s="144" t="e">
        <f>_xll.qlRateHelperRate($E75)-H75</f>
        <v>#VALUE!</v>
      </c>
      <c r="H75" s="10" t="e">
        <f>_xll.qlRateHelperRate($E75)</f>
        <v>#VALUE!</v>
      </c>
      <c r="I75" s="10" t="str">
        <f>IF(ISERROR(_xll.qlSwapRateHelperSpread($E75)),IF(ISERROR(_xll.qlFuturesRateHelperConvexityAdjustment($E75)),"--",_xll.qlFuturesRateHelperConvexityAdjustment($E75)),_xll.qlSwapRateHelperSpread($E75))</f>
        <v>--</v>
      </c>
      <c r="J75" s="9" t="e">
        <f>_xll.qlRateHelperEarliestDate($E75)</f>
        <v>#VALUE!</v>
      </c>
      <c r="K75" s="9" t="e">
        <f>_xll.qlRateHelperMaturityDate(E75)</f>
        <v>#VALUE!</v>
      </c>
      <c r="L75" s="8" t="e">
        <f>_xll.qlRateHelperPillarDate($E75)</f>
        <v>#VALUE!</v>
      </c>
      <c r="M75" s="73" t="e">
        <v>#N/A</v>
      </c>
      <c r="N75" s="3" t="e">
        <v>#N/A</v>
      </c>
    </row>
    <row r="76" spans="4:14" x14ac:dyDescent="0.2">
      <c r="D76" s="11" t="e">
        <v>#N/A</v>
      </c>
      <c r="E76" s="11" t="e">
        <v>#N/A</v>
      </c>
      <c r="F76" s="11" t="e">
        <f>SUBSTITUTE(_xll.qlRateHelperQuoteName(E76),"SB6L","SB6LBASIS")</f>
        <v>#VALUE!</v>
      </c>
      <c r="G76" s="144" t="e">
        <f>_xll.qlRateHelperRate($E76)-H76</f>
        <v>#VALUE!</v>
      </c>
      <c r="H76" s="10" t="e">
        <f>_xll.qlRateHelperRate($E76)</f>
        <v>#VALUE!</v>
      </c>
      <c r="I76" s="10" t="str">
        <f>IF(ISERROR(_xll.qlSwapRateHelperSpread($E76)),IF(ISERROR(_xll.qlFuturesRateHelperConvexityAdjustment($E76)),"--",_xll.qlFuturesRateHelperConvexityAdjustment($E76)),_xll.qlSwapRateHelperSpread($E76))</f>
        <v>--</v>
      </c>
      <c r="J76" s="9" t="e">
        <f>_xll.qlRateHelperEarliestDate($E76)</f>
        <v>#VALUE!</v>
      </c>
      <c r="K76" s="9" t="e">
        <f>_xll.qlRateHelperMaturityDate(E76)</f>
        <v>#VALUE!</v>
      </c>
      <c r="L76" s="8" t="e">
        <f>_xll.qlRateHelperPillarDate($E76)</f>
        <v>#VALUE!</v>
      </c>
      <c r="M76" s="73" t="e">
        <v>#N/A</v>
      </c>
      <c r="N76" s="3" t="e">
        <v>#N/A</v>
      </c>
    </row>
    <row r="77" spans="4:14" x14ac:dyDescent="0.2">
      <c r="D77" s="11" t="e">
        <v>#N/A</v>
      </c>
      <c r="E77" s="11" t="e">
        <v>#N/A</v>
      </c>
      <c r="F77" s="11" t="e">
        <f>SUBSTITUTE(_xll.qlRateHelperQuoteName(E77),"SB6L","SB6LBASIS")</f>
        <v>#VALUE!</v>
      </c>
      <c r="G77" s="144" t="e">
        <f>_xll.qlRateHelperRate($E77)-H77</f>
        <v>#VALUE!</v>
      </c>
      <c r="H77" s="10" t="e">
        <f>_xll.qlRateHelperRate($E77)</f>
        <v>#VALUE!</v>
      </c>
      <c r="I77" s="10" t="str">
        <f>IF(ISERROR(_xll.qlSwapRateHelperSpread($E77)),IF(ISERROR(_xll.qlFuturesRateHelperConvexityAdjustment($E77)),"--",_xll.qlFuturesRateHelperConvexityAdjustment($E77)),_xll.qlSwapRateHelperSpread($E77))</f>
        <v>--</v>
      </c>
      <c r="J77" s="9" t="e">
        <f>_xll.qlRateHelperEarliestDate($E77)</f>
        <v>#VALUE!</v>
      </c>
      <c r="K77" s="9" t="e">
        <f>_xll.qlRateHelperMaturityDate(E77)</f>
        <v>#VALUE!</v>
      </c>
      <c r="L77" s="8" t="e">
        <f>_xll.qlRateHelperPillarDate($E77)</f>
        <v>#VALUE!</v>
      </c>
      <c r="M77" s="73" t="e">
        <v>#N/A</v>
      </c>
      <c r="N77" s="3" t="e">
        <v>#N/A</v>
      </c>
    </row>
    <row r="78" spans="4:14" x14ac:dyDescent="0.2">
      <c r="D78" s="11" t="e">
        <v>#N/A</v>
      </c>
      <c r="E78" s="11" t="e">
        <v>#N/A</v>
      </c>
      <c r="F78" s="11" t="e">
        <f>SUBSTITUTE(_xll.qlRateHelperQuoteName(E78),"SB6L","SB6LBASIS")</f>
        <v>#VALUE!</v>
      </c>
      <c r="G78" s="144" t="e">
        <f>_xll.qlRateHelperRate($E78)-H78</f>
        <v>#VALUE!</v>
      </c>
      <c r="H78" s="10" t="e">
        <f>_xll.qlRateHelperRate($E78)</f>
        <v>#VALUE!</v>
      </c>
      <c r="I78" s="10" t="str">
        <f>IF(ISERROR(_xll.qlSwapRateHelperSpread($E78)),IF(ISERROR(_xll.qlFuturesRateHelperConvexityAdjustment($E78)),"--",_xll.qlFuturesRateHelperConvexityAdjustment($E78)),_xll.qlSwapRateHelperSpread($E78))</f>
        <v>--</v>
      </c>
      <c r="J78" s="9" t="e">
        <f>_xll.qlRateHelperEarliestDate($E78)</f>
        <v>#VALUE!</v>
      </c>
      <c r="K78" s="9" t="e">
        <f>_xll.qlRateHelperMaturityDate(E78)</f>
        <v>#VALUE!</v>
      </c>
      <c r="L78" s="8" t="e">
        <f>_xll.qlRateHelperPillarDate($E78)</f>
        <v>#VALUE!</v>
      </c>
      <c r="M78" s="73" t="e">
        <v>#N/A</v>
      </c>
      <c r="N78" s="3" t="e">
        <v>#N/A</v>
      </c>
    </row>
    <row r="79" spans="4:14" x14ac:dyDescent="0.2">
      <c r="D79" s="11" t="e">
        <v>#N/A</v>
      </c>
      <c r="E79" s="11" t="e">
        <v>#N/A</v>
      </c>
      <c r="F79" s="11" t="e">
        <f>SUBSTITUTE(_xll.qlRateHelperQuoteName(E79),"SB6L","SB6LBASIS")</f>
        <v>#VALUE!</v>
      </c>
      <c r="G79" s="144" t="e">
        <f>_xll.qlRateHelperRate($E79)-H79</f>
        <v>#VALUE!</v>
      </c>
      <c r="H79" s="10" t="e">
        <f>_xll.qlRateHelperRate($E79)</f>
        <v>#VALUE!</v>
      </c>
      <c r="I79" s="10" t="str">
        <f>IF(ISERROR(_xll.qlSwapRateHelperSpread($E79)),IF(ISERROR(_xll.qlFuturesRateHelperConvexityAdjustment($E79)),"--",_xll.qlFuturesRateHelperConvexityAdjustment($E79)),_xll.qlSwapRateHelperSpread($E79))</f>
        <v>--</v>
      </c>
      <c r="J79" s="9" t="e">
        <f>_xll.qlRateHelperEarliestDate($E79)</f>
        <v>#VALUE!</v>
      </c>
      <c r="K79" s="9" t="e">
        <f>_xll.qlRateHelperMaturityDate(E79)</f>
        <v>#VALUE!</v>
      </c>
      <c r="L79" s="8" t="e">
        <f>_xll.qlRateHelperPillarDate($E79)</f>
        <v>#VALUE!</v>
      </c>
      <c r="M79" s="73" t="e">
        <v>#N/A</v>
      </c>
      <c r="N79" s="3" t="e">
        <v>#N/A</v>
      </c>
    </row>
    <row r="80" spans="4:14" x14ac:dyDescent="0.2">
      <c r="D80" s="11" t="e">
        <v>#N/A</v>
      </c>
      <c r="E80" s="11" t="e">
        <v>#N/A</v>
      </c>
      <c r="F80" s="11" t="e">
        <f>SUBSTITUTE(_xll.qlRateHelperQuoteName(E80),"SB6L","SB6LBASIS")</f>
        <v>#VALUE!</v>
      </c>
      <c r="G80" s="144" t="e">
        <f>_xll.qlRateHelperRate($E80)-H80</f>
        <v>#VALUE!</v>
      </c>
      <c r="H80" s="10" t="e">
        <f>_xll.qlRateHelperRate($E80)</f>
        <v>#VALUE!</v>
      </c>
      <c r="I80" s="10" t="str">
        <f>IF(ISERROR(_xll.qlSwapRateHelperSpread($E80)),IF(ISERROR(_xll.qlFuturesRateHelperConvexityAdjustment($E80)),"--",_xll.qlFuturesRateHelperConvexityAdjustment($E80)),_xll.qlSwapRateHelperSpread($E80))</f>
        <v>--</v>
      </c>
      <c r="J80" s="9" t="e">
        <f>_xll.qlRateHelperEarliestDate($E80)</f>
        <v>#VALUE!</v>
      </c>
      <c r="K80" s="9" t="e">
        <f>_xll.qlRateHelperMaturityDate(E80)</f>
        <v>#VALUE!</v>
      </c>
      <c r="L80" s="8" t="e">
        <f>_xll.qlRateHelperPillarDate($E80)</f>
        <v>#VALUE!</v>
      </c>
      <c r="M80" s="73" t="e">
        <v>#N/A</v>
      </c>
      <c r="N80" s="3" t="e">
        <v>#N/A</v>
      </c>
    </row>
    <row r="81" spans="4:14" x14ac:dyDescent="0.2">
      <c r="D81" s="11" t="e">
        <v>#N/A</v>
      </c>
      <c r="E81" s="11" t="e">
        <v>#N/A</v>
      </c>
      <c r="F81" s="11" t="e">
        <f>SUBSTITUTE(_xll.qlRateHelperQuoteName(E81),"SB6L","SB6LBASIS")</f>
        <v>#VALUE!</v>
      </c>
      <c r="G81" s="144" t="e">
        <f>_xll.qlRateHelperRate($E81)-H81</f>
        <v>#VALUE!</v>
      </c>
      <c r="H81" s="10" t="e">
        <f>_xll.qlRateHelperRate($E81)</f>
        <v>#VALUE!</v>
      </c>
      <c r="I81" s="10" t="str">
        <f>IF(ISERROR(_xll.qlSwapRateHelperSpread($E81)),IF(ISERROR(_xll.qlFuturesRateHelperConvexityAdjustment($E81)),"--",_xll.qlFuturesRateHelperConvexityAdjustment($E81)),_xll.qlSwapRateHelperSpread($E81))</f>
        <v>--</v>
      </c>
      <c r="J81" s="9" t="e">
        <f>_xll.qlRateHelperEarliestDate($E81)</f>
        <v>#VALUE!</v>
      </c>
      <c r="K81" s="9" t="e">
        <f>_xll.qlRateHelperMaturityDate(E81)</f>
        <v>#VALUE!</v>
      </c>
      <c r="L81" s="8" t="e">
        <f>_xll.qlRateHelperPillarDate($E81)</f>
        <v>#VALUE!</v>
      </c>
      <c r="M81" s="73" t="e">
        <v>#N/A</v>
      </c>
      <c r="N81" s="3" t="e">
        <v>#N/A</v>
      </c>
    </row>
    <row r="82" spans="4:14" x14ac:dyDescent="0.2">
      <c r="D82" s="11" t="e">
        <v>#N/A</v>
      </c>
      <c r="E82" s="11" t="e">
        <v>#N/A</v>
      </c>
      <c r="F82" s="11" t="e">
        <f>SUBSTITUTE(_xll.qlRateHelperQuoteName(E82),"SB6L","SB6LBASIS")</f>
        <v>#VALUE!</v>
      </c>
      <c r="G82" s="144" t="e">
        <f>_xll.qlRateHelperRate($E82)-H82</f>
        <v>#VALUE!</v>
      </c>
      <c r="H82" s="10" t="e">
        <f>_xll.qlRateHelperRate($E82)</f>
        <v>#VALUE!</v>
      </c>
      <c r="I82" s="10" t="str">
        <f>IF(ISERROR(_xll.qlSwapRateHelperSpread($E82)),IF(ISERROR(_xll.qlFuturesRateHelperConvexityAdjustment($E82)),"--",_xll.qlFuturesRateHelperConvexityAdjustment($E82)),_xll.qlSwapRateHelperSpread($E82))</f>
        <v>--</v>
      </c>
      <c r="J82" s="9" t="e">
        <f>_xll.qlRateHelperEarliestDate($E82)</f>
        <v>#VALUE!</v>
      </c>
      <c r="K82" s="9" t="e">
        <f>_xll.qlRateHelperMaturityDate(E82)</f>
        <v>#VALUE!</v>
      </c>
      <c r="L82" s="8" t="e">
        <f>_xll.qlRateHelperPillarDate($E82)</f>
        <v>#VALUE!</v>
      </c>
      <c r="M82" s="73" t="e">
        <v>#N/A</v>
      </c>
      <c r="N82" s="3" t="e">
        <v>#N/A</v>
      </c>
    </row>
    <row r="83" spans="4:14" x14ac:dyDescent="0.2">
      <c r="D83" s="11" t="e">
        <v>#N/A</v>
      </c>
      <c r="E83" s="11" t="e">
        <v>#N/A</v>
      </c>
      <c r="F83" s="11" t="e">
        <f>SUBSTITUTE(_xll.qlRateHelperQuoteName(E83),"SB6L","SB6LBASIS")</f>
        <v>#VALUE!</v>
      </c>
      <c r="G83" s="144" t="e">
        <f>_xll.qlRateHelperRate($E83)-H83</f>
        <v>#VALUE!</v>
      </c>
      <c r="H83" s="10" t="e">
        <f>_xll.qlRateHelperRate($E83)</f>
        <v>#VALUE!</v>
      </c>
      <c r="I83" s="10" t="str">
        <f>IF(ISERROR(_xll.qlSwapRateHelperSpread($E83)),IF(ISERROR(_xll.qlFuturesRateHelperConvexityAdjustment($E83)),"--",_xll.qlFuturesRateHelperConvexityAdjustment($E83)),_xll.qlSwapRateHelperSpread($E83))</f>
        <v>--</v>
      </c>
      <c r="J83" s="9" t="e">
        <f>_xll.qlRateHelperEarliestDate($E83)</f>
        <v>#VALUE!</v>
      </c>
      <c r="K83" s="9" t="e">
        <f>_xll.qlRateHelperMaturityDate(E83)</f>
        <v>#VALUE!</v>
      </c>
      <c r="L83" s="8" t="e">
        <f>_xll.qlRateHelperPillarDate($E83)</f>
        <v>#VALUE!</v>
      </c>
      <c r="M83" s="73" t="e">
        <v>#N/A</v>
      </c>
      <c r="N83" s="3" t="e">
        <v>#N/A</v>
      </c>
    </row>
    <row r="84" spans="4:14" x14ac:dyDescent="0.2">
      <c r="D84" s="11" t="e">
        <v>#N/A</v>
      </c>
      <c r="E84" s="11" t="e">
        <v>#N/A</v>
      </c>
      <c r="F84" s="11" t="e">
        <f>SUBSTITUTE(_xll.qlRateHelperQuoteName(E84),"SB6L","SB6LBASIS")</f>
        <v>#VALUE!</v>
      </c>
      <c r="G84" s="144" t="e">
        <f>_xll.qlRateHelperRate($E84)-H84</f>
        <v>#VALUE!</v>
      </c>
      <c r="H84" s="10" t="e">
        <f>_xll.qlRateHelperRate($E84)</f>
        <v>#VALUE!</v>
      </c>
      <c r="I84" s="10" t="str">
        <f>IF(ISERROR(_xll.qlSwapRateHelperSpread($E84)),IF(ISERROR(_xll.qlFuturesRateHelperConvexityAdjustment($E84)),"--",_xll.qlFuturesRateHelperConvexityAdjustment($E84)),_xll.qlSwapRateHelperSpread($E84))</f>
        <v>--</v>
      </c>
      <c r="J84" s="9" t="e">
        <f>_xll.qlRateHelperEarliestDate($E84)</f>
        <v>#VALUE!</v>
      </c>
      <c r="K84" s="9" t="e">
        <f>_xll.qlRateHelperMaturityDate(E84)</f>
        <v>#VALUE!</v>
      </c>
      <c r="L84" s="8" t="e">
        <f>_xll.qlRateHelperPillarDate($E84)</f>
        <v>#VALUE!</v>
      </c>
      <c r="M84" s="73" t="e">
        <v>#N/A</v>
      </c>
      <c r="N84" s="3" t="e">
        <v>#N/A</v>
      </c>
    </row>
    <row r="85" spans="4:14" x14ac:dyDescent="0.2">
      <c r="D85" s="11" t="e">
        <v>#N/A</v>
      </c>
      <c r="E85" s="11" t="e">
        <v>#N/A</v>
      </c>
      <c r="F85" s="11" t="e">
        <f>SUBSTITUTE(_xll.qlRateHelperQuoteName(E85),"SB6L","SB6LBASIS")</f>
        <v>#VALUE!</v>
      </c>
      <c r="G85" s="144" t="e">
        <f>_xll.qlRateHelperRate($E85)-H85</f>
        <v>#VALUE!</v>
      </c>
      <c r="H85" s="10" t="e">
        <f>_xll.qlRateHelperRate($E85)</f>
        <v>#VALUE!</v>
      </c>
      <c r="I85" s="10" t="str">
        <f>IF(ISERROR(_xll.qlSwapRateHelperSpread($E85)),IF(ISERROR(_xll.qlFuturesRateHelperConvexityAdjustment($E85)),"--",_xll.qlFuturesRateHelperConvexityAdjustment($E85)),_xll.qlSwapRateHelperSpread($E85))</f>
        <v>--</v>
      </c>
      <c r="J85" s="9" t="e">
        <f>_xll.qlRateHelperEarliestDate($E85)</f>
        <v>#VALUE!</v>
      </c>
      <c r="K85" s="9" t="e">
        <f>_xll.qlRateHelperMaturityDate(E85)</f>
        <v>#VALUE!</v>
      </c>
      <c r="L85" s="8" t="e">
        <f>_xll.qlRateHelperPillarDate($E85)</f>
        <v>#VALUE!</v>
      </c>
      <c r="M85" s="73" t="e">
        <v>#N/A</v>
      </c>
      <c r="N85" s="3" t="e">
        <v>#N/A</v>
      </c>
    </row>
    <row r="86" spans="4:14" x14ac:dyDescent="0.2">
      <c r="D86" s="11" t="e">
        <v>#N/A</v>
      </c>
      <c r="E86" s="11" t="e">
        <v>#N/A</v>
      </c>
      <c r="F86" s="11" t="e">
        <f>SUBSTITUTE(_xll.qlRateHelperQuoteName(E86),"SB6L","SB6LBASIS")</f>
        <v>#VALUE!</v>
      </c>
      <c r="G86" s="144" t="e">
        <f>_xll.qlRateHelperRate($E86)-H86</f>
        <v>#VALUE!</v>
      </c>
      <c r="H86" s="10" t="e">
        <f>_xll.qlRateHelperRate($E86)</f>
        <v>#VALUE!</v>
      </c>
      <c r="I86" s="10" t="str">
        <f>IF(ISERROR(_xll.qlSwapRateHelperSpread($E86)),IF(ISERROR(_xll.qlFuturesRateHelperConvexityAdjustment($E86)),"--",_xll.qlFuturesRateHelperConvexityAdjustment($E86)),_xll.qlSwapRateHelperSpread($E86))</f>
        <v>--</v>
      </c>
      <c r="J86" s="9" t="e">
        <f>_xll.qlRateHelperEarliestDate($E86)</f>
        <v>#VALUE!</v>
      </c>
      <c r="K86" s="9" t="e">
        <f>_xll.qlRateHelperMaturityDate(E86)</f>
        <v>#VALUE!</v>
      </c>
      <c r="L86" s="8" t="e">
        <f>_xll.qlRateHelperPillarDate($E86)</f>
        <v>#VALUE!</v>
      </c>
      <c r="M86" s="73" t="e">
        <v>#N/A</v>
      </c>
      <c r="N86" s="3" t="e">
        <v>#N/A</v>
      </c>
    </row>
    <row r="87" spans="4:14" x14ac:dyDescent="0.2">
      <c r="D87" s="11" t="e">
        <v>#N/A</v>
      </c>
      <c r="E87" s="11" t="e">
        <v>#N/A</v>
      </c>
      <c r="F87" s="11" t="e">
        <f>SUBSTITUTE(_xll.qlRateHelperQuoteName(E87),"SB6L","SB6LBASIS")</f>
        <v>#VALUE!</v>
      </c>
      <c r="G87" s="144" t="e">
        <f>_xll.qlRateHelperRate($E87)-H87</f>
        <v>#VALUE!</v>
      </c>
      <c r="H87" s="10" t="e">
        <f>_xll.qlRateHelperRate($E87)</f>
        <v>#VALUE!</v>
      </c>
      <c r="I87" s="10" t="str">
        <f>IF(ISERROR(_xll.qlSwapRateHelperSpread($E87)),IF(ISERROR(_xll.qlFuturesRateHelperConvexityAdjustment($E87)),"--",_xll.qlFuturesRateHelperConvexityAdjustment($E87)),_xll.qlSwapRateHelperSpread($E87))</f>
        <v>--</v>
      </c>
      <c r="J87" s="9" t="e">
        <f>_xll.qlRateHelperEarliestDate($E87)</f>
        <v>#VALUE!</v>
      </c>
      <c r="K87" s="9" t="e">
        <f>_xll.qlRateHelperMaturityDate(E87)</f>
        <v>#VALUE!</v>
      </c>
      <c r="L87" s="8" t="e">
        <f>_xll.qlRateHelperPillarDate($E87)</f>
        <v>#VALUE!</v>
      </c>
      <c r="M87" s="73" t="e">
        <v>#N/A</v>
      </c>
      <c r="N87" s="3" t="e">
        <v>#N/A</v>
      </c>
    </row>
    <row r="88" spans="4:14" x14ac:dyDescent="0.2">
      <c r="D88" s="11" t="e">
        <v>#N/A</v>
      </c>
      <c r="E88" s="11" t="e">
        <v>#N/A</v>
      </c>
      <c r="F88" s="11" t="e">
        <f>SUBSTITUTE(_xll.qlRateHelperQuoteName(E88),"SB6L","SB6LBASIS")</f>
        <v>#VALUE!</v>
      </c>
      <c r="G88" s="144" t="e">
        <f>_xll.qlRateHelperRate($E88)-H88</f>
        <v>#VALUE!</v>
      </c>
      <c r="H88" s="10" t="e">
        <f>_xll.qlRateHelperRate($E88)</f>
        <v>#VALUE!</v>
      </c>
      <c r="I88" s="10" t="str">
        <f>IF(ISERROR(_xll.qlSwapRateHelperSpread($E88)),IF(ISERROR(_xll.qlFuturesRateHelperConvexityAdjustment($E88)),"--",_xll.qlFuturesRateHelperConvexityAdjustment($E88)),_xll.qlSwapRateHelperSpread($E88))</f>
        <v>--</v>
      </c>
      <c r="J88" s="9" t="e">
        <f>_xll.qlRateHelperEarliestDate($E88)</f>
        <v>#VALUE!</v>
      </c>
      <c r="K88" s="9" t="e">
        <f>_xll.qlRateHelperMaturityDate(E88)</f>
        <v>#VALUE!</v>
      </c>
      <c r="L88" s="8" t="e">
        <f>_xll.qlRateHelperPillarDate($E88)</f>
        <v>#VALUE!</v>
      </c>
      <c r="M88" s="73" t="e">
        <v>#N/A</v>
      </c>
      <c r="N88" s="3" t="e">
        <v>#N/A</v>
      </c>
    </row>
    <row r="89" spans="4:14" x14ac:dyDescent="0.2">
      <c r="D89" s="11" t="e">
        <v>#N/A</v>
      </c>
      <c r="E89" s="11" t="e">
        <v>#N/A</v>
      </c>
      <c r="F89" s="11" t="e">
        <f>SUBSTITUTE(_xll.qlRateHelperQuoteName(E89),"SB6L","SB6LBASIS")</f>
        <v>#VALUE!</v>
      </c>
      <c r="G89" s="144" t="e">
        <f>_xll.qlRateHelperRate($E89)-H89</f>
        <v>#VALUE!</v>
      </c>
      <c r="H89" s="10" t="e">
        <f>_xll.qlRateHelperRate($E89)</f>
        <v>#VALUE!</v>
      </c>
      <c r="I89" s="10" t="str">
        <f>IF(ISERROR(_xll.qlSwapRateHelperSpread($E89)),IF(ISERROR(_xll.qlFuturesRateHelperConvexityAdjustment($E89)),"--",_xll.qlFuturesRateHelperConvexityAdjustment($E89)),_xll.qlSwapRateHelperSpread($E89))</f>
        <v>--</v>
      </c>
      <c r="J89" s="9" t="e">
        <f>_xll.qlRateHelperEarliestDate($E89)</f>
        <v>#VALUE!</v>
      </c>
      <c r="K89" s="9" t="e">
        <f>_xll.qlRateHelperMaturityDate(E89)</f>
        <v>#VALUE!</v>
      </c>
      <c r="L89" s="8" t="e">
        <f>_xll.qlRateHelperPillarDate($E89)</f>
        <v>#VALUE!</v>
      </c>
      <c r="M89" s="73" t="e">
        <v>#N/A</v>
      </c>
      <c r="N89" s="3" t="e">
        <v>#N/A</v>
      </c>
    </row>
    <row r="90" spans="4:14" x14ac:dyDescent="0.2">
      <c r="D90" s="11" t="e">
        <v>#N/A</v>
      </c>
      <c r="E90" s="11" t="e">
        <v>#N/A</v>
      </c>
      <c r="F90" s="11" t="e">
        <f>SUBSTITUTE(_xll.qlRateHelperQuoteName(E90),"SB6L","SB6LBASIS")</f>
        <v>#VALUE!</v>
      </c>
      <c r="G90" s="144" t="e">
        <f>_xll.qlRateHelperRate($E90)-H90</f>
        <v>#VALUE!</v>
      </c>
      <c r="H90" s="10" t="e">
        <f>_xll.qlRateHelperRate($E90)</f>
        <v>#VALUE!</v>
      </c>
      <c r="I90" s="10" t="str">
        <f>IF(ISERROR(_xll.qlSwapRateHelperSpread($E90)),IF(ISERROR(_xll.qlFuturesRateHelperConvexityAdjustment($E90)),"--",_xll.qlFuturesRateHelperConvexityAdjustment($E90)),_xll.qlSwapRateHelperSpread($E90))</f>
        <v>--</v>
      </c>
      <c r="J90" s="9" t="e">
        <f>_xll.qlRateHelperEarliestDate($E90)</f>
        <v>#VALUE!</v>
      </c>
      <c r="K90" s="9" t="e">
        <f>_xll.qlRateHelperMaturityDate(E90)</f>
        <v>#VALUE!</v>
      </c>
      <c r="L90" s="8" t="e">
        <f>_xll.qlRateHelperPillarDate($E90)</f>
        <v>#VALUE!</v>
      </c>
      <c r="M90" s="73" t="e">
        <v>#N/A</v>
      </c>
      <c r="N90" s="3" t="e">
        <v>#N/A</v>
      </c>
    </row>
    <row r="91" spans="4:14" x14ac:dyDescent="0.2">
      <c r="D91" s="11" t="e">
        <v>#N/A</v>
      </c>
      <c r="E91" s="11" t="e">
        <v>#N/A</v>
      </c>
      <c r="F91" s="11" t="e">
        <f>SUBSTITUTE(_xll.qlRateHelperQuoteName(E91),"SB6L","SB6LBASIS")</f>
        <v>#VALUE!</v>
      </c>
      <c r="G91" s="144" t="e">
        <f>_xll.qlRateHelperRate($E91)-H91</f>
        <v>#VALUE!</v>
      </c>
      <c r="H91" s="10" t="e">
        <f>_xll.qlRateHelperRate($E91)</f>
        <v>#VALUE!</v>
      </c>
      <c r="I91" s="10" t="str">
        <f>IF(ISERROR(_xll.qlSwapRateHelperSpread($E91)),IF(ISERROR(_xll.qlFuturesRateHelperConvexityAdjustment($E91)),"--",_xll.qlFuturesRateHelperConvexityAdjustment($E91)),_xll.qlSwapRateHelperSpread($E91))</f>
        <v>--</v>
      </c>
      <c r="J91" s="9" t="e">
        <f>_xll.qlRateHelperEarliestDate($E91)</f>
        <v>#VALUE!</v>
      </c>
      <c r="K91" s="9" t="e">
        <f>_xll.qlRateHelperMaturityDate(E91)</f>
        <v>#VALUE!</v>
      </c>
      <c r="L91" s="8" t="e">
        <f>_xll.qlRateHelperPillarDate($E91)</f>
        <v>#VALUE!</v>
      </c>
      <c r="M91" s="73" t="e">
        <v>#N/A</v>
      </c>
      <c r="N91" s="3" t="e">
        <v>#N/A</v>
      </c>
    </row>
    <row r="92" spans="4:14" x14ac:dyDescent="0.2">
      <c r="D92" s="11" t="e">
        <v>#N/A</v>
      </c>
      <c r="E92" s="11" t="e">
        <v>#N/A</v>
      </c>
      <c r="F92" s="11" t="e">
        <f>SUBSTITUTE(_xll.qlRateHelperQuoteName(E92),"SB6L","SB6LBASIS")</f>
        <v>#VALUE!</v>
      </c>
      <c r="G92" s="144" t="e">
        <f>_xll.qlRateHelperRate($E92)-H92</f>
        <v>#VALUE!</v>
      </c>
      <c r="H92" s="10" t="e">
        <f>_xll.qlRateHelperRate($E92)</f>
        <v>#VALUE!</v>
      </c>
      <c r="I92" s="10" t="str">
        <f>IF(ISERROR(_xll.qlSwapRateHelperSpread($E92)),IF(ISERROR(_xll.qlFuturesRateHelperConvexityAdjustment($E92)),"--",_xll.qlFuturesRateHelperConvexityAdjustment($E92)),_xll.qlSwapRateHelperSpread($E92))</f>
        <v>--</v>
      </c>
      <c r="J92" s="9" t="e">
        <f>_xll.qlRateHelperEarliestDate($E92)</f>
        <v>#VALUE!</v>
      </c>
      <c r="K92" s="9" t="e">
        <f>_xll.qlRateHelperMaturityDate(E92)</f>
        <v>#VALUE!</v>
      </c>
      <c r="L92" s="8" t="e">
        <f>_xll.qlRateHelperPillarDate($E92)</f>
        <v>#VALUE!</v>
      </c>
      <c r="M92" s="73" t="e">
        <v>#N/A</v>
      </c>
      <c r="N92" s="3" t="e">
        <v>#N/A</v>
      </c>
    </row>
    <row r="93" spans="4:14" x14ac:dyDescent="0.2">
      <c r="D93" s="11" t="e">
        <v>#N/A</v>
      </c>
      <c r="E93" s="11" t="e">
        <v>#N/A</v>
      </c>
      <c r="F93" s="11" t="e">
        <f>SUBSTITUTE(_xll.qlRateHelperQuoteName(E93),"SB6L","SB6LBASIS")</f>
        <v>#VALUE!</v>
      </c>
      <c r="G93" s="144" t="e">
        <f>_xll.qlRateHelperRate($E93)-H93</f>
        <v>#VALUE!</v>
      </c>
      <c r="H93" s="10" t="e">
        <f>_xll.qlRateHelperRate($E93)</f>
        <v>#VALUE!</v>
      </c>
      <c r="I93" s="10" t="str">
        <f>IF(ISERROR(_xll.qlSwapRateHelperSpread($E93)),IF(ISERROR(_xll.qlFuturesRateHelperConvexityAdjustment($E93)),"--",_xll.qlFuturesRateHelperConvexityAdjustment($E93)),_xll.qlSwapRateHelperSpread($E93))</f>
        <v>--</v>
      </c>
      <c r="J93" s="9" t="e">
        <f>_xll.qlRateHelperEarliestDate($E93)</f>
        <v>#VALUE!</v>
      </c>
      <c r="K93" s="9" t="e">
        <f>_xll.qlRateHelperMaturityDate(E93)</f>
        <v>#VALUE!</v>
      </c>
      <c r="L93" s="8" t="e">
        <f>_xll.qlRateHelperPillarDate($E93)</f>
        <v>#VALUE!</v>
      </c>
      <c r="M93" s="73" t="e">
        <v>#N/A</v>
      </c>
      <c r="N93" s="3" t="e">
        <v>#N/A</v>
      </c>
    </row>
    <row r="94" spans="4:14" x14ac:dyDescent="0.2">
      <c r="D94" s="11" t="e">
        <v>#N/A</v>
      </c>
      <c r="E94" s="11" t="e">
        <v>#N/A</v>
      </c>
      <c r="F94" s="11" t="e">
        <f>SUBSTITUTE(_xll.qlRateHelperQuoteName(E94),"SB6L","SB6LBASIS")</f>
        <v>#VALUE!</v>
      </c>
      <c r="G94" s="144" t="e">
        <f>_xll.qlRateHelperRate($E94)-H94</f>
        <v>#VALUE!</v>
      </c>
      <c r="H94" s="10" t="e">
        <f>_xll.qlRateHelperRate($E94)</f>
        <v>#VALUE!</v>
      </c>
      <c r="I94" s="10" t="str">
        <f>IF(ISERROR(_xll.qlSwapRateHelperSpread($E94)),IF(ISERROR(_xll.qlFuturesRateHelperConvexityAdjustment($E94)),"--",_xll.qlFuturesRateHelperConvexityAdjustment($E94)),_xll.qlSwapRateHelperSpread($E94))</f>
        <v>--</v>
      </c>
      <c r="J94" s="9" t="e">
        <f>_xll.qlRateHelperEarliestDate($E94)</f>
        <v>#VALUE!</v>
      </c>
      <c r="K94" s="9" t="e">
        <f>_xll.qlRateHelperMaturityDate(E94)</f>
        <v>#VALUE!</v>
      </c>
      <c r="L94" s="8" t="e">
        <f>_xll.qlRateHelperPillarDate($E94)</f>
        <v>#VALUE!</v>
      </c>
      <c r="M94" s="73" t="e">
        <v>#N/A</v>
      </c>
      <c r="N94" s="3" t="e">
        <v>#N/A</v>
      </c>
    </row>
    <row r="95" spans="4:14" x14ac:dyDescent="0.2">
      <c r="D95" s="11" t="e">
        <v>#N/A</v>
      </c>
      <c r="E95" s="11" t="e">
        <v>#N/A</v>
      </c>
      <c r="F95" s="11" t="e">
        <f>SUBSTITUTE(_xll.qlRateHelperQuoteName(E95),"SB6L","SB6LBASIS")</f>
        <v>#VALUE!</v>
      </c>
      <c r="G95" s="144" t="e">
        <f>_xll.qlRateHelperRate($E95)-H95</f>
        <v>#VALUE!</v>
      </c>
      <c r="H95" s="10" t="e">
        <f>_xll.qlRateHelperRate($E95)</f>
        <v>#VALUE!</v>
      </c>
      <c r="I95" s="10" t="str">
        <f>IF(ISERROR(_xll.qlSwapRateHelperSpread($E95)),IF(ISERROR(_xll.qlFuturesRateHelperConvexityAdjustment($E95)),"--",_xll.qlFuturesRateHelperConvexityAdjustment($E95)),_xll.qlSwapRateHelperSpread($E95))</f>
        <v>--</v>
      </c>
      <c r="J95" s="9" t="e">
        <f>_xll.qlRateHelperEarliestDate($E95)</f>
        <v>#VALUE!</v>
      </c>
      <c r="K95" s="9" t="e">
        <f>_xll.qlRateHelperMaturityDate(E95)</f>
        <v>#VALUE!</v>
      </c>
      <c r="L95" s="8" t="e">
        <f>_xll.qlRateHelperPillarDate($E95)</f>
        <v>#VALUE!</v>
      </c>
      <c r="M95" s="73" t="e">
        <v>#N/A</v>
      </c>
      <c r="N95" s="3" t="e">
        <v>#N/A</v>
      </c>
    </row>
    <row r="96" spans="4:14" x14ac:dyDescent="0.2">
      <c r="D96" s="11" t="e">
        <v>#N/A</v>
      </c>
      <c r="E96" s="11" t="e">
        <v>#N/A</v>
      </c>
      <c r="F96" s="11" t="e">
        <f>SUBSTITUTE(_xll.qlRateHelperQuoteName(E96),"SB6L","SB6LBASIS")</f>
        <v>#VALUE!</v>
      </c>
      <c r="G96" s="144" t="e">
        <f>_xll.qlRateHelperRate($E96)-H96</f>
        <v>#VALUE!</v>
      </c>
      <c r="H96" s="10" t="e">
        <f>_xll.qlRateHelperRate($E96)</f>
        <v>#VALUE!</v>
      </c>
      <c r="I96" s="10" t="str">
        <f>IF(ISERROR(_xll.qlSwapRateHelperSpread($E96)),IF(ISERROR(_xll.qlFuturesRateHelperConvexityAdjustment($E96)),"--",_xll.qlFuturesRateHelperConvexityAdjustment($E96)),_xll.qlSwapRateHelperSpread($E96))</f>
        <v>--</v>
      </c>
      <c r="J96" s="9" t="e">
        <f>_xll.qlRateHelperEarliestDate($E96)</f>
        <v>#VALUE!</v>
      </c>
      <c r="K96" s="9" t="e">
        <f>_xll.qlRateHelperMaturityDate(E96)</f>
        <v>#VALUE!</v>
      </c>
      <c r="L96" s="8" t="e">
        <f>_xll.qlRateHelperPillarDate($E96)</f>
        <v>#VALUE!</v>
      </c>
      <c r="M96" s="73" t="e">
        <v>#N/A</v>
      </c>
      <c r="N96" s="3" t="e">
        <v>#N/A</v>
      </c>
    </row>
    <row r="97" spans="4:14" x14ac:dyDescent="0.2">
      <c r="D97" s="11" t="e">
        <v>#N/A</v>
      </c>
      <c r="E97" s="11" t="e">
        <v>#N/A</v>
      </c>
      <c r="F97" s="11" t="e">
        <f>SUBSTITUTE(_xll.qlRateHelperQuoteName(E97),"SB6L","SB6LBASIS")</f>
        <v>#VALUE!</v>
      </c>
      <c r="G97" s="144" t="e">
        <f>_xll.qlRateHelperRate($E97)-H97</f>
        <v>#VALUE!</v>
      </c>
      <c r="H97" s="10" t="e">
        <f>_xll.qlRateHelperRate($E97)</f>
        <v>#VALUE!</v>
      </c>
      <c r="I97" s="10" t="str">
        <f>IF(ISERROR(_xll.qlSwapRateHelperSpread($E97)),IF(ISERROR(_xll.qlFuturesRateHelperConvexityAdjustment($E97)),"--",_xll.qlFuturesRateHelperConvexityAdjustment($E97)),_xll.qlSwapRateHelperSpread($E97))</f>
        <v>--</v>
      </c>
      <c r="J97" s="9" t="e">
        <f>_xll.qlRateHelperEarliestDate($E97)</f>
        <v>#VALUE!</v>
      </c>
      <c r="K97" s="9" t="e">
        <f>_xll.qlRateHelperMaturityDate(E97)</f>
        <v>#VALUE!</v>
      </c>
      <c r="L97" s="8" t="e">
        <f>_xll.qlRateHelperPillarDate($E97)</f>
        <v>#VALUE!</v>
      </c>
      <c r="M97" s="73" t="e">
        <v>#N/A</v>
      </c>
      <c r="N97" s="3" t="e">
        <v>#N/A</v>
      </c>
    </row>
    <row r="98" spans="4:14" x14ac:dyDescent="0.2">
      <c r="D98" s="11" t="e">
        <v>#N/A</v>
      </c>
      <c r="E98" s="11" t="e">
        <v>#N/A</v>
      </c>
      <c r="F98" s="11" t="e">
        <f>SUBSTITUTE(_xll.qlRateHelperQuoteName(E98),"SB6L","SB6LBASIS")</f>
        <v>#VALUE!</v>
      </c>
      <c r="G98" s="144" t="e">
        <f>_xll.qlRateHelperRate($E98)-H98</f>
        <v>#VALUE!</v>
      </c>
      <c r="H98" s="10" t="e">
        <f>_xll.qlRateHelperRate($E98)</f>
        <v>#VALUE!</v>
      </c>
      <c r="I98" s="10" t="str">
        <f>IF(ISERROR(_xll.qlSwapRateHelperSpread($E98)),IF(ISERROR(_xll.qlFuturesRateHelperConvexityAdjustment($E98)),"--",_xll.qlFuturesRateHelperConvexityAdjustment($E98)),_xll.qlSwapRateHelperSpread($E98))</f>
        <v>--</v>
      </c>
      <c r="J98" s="9" t="e">
        <f>_xll.qlRateHelperEarliestDate($E98)</f>
        <v>#VALUE!</v>
      </c>
      <c r="K98" s="9" t="e">
        <f>_xll.qlRateHelperMaturityDate(E98)</f>
        <v>#VALUE!</v>
      </c>
      <c r="L98" s="8" t="e">
        <f>_xll.qlRateHelperPillarDate($E98)</f>
        <v>#VALUE!</v>
      </c>
      <c r="M98" s="73" t="e">
        <v>#N/A</v>
      </c>
      <c r="N98" s="3" t="e">
        <v>#N/A</v>
      </c>
    </row>
    <row r="99" spans="4:14" x14ac:dyDescent="0.2">
      <c r="D99" s="11" t="e">
        <v>#N/A</v>
      </c>
      <c r="E99" s="11" t="e">
        <v>#N/A</v>
      </c>
      <c r="F99" s="11" t="e">
        <f>SUBSTITUTE(_xll.qlRateHelperQuoteName(E99),"SB6L","SB6LBASIS")</f>
        <v>#VALUE!</v>
      </c>
      <c r="G99" s="144" t="e">
        <f>_xll.qlRateHelperRate($E99)-H99</f>
        <v>#VALUE!</v>
      </c>
      <c r="H99" s="10" t="e">
        <f>_xll.qlRateHelperRate($E99)</f>
        <v>#VALUE!</v>
      </c>
      <c r="I99" s="10" t="str">
        <f>IF(ISERROR(_xll.qlSwapRateHelperSpread($E99)),IF(ISERROR(_xll.qlFuturesRateHelperConvexityAdjustment($E99)),"--",_xll.qlFuturesRateHelperConvexityAdjustment($E99)),_xll.qlSwapRateHelperSpread($E99))</f>
        <v>--</v>
      </c>
      <c r="J99" s="9" t="e">
        <f>_xll.qlRateHelperEarliestDate($E99)</f>
        <v>#VALUE!</v>
      </c>
      <c r="K99" s="9" t="e">
        <f>_xll.qlRateHelperMaturityDate(E99)</f>
        <v>#VALUE!</v>
      </c>
      <c r="L99" s="8" t="e">
        <f>_xll.qlRateHelperPillarDate($E99)</f>
        <v>#VALUE!</v>
      </c>
      <c r="M99" s="73" t="e">
        <v>#N/A</v>
      </c>
      <c r="N99" s="3" t="e">
        <v>#N/A</v>
      </c>
    </row>
    <row r="100" spans="4:14" x14ac:dyDescent="0.2">
      <c r="D100" s="11" t="e">
        <v>#N/A</v>
      </c>
      <c r="E100" s="11" t="e">
        <v>#N/A</v>
      </c>
      <c r="F100" s="11" t="e">
        <f>SUBSTITUTE(_xll.qlRateHelperQuoteName(E100),"SB6L","SB6LBASIS")</f>
        <v>#VALUE!</v>
      </c>
      <c r="G100" s="144" t="e">
        <f>_xll.qlRateHelperRate($E100)-H100</f>
        <v>#VALUE!</v>
      </c>
      <c r="H100" s="10" t="e">
        <f>_xll.qlRateHelperRate($E100)</f>
        <v>#VALUE!</v>
      </c>
      <c r="I100" s="10" t="str">
        <f>IF(ISERROR(_xll.qlSwapRateHelperSpread($E100)),IF(ISERROR(_xll.qlFuturesRateHelperConvexityAdjustment($E100)),"--",_xll.qlFuturesRateHelperConvexityAdjustment($E100)),_xll.qlSwapRateHelperSpread($E100))</f>
        <v>--</v>
      </c>
      <c r="J100" s="9" t="e">
        <f>_xll.qlRateHelperEarliestDate($E100)</f>
        <v>#VALUE!</v>
      </c>
      <c r="K100" s="9" t="e">
        <f>_xll.qlRateHelperMaturityDate(E100)</f>
        <v>#VALUE!</v>
      </c>
      <c r="L100" s="8" t="e">
        <f>_xll.qlRateHelperPillarDate($E100)</f>
        <v>#VALUE!</v>
      </c>
      <c r="M100" s="73" t="e">
        <v>#N/A</v>
      </c>
      <c r="N100" s="3" t="e">
        <v>#N/A</v>
      </c>
    </row>
    <row r="101" spans="4:14" x14ac:dyDescent="0.2">
      <c r="D101" s="11" t="e">
        <v>#N/A</v>
      </c>
      <c r="E101" s="11" t="e">
        <v>#N/A</v>
      </c>
      <c r="F101" s="11" t="e">
        <f>SUBSTITUTE(_xll.qlRateHelperQuoteName(E101),"SB6L","SB6LBASIS")</f>
        <v>#VALUE!</v>
      </c>
      <c r="G101" s="144" t="e">
        <f>_xll.qlRateHelperRate($E101)-H101</f>
        <v>#VALUE!</v>
      </c>
      <c r="H101" s="10" t="e">
        <f>_xll.qlRateHelperRate($E101)</f>
        <v>#VALUE!</v>
      </c>
      <c r="I101" s="10" t="str">
        <f>IF(ISERROR(_xll.qlSwapRateHelperSpread($E101)),IF(ISERROR(_xll.qlFuturesRateHelperConvexityAdjustment($E101)),"--",_xll.qlFuturesRateHelperConvexityAdjustment($E101)),_xll.qlSwapRateHelperSpread($E101))</f>
        <v>--</v>
      </c>
      <c r="J101" s="9" t="e">
        <f>_xll.qlRateHelperEarliestDate($E101)</f>
        <v>#VALUE!</v>
      </c>
      <c r="K101" s="9" t="e">
        <f>_xll.qlRateHelperMaturityDate(E101)</f>
        <v>#VALUE!</v>
      </c>
      <c r="L101" s="8" t="e">
        <f>_xll.qlRateHelperPillarDate($E101)</f>
        <v>#VALUE!</v>
      </c>
      <c r="M101" s="73" t="e">
        <v>#N/A</v>
      </c>
      <c r="N101" s="3" t="e">
        <v>#N/A</v>
      </c>
    </row>
    <row r="102" spans="4:14" x14ac:dyDescent="0.2">
      <c r="D102" s="11" t="e">
        <v>#N/A</v>
      </c>
      <c r="E102" s="11" t="e">
        <v>#N/A</v>
      </c>
      <c r="F102" s="11" t="e">
        <f>SUBSTITUTE(_xll.qlRateHelperQuoteName(E102),"SB6L","SB6LBASIS")</f>
        <v>#VALUE!</v>
      </c>
      <c r="G102" s="144" t="e">
        <f>_xll.qlRateHelperRate($E102)-H102</f>
        <v>#VALUE!</v>
      </c>
      <c r="H102" s="10" t="e">
        <f>_xll.qlRateHelperRate($E102)</f>
        <v>#VALUE!</v>
      </c>
      <c r="I102" s="10" t="str">
        <f>IF(ISERROR(_xll.qlSwapRateHelperSpread($E102)),IF(ISERROR(_xll.qlFuturesRateHelperConvexityAdjustment($E102)),"--",_xll.qlFuturesRateHelperConvexityAdjustment($E102)),_xll.qlSwapRateHelperSpread($E102))</f>
        <v>--</v>
      </c>
      <c r="J102" s="9" t="e">
        <f>_xll.qlRateHelperEarliestDate($E102)</f>
        <v>#VALUE!</v>
      </c>
      <c r="K102" s="9" t="e">
        <f>_xll.qlRateHelperMaturityDate(E102)</f>
        <v>#VALUE!</v>
      </c>
      <c r="L102" s="8" t="e">
        <f>_xll.qlRateHelperPillarDate($E102)</f>
        <v>#VALUE!</v>
      </c>
      <c r="M102" s="73" t="e">
        <v>#N/A</v>
      </c>
      <c r="N102" s="3" t="e">
        <v>#N/A</v>
      </c>
    </row>
    <row r="103" spans="4:14" x14ac:dyDescent="0.2">
      <c r="D103" s="11" t="e">
        <v>#N/A</v>
      </c>
      <c r="E103" s="11" t="e">
        <v>#N/A</v>
      </c>
      <c r="F103" s="11" t="e">
        <f>SUBSTITUTE(_xll.qlRateHelperQuoteName(E103),"SB6L","SB6LBASIS")</f>
        <v>#VALUE!</v>
      </c>
      <c r="G103" s="144" t="e">
        <f>_xll.qlRateHelperRate($E103)-H103</f>
        <v>#VALUE!</v>
      </c>
      <c r="H103" s="10" t="e">
        <f>_xll.qlRateHelperRate($E103)</f>
        <v>#VALUE!</v>
      </c>
      <c r="I103" s="10" t="str">
        <f>IF(ISERROR(_xll.qlSwapRateHelperSpread($E103)),IF(ISERROR(_xll.qlFuturesRateHelperConvexityAdjustment($E103)),"--",_xll.qlFuturesRateHelperConvexityAdjustment($E103)),_xll.qlSwapRateHelperSpread($E103))</f>
        <v>--</v>
      </c>
      <c r="J103" s="9" t="e">
        <f>_xll.qlRateHelperEarliestDate($E103)</f>
        <v>#VALUE!</v>
      </c>
      <c r="K103" s="9" t="e">
        <f>_xll.qlRateHelperMaturityDate(E103)</f>
        <v>#VALUE!</v>
      </c>
      <c r="L103" s="8" t="e">
        <f>_xll.qlRateHelperPillarDate($E103)</f>
        <v>#VALUE!</v>
      </c>
      <c r="M103" s="73" t="e">
        <v>#N/A</v>
      </c>
      <c r="N103" s="3" t="e">
        <v>#N/A</v>
      </c>
    </row>
    <row r="104" spans="4:14" x14ac:dyDescent="0.2">
      <c r="D104" s="11" t="e">
        <v>#N/A</v>
      </c>
      <c r="E104" s="11" t="e">
        <v>#N/A</v>
      </c>
      <c r="F104" s="11" t="e">
        <f>SUBSTITUTE(_xll.qlRateHelperQuoteName(E104),"SB6L","SB6LBASIS")</f>
        <v>#VALUE!</v>
      </c>
      <c r="G104" s="144" t="e">
        <f>_xll.qlRateHelperRate($E104)-H104</f>
        <v>#VALUE!</v>
      </c>
      <c r="H104" s="10" t="e">
        <f>_xll.qlRateHelperRate($E104)</f>
        <v>#VALUE!</v>
      </c>
      <c r="I104" s="10" t="str">
        <f>IF(ISERROR(_xll.qlSwapRateHelperSpread($E104)),IF(ISERROR(_xll.qlFuturesRateHelperConvexityAdjustment($E104)),"--",_xll.qlFuturesRateHelperConvexityAdjustment($E104)),_xll.qlSwapRateHelperSpread($E104))</f>
        <v>--</v>
      </c>
      <c r="J104" s="9" t="e">
        <f>_xll.qlRateHelperEarliestDate($E104)</f>
        <v>#VALUE!</v>
      </c>
      <c r="K104" s="9" t="e">
        <f>_xll.qlRateHelperMaturityDate(E104)</f>
        <v>#VALUE!</v>
      </c>
      <c r="L104" s="8" t="e">
        <f>_xll.qlRateHelperPillarDate($E104)</f>
        <v>#VALUE!</v>
      </c>
      <c r="M104" s="73" t="e">
        <v>#N/A</v>
      </c>
      <c r="N104" s="3" t="e">
        <v>#N/A</v>
      </c>
    </row>
    <row r="105" spans="4:14" x14ac:dyDescent="0.2">
      <c r="D105" s="11" t="e">
        <v>#N/A</v>
      </c>
      <c r="E105" s="11" t="e">
        <v>#N/A</v>
      </c>
      <c r="F105" s="11" t="e">
        <f>SUBSTITUTE(_xll.qlRateHelperQuoteName(E105),"SB6L","SB6LBASIS")</f>
        <v>#VALUE!</v>
      </c>
      <c r="G105" s="144" t="e">
        <f>_xll.qlRateHelperRate($E105)-H105</f>
        <v>#VALUE!</v>
      </c>
      <c r="H105" s="10" t="e">
        <f>_xll.qlRateHelperRate($E105)</f>
        <v>#VALUE!</v>
      </c>
      <c r="I105" s="10" t="str">
        <f>IF(ISERROR(_xll.qlSwapRateHelperSpread($E105)),IF(ISERROR(_xll.qlFuturesRateHelperConvexityAdjustment($E105)),"--",_xll.qlFuturesRateHelperConvexityAdjustment($E105)),_xll.qlSwapRateHelperSpread($E105))</f>
        <v>--</v>
      </c>
      <c r="J105" s="9" t="e">
        <f>_xll.qlRateHelperEarliestDate($E105)</f>
        <v>#VALUE!</v>
      </c>
      <c r="K105" s="9" t="e">
        <f>_xll.qlRateHelperMaturityDate(E105)</f>
        <v>#VALUE!</v>
      </c>
      <c r="L105" s="8" t="e">
        <f>_xll.qlRateHelperPillarDate($E105)</f>
        <v>#VALUE!</v>
      </c>
      <c r="M105" s="73" t="e">
        <v>#N/A</v>
      </c>
      <c r="N105" s="3" t="e">
        <v>#N/A</v>
      </c>
    </row>
    <row r="106" spans="4:14" x14ac:dyDescent="0.2">
      <c r="D106" s="11" t="e">
        <v>#N/A</v>
      </c>
      <c r="E106" s="11" t="e">
        <v>#N/A</v>
      </c>
      <c r="F106" s="11" t="e">
        <f>SUBSTITUTE(_xll.qlRateHelperQuoteName(E106),"SB6L","SB6LBASIS")</f>
        <v>#VALUE!</v>
      </c>
      <c r="G106" s="144" t="e">
        <f>_xll.qlRateHelperRate($E106)-H106</f>
        <v>#VALUE!</v>
      </c>
      <c r="H106" s="10" t="e">
        <f>_xll.qlRateHelperRate($E106)</f>
        <v>#VALUE!</v>
      </c>
      <c r="I106" s="10" t="str">
        <f>IF(ISERROR(_xll.qlSwapRateHelperSpread($E106)),IF(ISERROR(_xll.qlFuturesRateHelperConvexityAdjustment($E106)),"--",_xll.qlFuturesRateHelperConvexityAdjustment($E106)),_xll.qlSwapRateHelperSpread($E106))</f>
        <v>--</v>
      </c>
      <c r="J106" s="9" t="e">
        <f>_xll.qlRateHelperEarliestDate($E106)</f>
        <v>#VALUE!</v>
      </c>
      <c r="K106" s="9" t="e">
        <f>_xll.qlRateHelperMaturityDate(E106)</f>
        <v>#VALUE!</v>
      </c>
      <c r="L106" s="8" t="e">
        <f>_xll.qlRateHelperPillarDate($E106)</f>
        <v>#VALUE!</v>
      </c>
      <c r="M106" s="73" t="e">
        <v>#N/A</v>
      </c>
      <c r="N106" s="3" t="e">
        <v>#N/A</v>
      </c>
    </row>
    <row r="107" spans="4:14" x14ac:dyDescent="0.2">
      <c r="D107" s="11" t="e">
        <v>#N/A</v>
      </c>
      <c r="E107" s="11" t="e">
        <v>#N/A</v>
      </c>
      <c r="F107" s="11" t="e">
        <f>SUBSTITUTE(_xll.qlRateHelperQuoteName(E107),"SB6L","SB6LBASIS")</f>
        <v>#VALUE!</v>
      </c>
      <c r="G107" s="144" t="e">
        <f>_xll.qlRateHelperRate($E107)-H107</f>
        <v>#VALUE!</v>
      </c>
      <c r="H107" s="10" t="e">
        <f>_xll.qlRateHelperRate($E107)</f>
        <v>#VALUE!</v>
      </c>
      <c r="I107" s="10" t="str">
        <f>IF(ISERROR(_xll.qlSwapRateHelperSpread($E107)),IF(ISERROR(_xll.qlFuturesRateHelperConvexityAdjustment($E107)),"--",_xll.qlFuturesRateHelperConvexityAdjustment($E107)),_xll.qlSwapRateHelperSpread($E107))</f>
        <v>--</v>
      </c>
      <c r="J107" s="9" t="e">
        <f>_xll.qlRateHelperEarliestDate($E107)</f>
        <v>#VALUE!</v>
      </c>
      <c r="K107" s="9" t="e">
        <f>_xll.qlRateHelperMaturityDate(E107)</f>
        <v>#VALUE!</v>
      </c>
      <c r="L107" s="8" t="e">
        <f>_xll.qlRateHelperPillarDate($E107)</f>
        <v>#VALUE!</v>
      </c>
      <c r="M107" s="73" t="e">
        <v>#N/A</v>
      </c>
      <c r="N107" s="3" t="e">
        <v>#N/A</v>
      </c>
    </row>
    <row r="108" spans="4:14" x14ac:dyDescent="0.2">
      <c r="D108" s="11" t="e">
        <v>#N/A</v>
      </c>
      <c r="E108" s="11" t="e">
        <v>#N/A</v>
      </c>
      <c r="F108" s="11" t="e">
        <f>SUBSTITUTE(_xll.qlRateHelperQuoteName(E108),"SB6L","SB6LBASIS")</f>
        <v>#VALUE!</v>
      </c>
      <c r="G108" s="144" t="e">
        <f>_xll.qlRateHelperRate($E108)-H108</f>
        <v>#VALUE!</v>
      </c>
      <c r="H108" s="10" t="e">
        <f>_xll.qlRateHelperRate($E108)</f>
        <v>#VALUE!</v>
      </c>
      <c r="I108" s="10" t="str">
        <f>IF(ISERROR(_xll.qlSwapRateHelperSpread($E108)),IF(ISERROR(_xll.qlFuturesRateHelperConvexityAdjustment($E108)),"--",_xll.qlFuturesRateHelperConvexityAdjustment($E108)),_xll.qlSwapRateHelperSpread($E108))</f>
        <v>--</v>
      </c>
      <c r="J108" s="9" t="e">
        <f>_xll.qlRateHelperEarliestDate($E108)</f>
        <v>#VALUE!</v>
      </c>
      <c r="K108" s="9" t="e">
        <f>_xll.qlRateHelperMaturityDate(E108)</f>
        <v>#VALUE!</v>
      </c>
      <c r="L108" s="8" t="e">
        <f>_xll.qlRateHelperPillarDate($E108)</f>
        <v>#VALUE!</v>
      </c>
      <c r="M108" s="73" t="e">
        <v>#N/A</v>
      </c>
      <c r="N108" s="3" t="e">
        <v>#N/A</v>
      </c>
    </row>
    <row r="109" spans="4:14" x14ac:dyDescent="0.2">
      <c r="D109" s="11" t="e">
        <v>#N/A</v>
      </c>
      <c r="E109" s="11" t="e">
        <v>#N/A</v>
      </c>
      <c r="F109" s="11" t="e">
        <f>SUBSTITUTE(_xll.qlRateHelperQuoteName(E109),"SB6L","SB6LBASIS")</f>
        <v>#VALUE!</v>
      </c>
      <c r="G109" s="144" t="e">
        <f>_xll.qlRateHelperRate($E109)-H109</f>
        <v>#VALUE!</v>
      </c>
      <c r="H109" s="10" t="e">
        <f>_xll.qlRateHelperRate($E109)</f>
        <v>#VALUE!</v>
      </c>
      <c r="I109" s="10" t="str">
        <f>IF(ISERROR(_xll.qlSwapRateHelperSpread($E109)),IF(ISERROR(_xll.qlFuturesRateHelperConvexityAdjustment($E109)),"--",_xll.qlFuturesRateHelperConvexityAdjustment($E109)),_xll.qlSwapRateHelperSpread($E109))</f>
        <v>--</v>
      </c>
      <c r="J109" s="9" t="e">
        <f>_xll.qlRateHelperEarliestDate($E109)</f>
        <v>#VALUE!</v>
      </c>
      <c r="K109" s="9" t="e">
        <f>_xll.qlRateHelperMaturityDate(E109)</f>
        <v>#VALUE!</v>
      </c>
      <c r="L109" s="8" t="e">
        <f>_xll.qlRateHelperPillarDate($E109)</f>
        <v>#VALUE!</v>
      </c>
      <c r="M109" s="73" t="e">
        <v>#N/A</v>
      </c>
      <c r="N109" s="3" t="e">
        <v>#N/A</v>
      </c>
    </row>
    <row r="110" spans="4:14" x14ac:dyDescent="0.2">
      <c r="D110" s="11" t="e">
        <v>#N/A</v>
      </c>
      <c r="E110" s="11" t="e">
        <v>#N/A</v>
      </c>
      <c r="F110" s="11" t="e">
        <f>SUBSTITUTE(_xll.qlRateHelperQuoteName(E110),"SB6L","SB6LBASIS")</f>
        <v>#VALUE!</v>
      </c>
      <c r="G110" s="144" t="e">
        <f>_xll.qlRateHelperRate($E110)-H110</f>
        <v>#VALUE!</v>
      </c>
      <c r="H110" s="10" t="e">
        <f>_xll.qlRateHelperRate($E110)</f>
        <v>#VALUE!</v>
      </c>
      <c r="I110" s="10" t="str">
        <f>IF(ISERROR(_xll.qlSwapRateHelperSpread($E110)),IF(ISERROR(_xll.qlFuturesRateHelperConvexityAdjustment($E110)),"--",_xll.qlFuturesRateHelperConvexityAdjustment($E110)),_xll.qlSwapRateHelperSpread($E110))</f>
        <v>--</v>
      </c>
      <c r="J110" s="9" t="e">
        <f>_xll.qlRateHelperEarliestDate($E110)</f>
        <v>#VALUE!</v>
      </c>
      <c r="K110" s="9" t="e">
        <f>_xll.qlRateHelperMaturityDate(E110)</f>
        <v>#VALUE!</v>
      </c>
      <c r="L110" s="8" t="e">
        <f>_xll.qlRateHelperPillarDate($E110)</f>
        <v>#VALUE!</v>
      </c>
      <c r="M110" s="73" t="e">
        <v>#N/A</v>
      </c>
      <c r="N110" s="3" t="e">
        <v>#N/A</v>
      </c>
    </row>
    <row r="111" spans="4:14" x14ac:dyDescent="0.2">
      <c r="D111" s="11" t="e">
        <v>#N/A</v>
      </c>
      <c r="E111" s="11" t="e">
        <v>#N/A</v>
      </c>
      <c r="F111" s="11" t="e">
        <f>SUBSTITUTE(_xll.qlRateHelperQuoteName(E111),"SB6L","SB6LBASIS")</f>
        <v>#VALUE!</v>
      </c>
      <c r="G111" s="144" t="e">
        <f>_xll.qlRateHelperRate($E111)-H111</f>
        <v>#VALUE!</v>
      </c>
      <c r="H111" s="10" t="e">
        <f>_xll.qlRateHelperRate($E111)</f>
        <v>#VALUE!</v>
      </c>
      <c r="I111" s="10" t="str">
        <f>IF(ISERROR(_xll.qlSwapRateHelperSpread($E111)),IF(ISERROR(_xll.qlFuturesRateHelperConvexityAdjustment($E111)),"--",_xll.qlFuturesRateHelperConvexityAdjustment($E111)),_xll.qlSwapRateHelperSpread($E111))</f>
        <v>--</v>
      </c>
      <c r="J111" s="9" t="e">
        <f>_xll.qlRateHelperEarliestDate($E111)</f>
        <v>#VALUE!</v>
      </c>
      <c r="K111" s="9" t="e">
        <f>_xll.qlRateHelperMaturityDate(E111)</f>
        <v>#VALUE!</v>
      </c>
      <c r="L111" s="8" t="e">
        <f>_xll.qlRateHelperPillarDate($E111)</f>
        <v>#VALUE!</v>
      </c>
      <c r="M111" s="73" t="e">
        <v>#N/A</v>
      </c>
      <c r="N111" s="3" t="e">
        <v>#N/A</v>
      </c>
    </row>
    <row r="112" spans="4:14" x14ac:dyDescent="0.2">
      <c r="D112" s="11" t="e">
        <v>#N/A</v>
      </c>
      <c r="E112" s="11" t="e">
        <v>#N/A</v>
      </c>
      <c r="F112" s="11" t="e">
        <f>SUBSTITUTE(_xll.qlRateHelperQuoteName(E112),"SB6L","SB6LBASIS")</f>
        <v>#VALUE!</v>
      </c>
      <c r="G112" s="144" t="e">
        <f>_xll.qlRateHelperRate($E112)-H112</f>
        <v>#VALUE!</v>
      </c>
      <c r="H112" s="10" t="e">
        <f>_xll.qlRateHelperRate($E112)</f>
        <v>#VALUE!</v>
      </c>
      <c r="I112" s="10" t="str">
        <f>IF(ISERROR(_xll.qlSwapRateHelperSpread($E112)),IF(ISERROR(_xll.qlFuturesRateHelperConvexityAdjustment($E112)),"--",_xll.qlFuturesRateHelperConvexityAdjustment($E112)),_xll.qlSwapRateHelperSpread($E112))</f>
        <v>--</v>
      </c>
      <c r="J112" s="9" t="e">
        <f>_xll.qlRateHelperEarliestDate($E112)</f>
        <v>#VALUE!</v>
      </c>
      <c r="K112" s="9" t="e">
        <f>_xll.qlRateHelperMaturityDate(E112)</f>
        <v>#VALUE!</v>
      </c>
      <c r="L112" s="8" t="e">
        <f>_xll.qlRateHelperPillarDate($E112)</f>
        <v>#VALUE!</v>
      </c>
      <c r="M112" s="73" t="e">
        <v>#N/A</v>
      </c>
      <c r="N112" s="3" t="e">
        <v>#N/A</v>
      </c>
    </row>
    <row r="113" spans="4:14" x14ac:dyDescent="0.2">
      <c r="D113" s="11" t="e">
        <v>#N/A</v>
      </c>
      <c r="E113" s="11" t="e">
        <v>#N/A</v>
      </c>
      <c r="F113" s="11" t="e">
        <f>SUBSTITUTE(_xll.qlRateHelperQuoteName(E113),"SB6L","SB6LBASIS")</f>
        <v>#VALUE!</v>
      </c>
      <c r="G113" s="144" t="e">
        <f>_xll.qlRateHelperRate($E113)-H113</f>
        <v>#VALUE!</v>
      </c>
      <c r="H113" s="10" t="e">
        <f>_xll.qlRateHelperRate($E113)</f>
        <v>#VALUE!</v>
      </c>
      <c r="I113" s="10" t="str">
        <f>IF(ISERROR(_xll.qlSwapRateHelperSpread($E113)),IF(ISERROR(_xll.qlFuturesRateHelperConvexityAdjustment($E113)),"--",_xll.qlFuturesRateHelperConvexityAdjustment($E113)),_xll.qlSwapRateHelperSpread($E113))</f>
        <v>--</v>
      </c>
      <c r="J113" s="9" t="e">
        <f>_xll.qlRateHelperEarliestDate($E113)</f>
        <v>#VALUE!</v>
      </c>
      <c r="K113" s="9" t="e">
        <f>_xll.qlRateHelperMaturityDate(E113)</f>
        <v>#VALUE!</v>
      </c>
      <c r="L113" s="8" t="e">
        <f>_xll.qlRateHelperPillarDate($E113)</f>
        <v>#VALUE!</v>
      </c>
      <c r="M113" s="73" t="e">
        <v>#N/A</v>
      </c>
      <c r="N113" s="3" t="e">
        <v>#N/A</v>
      </c>
    </row>
    <row r="114" spans="4:14" x14ac:dyDescent="0.2">
      <c r="D114" s="11" t="e">
        <v>#N/A</v>
      </c>
      <c r="E114" s="11" t="e">
        <v>#N/A</v>
      </c>
      <c r="F114" s="11" t="e">
        <f>SUBSTITUTE(_xll.qlRateHelperQuoteName(E114),"SB6L","SB6LBASIS")</f>
        <v>#VALUE!</v>
      </c>
      <c r="G114" s="144" t="e">
        <f>_xll.qlRateHelperRate($E114)-H114</f>
        <v>#VALUE!</v>
      </c>
      <c r="H114" s="10" t="e">
        <f>_xll.qlRateHelperRate($E114)</f>
        <v>#VALUE!</v>
      </c>
      <c r="I114" s="10" t="str">
        <f>IF(ISERROR(_xll.qlSwapRateHelperSpread($E114)),IF(ISERROR(_xll.qlFuturesRateHelperConvexityAdjustment($E114)),"--",_xll.qlFuturesRateHelperConvexityAdjustment($E114)),_xll.qlSwapRateHelperSpread($E114))</f>
        <v>--</v>
      </c>
      <c r="J114" s="9" t="e">
        <f>_xll.qlRateHelperEarliestDate($E114)</f>
        <v>#VALUE!</v>
      </c>
      <c r="K114" s="9" t="e">
        <f>_xll.qlRateHelperMaturityDate(E114)</f>
        <v>#VALUE!</v>
      </c>
      <c r="L114" s="8" t="e">
        <f>_xll.qlRateHelperPillarDate($E114)</f>
        <v>#VALUE!</v>
      </c>
      <c r="M114" s="73" t="e">
        <v>#N/A</v>
      </c>
      <c r="N114" s="3" t="e">
        <v>#N/A</v>
      </c>
    </row>
    <row r="115" spans="4:14" x14ac:dyDescent="0.2">
      <c r="D115" s="11" t="e">
        <v>#N/A</v>
      </c>
      <c r="E115" s="11" t="e">
        <v>#N/A</v>
      </c>
      <c r="F115" s="11" t="e">
        <f>SUBSTITUTE(_xll.qlRateHelperQuoteName(E115),"SB6L","SB6LBASIS")</f>
        <v>#VALUE!</v>
      </c>
      <c r="G115" s="144" t="e">
        <f>_xll.qlRateHelperRate($E115)-H115</f>
        <v>#VALUE!</v>
      </c>
      <c r="H115" s="10" t="e">
        <f>_xll.qlRateHelperRate($E115)</f>
        <v>#VALUE!</v>
      </c>
      <c r="I115" s="10" t="str">
        <f>IF(ISERROR(_xll.qlSwapRateHelperSpread($E115)),IF(ISERROR(_xll.qlFuturesRateHelperConvexityAdjustment($E115)),"--",_xll.qlFuturesRateHelperConvexityAdjustment($E115)),_xll.qlSwapRateHelperSpread($E115))</f>
        <v>--</v>
      </c>
      <c r="J115" s="9" t="e">
        <f>_xll.qlRateHelperEarliestDate($E115)</f>
        <v>#VALUE!</v>
      </c>
      <c r="K115" s="9" t="e">
        <f>_xll.qlRateHelperMaturityDate(E115)</f>
        <v>#VALUE!</v>
      </c>
      <c r="L115" s="8" t="e">
        <f>_xll.qlRateHelperPillarDate($E115)</f>
        <v>#VALUE!</v>
      </c>
      <c r="M115" s="73" t="e">
        <v>#N/A</v>
      </c>
      <c r="N115" s="3" t="e">
        <v>#N/A</v>
      </c>
    </row>
    <row r="116" spans="4:14" x14ac:dyDescent="0.2">
      <c r="D116" s="11" t="e">
        <v>#N/A</v>
      </c>
      <c r="E116" s="11" t="e">
        <v>#N/A</v>
      </c>
      <c r="F116" s="11" t="e">
        <f>SUBSTITUTE(_xll.qlRateHelperQuoteName(E116),"SB6L","SB6LBASIS")</f>
        <v>#VALUE!</v>
      </c>
      <c r="G116" s="144" t="e">
        <f>_xll.qlRateHelperRate($E116)-H116</f>
        <v>#VALUE!</v>
      </c>
      <c r="H116" s="10" t="e">
        <f>_xll.qlRateHelperRate($E116)</f>
        <v>#VALUE!</v>
      </c>
      <c r="I116" s="10" t="str">
        <f>IF(ISERROR(_xll.qlSwapRateHelperSpread($E116)),IF(ISERROR(_xll.qlFuturesRateHelperConvexityAdjustment($E116)),"--",_xll.qlFuturesRateHelperConvexityAdjustment($E116)),_xll.qlSwapRateHelperSpread($E116))</f>
        <v>--</v>
      </c>
      <c r="J116" s="9" t="e">
        <f>_xll.qlRateHelperEarliestDate($E116)</f>
        <v>#VALUE!</v>
      </c>
      <c r="K116" s="9" t="e">
        <f>_xll.qlRateHelperMaturityDate(E116)</f>
        <v>#VALUE!</v>
      </c>
      <c r="L116" s="8" t="e">
        <f>_xll.qlRateHelperPillarDate($E116)</f>
        <v>#VALUE!</v>
      </c>
      <c r="M116" s="73" t="e">
        <v>#N/A</v>
      </c>
      <c r="N116" s="3" t="e">
        <v>#N/A</v>
      </c>
    </row>
    <row r="117" spans="4:14" x14ac:dyDescent="0.2">
      <c r="D117" s="11" t="e">
        <v>#N/A</v>
      </c>
      <c r="E117" s="11" t="e">
        <v>#N/A</v>
      </c>
      <c r="F117" s="11" t="e">
        <f>SUBSTITUTE(_xll.qlRateHelperQuoteName(E117),"SB6L","SB6LBASIS")</f>
        <v>#VALUE!</v>
      </c>
      <c r="G117" s="144" t="e">
        <f>_xll.qlRateHelperRate($E117)-H117</f>
        <v>#VALUE!</v>
      </c>
      <c r="H117" s="10" t="e">
        <f>_xll.qlRateHelperRate($E117)</f>
        <v>#VALUE!</v>
      </c>
      <c r="I117" s="10" t="str">
        <f>IF(ISERROR(_xll.qlSwapRateHelperSpread($E117)),IF(ISERROR(_xll.qlFuturesRateHelperConvexityAdjustment($E117)),"--",_xll.qlFuturesRateHelperConvexityAdjustment($E117)),_xll.qlSwapRateHelperSpread($E117))</f>
        <v>--</v>
      </c>
      <c r="J117" s="9" t="e">
        <f>_xll.qlRateHelperEarliestDate($E117)</f>
        <v>#VALUE!</v>
      </c>
      <c r="K117" s="9" t="e">
        <f>_xll.qlRateHelperMaturityDate(E117)</f>
        <v>#VALUE!</v>
      </c>
      <c r="L117" s="8" t="e">
        <f>_xll.qlRateHelperPillarDate($E117)</f>
        <v>#VALUE!</v>
      </c>
      <c r="M117" s="73" t="e">
        <v>#N/A</v>
      </c>
      <c r="N117" s="3" t="e">
        <v>#N/A</v>
      </c>
    </row>
    <row r="118" spans="4:14" x14ac:dyDescent="0.2">
      <c r="D118" s="11" t="e">
        <v>#N/A</v>
      </c>
      <c r="E118" s="11" t="e">
        <v>#N/A</v>
      </c>
      <c r="F118" s="11" t="e">
        <f>SUBSTITUTE(_xll.qlRateHelperQuoteName(E118),"SB6L","SB6LBASIS")</f>
        <v>#VALUE!</v>
      </c>
      <c r="G118" s="144" t="e">
        <f>_xll.qlRateHelperRate($E118)-H118</f>
        <v>#VALUE!</v>
      </c>
      <c r="H118" s="10" t="e">
        <f>_xll.qlRateHelperRate($E118)</f>
        <v>#VALUE!</v>
      </c>
      <c r="I118" s="10" t="str">
        <f>IF(ISERROR(_xll.qlSwapRateHelperSpread($E118)),IF(ISERROR(_xll.qlFuturesRateHelperConvexityAdjustment($E118)),"--",_xll.qlFuturesRateHelperConvexityAdjustment($E118)),_xll.qlSwapRateHelperSpread($E118))</f>
        <v>--</v>
      </c>
      <c r="J118" s="9" t="e">
        <f>_xll.qlRateHelperEarliestDate($E118)</f>
        <v>#VALUE!</v>
      </c>
      <c r="K118" s="9" t="e">
        <f>_xll.qlRateHelperMaturityDate(E118)</f>
        <v>#VALUE!</v>
      </c>
      <c r="L118" s="8" t="e">
        <f>_xll.qlRateHelperPillarDate($E118)</f>
        <v>#VALUE!</v>
      </c>
      <c r="M118" s="73" t="e">
        <v>#N/A</v>
      </c>
      <c r="N118" s="3" t="e">
        <v>#N/A</v>
      </c>
    </row>
    <row r="119" spans="4:14" x14ac:dyDescent="0.2">
      <c r="D119" s="11" t="e">
        <v>#N/A</v>
      </c>
      <c r="E119" s="11" t="e">
        <v>#N/A</v>
      </c>
      <c r="F119" s="11" t="e">
        <f>SUBSTITUTE(_xll.qlRateHelperQuoteName(E119),"SB6L","SB6LBASIS")</f>
        <v>#VALUE!</v>
      </c>
      <c r="G119" s="144" t="e">
        <f>_xll.qlRateHelperRate($E119)-H119</f>
        <v>#VALUE!</v>
      </c>
      <c r="H119" s="10" t="e">
        <f>_xll.qlRateHelperRate($E119)</f>
        <v>#VALUE!</v>
      </c>
      <c r="I119" s="10" t="str">
        <f>IF(ISERROR(_xll.qlSwapRateHelperSpread($E119)),IF(ISERROR(_xll.qlFuturesRateHelperConvexityAdjustment($E119)),"--",_xll.qlFuturesRateHelperConvexityAdjustment($E119)),_xll.qlSwapRateHelperSpread($E119))</f>
        <v>--</v>
      </c>
      <c r="J119" s="9" t="e">
        <f>_xll.qlRateHelperEarliestDate($E119)</f>
        <v>#VALUE!</v>
      </c>
      <c r="K119" s="9" t="e">
        <f>_xll.qlRateHelperMaturityDate(E119)</f>
        <v>#VALUE!</v>
      </c>
      <c r="L119" s="8" t="e">
        <f>_xll.qlRateHelperPillarDate($E119)</f>
        <v>#VALUE!</v>
      </c>
      <c r="M119" s="73" t="e">
        <v>#N/A</v>
      </c>
      <c r="N119" s="3" t="e">
        <v>#N/A</v>
      </c>
    </row>
    <row r="120" spans="4:14" x14ac:dyDescent="0.2">
      <c r="D120" s="11" t="e">
        <v>#N/A</v>
      </c>
      <c r="E120" s="11" t="e">
        <v>#N/A</v>
      </c>
      <c r="F120" s="11" t="e">
        <f>SUBSTITUTE(_xll.qlRateHelperQuoteName(E120),"SB6L","SB6LBASIS")</f>
        <v>#VALUE!</v>
      </c>
      <c r="G120" s="144" t="e">
        <f>_xll.qlRateHelperRate($E120)-H120</f>
        <v>#VALUE!</v>
      </c>
      <c r="H120" s="10" t="e">
        <f>_xll.qlRateHelperRate($E120)</f>
        <v>#VALUE!</v>
      </c>
      <c r="I120" s="10" t="str">
        <f>IF(ISERROR(_xll.qlSwapRateHelperSpread($E120)),IF(ISERROR(_xll.qlFuturesRateHelperConvexityAdjustment($E120)),"--",_xll.qlFuturesRateHelperConvexityAdjustment($E120)),_xll.qlSwapRateHelperSpread($E120))</f>
        <v>--</v>
      </c>
      <c r="J120" s="9" t="e">
        <f>_xll.qlRateHelperEarliestDate($E120)</f>
        <v>#VALUE!</v>
      </c>
      <c r="K120" s="9" t="e">
        <f>_xll.qlRateHelperMaturityDate(E120)</f>
        <v>#VALUE!</v>
      </c>
      <c r="L120" s="8" t="e">
        <f>_xll.qlRateHelperPillarDate($E120)</f>
        <v>#VALUE!</v>
      </c>
      <c r="M120" s="73" t="e">
        <v>#N/A</v>
      </c>
      <c r="N120" s="3" t="e">
        <v>#N/A</v>
      </c>
    </row>
    <row r="121" spans="4:14" x14ac:dyDescent="0.2">
      <c r="D121" s="11" t="e">
        <v>#N/A</v>
      </c>
      <c r="E121" s="11" t="e">
        <v>#N/A</v>
      </c>
      <c r="F121" s="11" t="e">
        <f>SUBSTITUTE(_xll.qlRateHelperQuoteName(E121),"SB6L","SB6LBASIS")</f>
        <v>#VALUE!</v>
      </c>
      <c r="G121" s="144" t="e">
        <f>_xll.qlRateHelperRate($E121)-H121</f>
        <v>#VALUE!</v>
      </c>
      <c r="H121" s="10" t="e">
        <f>_xll.qlRateHelperRate($E121)</f>
        <v>#VALUE!</v>
      </c>
      <c r="I121" s="10" t="str">
        <f>IF(ISERROR(_xll.qlSwapRateHelperSpread($E121)),IF(ISERROR(_xll.qlFuturesRateHelperConvexityAdjustment($E121)),"--",_xll.qlFuturesRateHelperConvexityAdjustment($E121)),_xll.qlSwapRateHelperSpread($E121))</f>
        <v>--</v>
      </c>
      <c r="J121" s="9" t="e">
        <f>_xll.qlRateHelperEarliestDate($E121)</f>
        <v>#VALUE!</v>
      </c>
      <c r="K121" s="9" t="e">
        <f>_xll.qlRateHelperMaturityDate(E121)</f>
        <v>#VALUE!</v>
      </c>
      <c r="L121" s="8" t="e">
        <f>_xll.qlRateHelperPillarDate($E121)</f>
        <v>#VALUE!</v>
      </c>
      <c r="M121" s="73" t="e">
        <v>#N/A</v>
      </c>
      <c r="N121" s="3" t="e">
        <v>#N/A</v>
      </c>
    </row>
    <row r="122" spans="4:14" x14ac:dyDescent="0.2">
      <c r="D122" s="11" t="e">
        <v>#N/A</v>
      </c>
      <c r="E122" s="11" t="e">
        <v>#N/A</v>
      </c>
      <c r="F122" s="11" t="e">
        <f>SUBSTITUTE(_xll.qlRateHelperQuoteName(E122),"SB6L","SB6LBASIS")</f>
        <v>#VALUE!</v>
      </c>
      <c r="G122" s="144" t="e">
        <f>_xll.qlRateHelperRate($E122)-H122</f>
        <v>#VALUE!</v>
      </c>
      <c r="H122" s="10" t="e">
        <f>_xll.qlRateHelperRate($E122)</f>
        <v>#VALUE!</v>
      </c>
      <c r="I122" s="10" t="str">
        <f>IF(ISERROR(_xll.qlSwapRateHelperSpread($E122)),IF(ISERROR(_xll.qlFuturesRateHelperConvexityAdjustment($E122)),"--",_xll.qlFuturesRateHelperConvexityAdjustment($E122)),_xll.qlSwapRateHelperSpread($E122))</f>
        <v>--</v>
      </c>
      <c r="J122" s="9" t="e">
        <f>_xll.qlRateHelperEarliestDate($E122)</f>
        <v>#VALUE!</v>
      </c>
      <c r="K122" s="9" t="e">
        <f>_xll.qlRateHelperMaturityDate(E122)</f>
        <v>#VALUE!</v>
      </c>
      <c r="L122" s="8" t="e">
        <f>_xll.qlRateHelperPillarDate($E122)</f>
        <v>#VALUE!</v>
      </c>
      <c r="M122" s="73" t="e">
        <v>#N/A</v>
      </c>
      <c r="N122" s="3" t="e">
        <v>#N/A</v>
      </c>
    </row>
    <row r="123" spans="4:14" x14ac:dyDescent="0.2">
      <c r="D123" s="11" t="e">
        <v>#N/A</v>
      </c>
      <c r="E123" s="11" t="e">
        <v>#N/A</v>
      </c>
      <c r="F123" s="11" t="e">
        <f>SUBSTITUTE(_xll.qlRateHelperQuoteName(E123),"SB6L","SB6LBASIS")</f>
        <v>#VALUE!</v>
      </c>
      <c r="G123" s="144" t="e">
        <f>_xll.qlRateHelperRate($E123)-H123</f>
        <v>#VALUE!</v>
      </c>
      <c r="H123" s="10" t="e">
        <f>_xll.qlRateHelperRate($E123)</f>
        <v>#VALUE!</v>
      </c>
      <c r="I123" s="10" t="str">
        <f>IF(ISERROR(_xll.qlSwapRateHelperSpread($E123)),IF(ISERROR(_xll.qlFuturesRateHelperConvexityAdjustment($E123)),"--",_xll.qlFuturesRateHelperConvexityAdjustment($E123)),_xll.qlSwapRateHelperSpread($E123))</f>
        <v>--</v>
      </c>
      <c r="J123" s="9" t="e">
        <f>_xll.qlRateHelperEarliestDate($E123)</f>
        <v>#VALUE!</v>
      </c>
      <c r="K123" s="9" t="e">
        <f>_xll.qlRateHelperMaturityDate(E123)</f>
        <v>#VALUE!</v>
      </c>
      <c r="L123" s="8" t="e">
        <f>_xll.qlRateHelperPillarDate($E123)</f>
        <v>#VALUE!</v>
      </c>
      <c r="M123" s="73" t="e">
        <v>#N/A</v>
      </c>
      <c r="N123" s="3" t="e">
        <v>#N/A</v>
      </c>
    </row>
    <row r="124" spans="4:14" x14ac:dyDescent="0.2">
      <c r="D124" s="11" t="e">
        <v>#N/A</v>
      </c>
      <c r="E124" s="11" t="e">
        <v>#N/A</v>
      </c>
      <c r="F124" s="11" t="e">
        <f>SUBSTITUTE(_xll.qlRateHelperQuoteName(E124),"SB6L","SB6LBASIS")</f>
        <v>#VALUE!</v>
      </c>
      <c r="G124" s="144" t="e">
        <f>_xll.qlRateHelperRate($E124)-H124</f>
        <v>#VALUE!</v>
      </c>
      <c r="H124" s="10" t="e">
        <f>_xll.qlRateHelperRate($E124)</f>
        <v>#VALUE!</v>
      </c>
      <c r="I124" s="10" t="str">
        <f>IF(ISERROR(_xll.qlSwapRateHelperSpread($E124)),IF(ISERROR(_xll.qlFuturesRateHelperConvexityAdjustment($E124)),"--",_xll.qlFuturesRateHelperConvexityAdjustment($E124)),_xll.qlSwapRateHelperSpread($E124))</f>
        <v>--</v>
      </c>
      <c r="J124" s="9" t="e">
        <f>_xll.qlRateHelperEarliestDate($E124)</f>
        <v>#VALUE!</v>
      </c>
      <c r="K124" s="9" t="e">
        <f>_xll.qlRateHelperMaturityDate(E124)</f>
        <v>#VALUE!</v>
      </c>
      <c r="L124" s="8" t="e">
        <f>_xll.qlRateHelperPillarDate($E124)</f>
        <v>#VALUE!</v>
      </c>
      <c r="M124" s="73" t="e">
        <v>#N/A</v>
      </c>
      <c r="N124" s="3" t="e">
        <v>#N/A</v>
      </c>
    </row>
    <row r="125" spans="4:14" x14ac:dyDescent="0.2">
      <c r="D125" s="11" t="e">
        <v>#N/A</v>
      </c>
      <c r="E125" s="11" t="e">
        <v>#N/A</v>
      </c>
      <c r="F125" s="11" t="e">
        <f>SUBSTITUTE(_xll.qlRateHelperQuoteName(E125),"SB6L","SB6LBASIS")</f>
        <v>#VALUE!</v>
      </c>
      <c r="G125" s="144" t="e">
        <f>_xll.qlRateHelperRate($E125)-H125</f>
        <v>#VALUE!</v>
      </c>
      <c r="H125" s="10" t="e">
        <f>_xll.qlRateHelperRate($E125)</f>
        <v>#VALUE!</v>
      </c>
      <c r="I125" s="10" t="str">
        <f>IF(ISERROR(_xll.qlSwapRateHelperSpread($E125)),IF(ISERROR(_xll.qlFuturesRateHelperConvexityAdjustment($E125)),"--",_xll.qlFuturesRateHelperConvexityAdjustment($E125)),_xll.qlSwapRateHelperSpread($E125))</f>
        <v>--</v>
      </c>
      <c r="J125" s="9" t="e">
        <f>_xll.qlRateHelperEarliestDate($E125)</f>
        <v>#VALUE!</v>
      </c>
      <c r="K125" s="9" t="e">
        <f>_xll.qlRateHelperMaturityDate(E125)</f>
        <v>#VALUE!</v>
      </c>
      <c r="L125" s="8" t="e">
        <f>_xll.qlRateHelperPillarDate($E125)</f>
        <v>#VALUE!</v>
      </c>
      <c r="M125" s="73" t="e">
        <v>#N/A</v>
      </c>
      <c r="N125" s="3" t="e">
        <v>#N/A</v>
      </c>
    </row>
    <row r="126" spans="4:14" ht="12" thickBot="1" x14ac:dyDescent="0.25">
      <c r="D126" s="7" t="e">
        <v>#N/A</v>
      </c>
      <c r="E126" s="7" t="e">
        <v>#N/A</v>
      </c>
      <c r="F126" s="11" t="e">
        <f>SUBSTITUTE(_xll.qlRateHelperQuoteName(E126),"SB6L","SB6LBASIS")</f>
        <v>#VALUE!</v>
      </c>
      <c r="G126" s="144" t="e">
        <f>_xll.qlRateHelperRate($E126)-H126</f>
        <v>#VALUE!</v>
      </c>
      <c r="H126" s="6" t="e">
        <f>_xll.qlRateHelperRate($E126)</f>
        <v>#VALUE!</v>
      </c>
      <c r="I126" s="6" t="str">
        <f>IF(ISERROR(_xll.qlSwapRateHelperSpread($E126)),IF(ISERROR(_xll.qlFuturesRateHelperConvexityAdjustment($E126)),"--",_xll.qlFuturesRateHelperConvexityAdjustment($E126)),_xll.qlSwapRateHelperSpread($E126))</f>
        <v>--</v>
      </c>
      <c r="J126" s="5" t="e">
        <f>_xll.qlRateHelperEarliestDate($E126)</f>
        <v>#VALUE!</v>
      </c>
      <c r="K126" s="5" t="e">
        <f>_xll.qlRateHelperMaturityDate(E126)</f>
        <v>#VALUE!</v>
      </c>
      <c r="L126" s="4" t="e">
        <f>_xll.qlRateHelperPillarDate($E126)</f>
        <v>#VALUE!</v>
      </c>
      <c r="M126" s="73" t="e">
        <v>#N/A</v>
      </c>
      <c r="N126" s="3"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9"/>
  <sheetViews>
    <sheetView workbookViewId="0">
      <selection activeCell="E3" sqref="E3"/>
    </sheetView>
  </sheetViews>
  <sheetFormatPr defaultRowHeight="11.25" x14ac:dyDescent="0.2"/>
  <cols>
    <col min="1" max="1" width="2.7109375" style="160" customWidth="1"/>
    <col min="2" max="2" width="3.7109375" style="160" customWidth="1"/>
    <col min="3" max="3" width="15.140625" style="160" bestFit="1" customWidth="1"/>
    <col min="4" max="4" width="21.42578125" style="160" bestFit="1" customWidth="1"/>
    <col min="5" max="5" width="21.42578125" style="162" customWidth="1"/>
    <col min="6" max="6" width="17.85546875" style="160" customWidth="1"/>
    <col min="7" max="7" width="20.7109375" style="160" customWidth="1"/>
    <col min="8" max="8" width="2.7109375" style="160" customWidth="1"/>
    <col min="9" max="16384" width="9.140625" style="160"/>
  </cols>
  <sheetData>
    <row r="1" spans="1:8" ht="11.25" customHeight="1" x14ac:dyDescent="0.2">
      <c r="A1" s="85"/>
      <c r="B1" s="54"/>
      <c r="C1" s="86" t="s">
        <v>55</v>
      </c>
      <c r="D1" s="87" t="str">
        <f>Currency&amp;"_YC"&amp;$C$1&amp;"RH"</f>
        <v>GBP_YC1MRH</v>
      </c>
      <c r="E1" s="88"/>
      <c r="F1" s="89" t="str">
        <f>$D$1&amp;"_Deposits.xml"</f>
        <v>GBP_YC1MRH_Deposits.xml</v>
      </c>
      <c r="G1" s="42"/>
      <c r="H1" s="90"/>
    </row>
    <row r="2" spans="1:8" ht="22.5" customHeight="1" x14ac:dyDescent="0.2">
      <c r="A2" s="47"/>
      <c r="B2" s="147"/>
      <c r="C2" s="147" t="s">
        <v>57</v>
      </c>
      <c r="D2" s="147" t="s">
        <v>56</v>
      </c>
      <c r="E2" s="190" t="s">
        <v>95</v>
      </c>
      <c r="F2" s="149" t="str">
        <f>IF(Serialize,_xll.ohObjectSave(F4:F4,SerializationPath&amp;F1,FileOverwrite,Serialize),"---")</f>
        <v>---</v>
      </c>
      <c r="G2" s="145" t="str">
        <f>_xll.ohRangeRetrieveError(F2)</f>
        <v/>
      </c>
      <c r="H2" s="46"/>
    </row>
    <row r="3" spans="1:8" x14ac:dyDescent="0.2">
      <c r="A3" s="141"/>
      <c r="B3" s="155"/>
      <c r="C3" s="155"/>
      <c r="D3" s="155"/>
      <c r="E3" s="223" t="b">
        <v>1</v>
      </c>
      <c r="F3" s="155"/>
      <c r="G3" s="155"/>
      <c r="H3" s="142"/>
    </row>
    <row r="4" spans="1:8" ht="11.25" customHeight="1" x14ac:dyDescent="0.2">
      <c r="A4" s="47"/>
      <c r="B4" s="74" t="s">
        <v>55</v>
      </c>
      <c r="C4" s="52" t="str">
        <f>_xll.qlLibor(,Currency,B4,,,Trigger,ObjectOverwrite)</f>
        <v>obj_003fa#0002</v>
      </c>
      <c r="D4" s="191" t="str">
        <f>Currency&amp;B4&amp;"D"&amp;"_LCH"&amp;QuoteSuffix</f>
        <v>GBP1MD_LCH_Quote</v>
      </c>
      <c r="E4" s="143" t="str">
        <f>Currency&amp;B4&amp;"D"&amp;LCHQuoteSuffix</f>
        <v>GBP1MD_LCHQuote</v>
      </c>
      <c r="F4" s="48" t="str">
        <f>_xll.qlDepositRateHelper(,IF($E$3,E4,D4),C4,Permanent,Trigger,ObjectOverwrite)</f>
        <v>obj_003fb#0002</v>
      </c>
      <c r="G4" s="146" t="str">
        <f>_xll.ohRangeRetrieveError(F4)</f>
        <v/>
      </c>
      <c r="H4" s="46"/>
    </row>
    <row r="5" spans="1:8" ht="11.25" customHeight="1" thickBot="1" x14ac:dyDescent="0.25">
      <c r="A5" s="91"/>
      <c r="B5" s="50"/>
      <c r="C5" s="50"/>
      <c r="D5" s="50"/>
      <c r="E5" s="84"/>
      <c r="F5" s="50"/>
      <c r="G5" s="50"/>
      <c r="H5" s="51"/>
    </row>
    <row r="6" spans="1:8" ht="11.25" customHeight="1" x14ac:dyDescent="0.2"/>
    <row r="7" spans="1:8" ht="11.25" customHeight="1" x14ac:dyDescent="0.2"/>
    <row r="8" spans="1:8" ht="11.25" customHeight="1" x14ac:dyDescent="0.2"/>
    <row r="9" spans="1:8" ht="11.25" customHeight="1" x14ac:dyDescent="0.2"/>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11"/>
  <sheetViews>
    <sheetView workbookViewId="0">
      <selection activeCell="L4" sqref="L4"/>
    </sheetView>
  </sheetViews>
  <sheetFormatPr defaultRowHeight="11.25" x14ac:dyDescent="0.2"/>
  <cols>
    <col min="1" max="1" width="2.7109375" style="160" customWidth="1"/>
    <col min="2" max="2" width="6" style="160" bestFit="1" customWidth="1"/>
    <col min="3" max="3" width="6.7109375" style="160" customWidth="1"/>
    <col min="4" max="4" width="7" style="160" bestFit="1" customWidth="1"/>
    <col min="5" max="5" width="3" style="160" bestFit="1" customWidth="1"/>
    <col min="6" max="6" width="4" style="160" bestFit="1" customWidth="1"/>
    <col min="7" max="7" width="7" style="160" bestFit="1" customWidth="1"/>
    <col min="8" max="9" width="19.28515625" style="160" bestFit="1" customWidth="1"/>
    <col min="10" max="10" width="8" style="160" bestFit="1" customWidth="1"/>
    <col min="11" max="11" width="15.140625" style="160" bestFit="1" customWidth="1"/>
    <col min="12" max="12" width="20.28515625" style="160" bestFit="1" customWidth="1"/>
    <col min="13" max="13" width="16.28515625" style="160" customWidth="1"/>
    <col min="14" max="14" width="22" style="161" bestFit="1" customWidth="1"/>
    <col min="15" max="15" width="20.7109375" style="160" customWidth="1"/>
    <col min="16" max="16" width="2.7109375" style="160" customWidth="1"/>
    <col min="17" max="16384" width="9.140625" style="160"/>
  </cols>
  <sheetData>
    <row r="1" spans="1:16" s="1" customFormat="1" ht="11.25" customHeight="1" x14ac:dyDescent="0.2">
      <c r="A1" s="53"/>
      <c r="B1" s="83"/>
      <c r="C1" s="54"/>
      <c r="D1" s="54"/>
      <c r="E1" s="54"/>
      <c r="F1" s="54"/>
      <c r="G1" s="54"/>
      <c r="H1" s="54"/>
      <c r="I1" s="54"/>
      <c r="J1" s="54"/>
      <c r="K1" s="54"/>
      <c r="L1" s="54"/>
      <c r="M1" s="54"/>
      <c r="N1" s="54"/>
      <c r="O1" s="54"/>
      <c r="P1" s="55"/>
    </row>
    <row r="2" spans="1:16" s="1" customFormat="1" ht="11.25" customHeight="1" x14ac:dyDescent="0.2">
      <c r="A2" s="47"/>
      <c r="B2" s="45"/>
      <c r="C2" s="44"/>
      <c r="D2" s="44"/>
      <c r="E2" s="44"/>
      <c r="F2" s="44"/>
      <c r="G2" s="44"/>
      <c r="H2" s="44"/>
      <c r="I2" s="44"/>
      <c r="J2" s="45" t="s">
        <v>55</v>
      </c>
      <c r="K2" s="45" t="str">
        <f>Currency&amp;"_YC"&amp;$J$2&amp;"RH"</f>
        <v>GBP_YC1MRH</v>
      </c>
      <c r="L2" s="45"/>
      <c r="M2" s="45"/>
      <c r="N2" s="56" t="str">
        <f>K2&amp;"_Swaps.xml"</f>
        <v>GBP_YC1MRH_Swaps.xml</v>
      </c>
      <c r="O2" s="44"/>
      <c r="P2" s="57"/>
    </row>
    <row r="3" spans="1:16" s="1" customFormat="1" ht="22.5" customHeight="1" x14ac:dyDescent="0.2">
      <c r="A3" s="47"/>
      <c r="B3" s="148" t="s">
        <v>91</v>
      </c>
      <c r="C3" s="148" t="s">
        <v>80</v>
      </c>
      <c r="D3" s="148" t="s">
        <v>79</v>
      </c>
      <c r="E3" s="148"/>
      <c r="F3" s="148"/>
      <c r="G3" s="148" t="s">
        <v>78</v>
      </c>
      <c r="H3" s="148" t="s">
        <v>77</v>
      </c>
      <c r="I3" s="148" t="s">
        <v>76</v>
      </c>
      <c r="J3" s="148" t="s">
        <v>75</v>
      </c>
      <c r="K3" s="148" t="s">
        <v>56</v>
      </c>
      <c r="L3" s="192" t="s">
        <v>95</v>
      </c>
      <c r="M3" s="149" t="str">
        <f>IF(Serialize,_xll.ohObjectSave(M4:M9,SerializationPath&amp;N2,FileOverwrite,Serialize),"---")</f>
        <v>---</v>
      </c>
      <c r="N3" s="149" t="str">
        <f>IF(Serialize,_xll.ohObjectSave(N4:N9,SerializationPath&amp;N2,FileOverwrite,Serialize),"---")</f>
        <v>---</v>
      </c>
      <c r="O3" s="155" t="str">
        <f>_xll.ohRangeRetrieveError(N3)</f>
        <v/>
      </c>
      <c r="P3" s="57"/>
    </row>
    <row r="4" spans="1:16" s="1" customFormat="1" ht="11.25" customHeight="1" x14ac:dyDescent="0.2">
      <c r="A4" s="43"/>
      <c r="B4" s="155"/>
      <c r="C4" s="155"/>
      <c r="D4" s="155"/>
      <c r="E4" s="155"/>
      <c r="F4" s="155"/>
      <c r="G4" s="155"/>
      <c r="H4" s="155"/>
      <c r="I4" s="155"/>
      <c r="J4" s="155"/>
      <c r="K4" s="155"/>
      <c r="L4" s="222" t="b">
        <v>1</v>
      </c>
      <c r="M4" s="44"/>
      <c r="N4" s="58" t="str">
        <f>_xll.qlLibor(,Currency,$J$2,,Permanent,Trigger,ObjectOverwrite)</f>
        <v>obj_003f8#0002</v>
      </c>
      <c r="O4" s="151" t="str">
        <f>_xll.ohRangeRetrieveError(N4)</f>
        <v/>
      </c>
      <c r="P4" s="57"/>
    </row>
    <row r="5" spans="1:16" s="1" customFormat="1" ht="11.25" customHeight="1" x14ac:dyDescent="0.2">
      <c r="A5" s="47"/>
      <c r="B5" s="75">
        <v>0</v>
      </c>
      <c r="C5" s="75" t="s">
        <v>70</v>
      </c>
      <c r="D5" s="75" t="s">
        <v>74</v>
      </c>
      <c r="E5" s="75">
        <v>2</v>
      </c>
      <c r="F5" s="75" t="s">
        <v>17</v>
      </c>
      <c r="G5" s="76" t="s">
        <v>68</v>
      </c>
      <c r="H5" s="76" t="s">
        <v>67</v>
      </c>
      <c r="I5" s="76" t="str">
        <f t="shared" ref="I5:I9" si="0">MoneyMarketDayCounter</f>
        <v>Actual/365 (Fixed)</v>
      </c>
      <c r="J5" s="77">
        <v>0</v>
      </c>
      <c r="K5" s="92" t="str">
        <f t="shared" ref="K5:K9" si="1">Currency&amp;$E5&amp;$F5&amp;QuoteSuffix</f>
        <v>GBP2X1S_Quote</v>
      </c>
      <c r="L5" s="193" t="str">
        <f>Currency&amp;"AB1L"&amp;IF(D5="12M","1Y",D5)&amp;LCHQuoteSuffix</f>
        <v>GBPAB1L2M_LCHQuote</v>
      </c>
      <c r="M5" s="99" t="str">
        <f>_xll.qlSwapRateHelper2(,IF($L$4,L5,$K5),$B5,$D5,Calendar,$G5,$H5,$I5,$N$4,$J5,C5,Discounting1,,,Permanent,Trigger,ObjectOverwrite)</f>
        <v>obj_003fc#0001</v>
      </c>
      <c r="N5" s="95" t="str">
        <f>_xll.qlSwapRateHelper2(,IF($L$4,L5,$K5),$B5,$D5,Calendar,$G5,$H5,$I5,$N$4,$J5,C5,Discounting2,,,Permanent,Trigger,ObjectOverwrite)</f>
        <v>obj_003fd#0001</v>
      </c>
      <c r="O5" s="145" t="str">
        <f>_xll.ohRangeRetrieveError(M5)&amp;_xll.ohRangeRetrieveError(N5)</f>
        <v/>
      </c>
      <c r="P5" s="57"/>
    </row>
    <row r="6" spans="1:16" s="1" customFormat="1" ht="11.25" customHeight="1" x14ac:dyDescent="0.2">
      <c r="A6" s="47"/>
      <c r="B6" s="78">
        <v>0</v>
      </c>
      <c r="C6" s="78" t="s">
        <v>70</v>
      </c>
      <c r="D6" s="78" t="s">
        <v>73</v>
      </c>
      <c r="E6" s="78">
        <v>3</v>
      </c>
      <c r="F6" s="78" t="s">
        <v>17</v>
      </c>
      <c r="G6" s="79" t="s">
        <v>68</v>
      </c>
      <c r="H6" s="79" t="s">
        <v>67</v>
      </c>
      <c r="I6" s="79" t="str">
        <f t="shared" si="0"/>
        <v>Actual/365 (Fixed)</v>
      </c>
      <c r="J6" s="80">
        <v>0</v>
      </c>
      <c r="K6" s="93" t="str">
        <f t="shared" si="1"/>
        <v>GBP3X1S_Quote</v>
      </c>
      <c r="L6" s="194" t="str">
        <f>Currency&amp;"AB1L"&amp;IF(D6="12M","1Y",D6)&amp;LCHQuoteSuffix</f>
        <v>GBPAB1L3M_LCHQuote</v>
      </c>
      <c r="M6" s="98" t="str">
        <f>_xll.qlSwapRateHelper2(,IF($L$4,L6,$K6),$B6,$D6,Calendar,$G6,$H6,$I6,$N$4,$J6,C6,Discounting1,,,Permanent,Trigger,ObjectOverwrite)</f>
        <v>obj_00405#0001</v>
      </c>
      <c r="N6" s="96" t="str">
        <f>_xll.qlSwapRateHelper2(,IF($L$4,L6,$K6),$B6,$D6,Calendar,$G6,$H6,$I6,$N$4,$J6,C6,Discounting2,,,Permanent,Trigger,ObjectOverwrite)</f>
        <v>obj_00401#0001</v>
      </c>
      <c r="O6" s="156" t="str">
        <f>_xll.ohRangeRetrieveError(M6)&amp;_xll.ohRangeRetrieveError(N6)</f>
        <v/>
      </c>
      <c r="P6" s="57"/>
    </row>
    <row r="7" spans="1:16" s="1" customFormat="1" ht="11.25" customHeight="1" x14ac:dyDescent="0.2">
      <c r="A7" s="47"/>
      <c r="B7" s="78">
        <v>0</v>
      </c>
      <c r="C7" s="78" t="s">
        <v>70</v>
      </c>
      <c r="D7" s="78" t="s">
        <v>72</v>
      </c>
      <c r="E7" s="78">
        <v>6</v>
      </c>
      <c r="F7" s="78" t="s">
        <v>17</v>
      </c>
      <c r="G7" s="79" t="s">
        <v>68</v>
      </c>
      <c r="H7" s="79" t="s">
        <v>67</v>
      </c>
      <c r="I7" s="79" t="str">
        <f t="shared" si="0"/>
        <v>Actual/365 (Fixed)</v>
      </c>
      <c r="J7" s="80">
        <v>0</v>
      </c>
      <c r="K7" s="93" t="str">
        <f t="shared" si="1"/>
        <v>GBP6X1S_Quote</v>
      </c>
      <c r="L7" s="194" t="str">
        <f>Currency&amp;"AB1L"&amp;IF(D7="12M","1Y",D7)&amp;LCHQuoteSuffix</f>
        <v>GBPAB1L6M_LCHQuote</v>
      </c>
      <c r="M7" s="98" t="str">
        <f>_xll.qlSwapRateHelper2(,IF($L$4,L7,$K7),$B7,$D7,Calendar,$G7,$H7,$I7,$N$4,$J7,C7,Discounting1,,,Permanent,Trigger,ObjectOverwrite)</f>
        <v>obj_00404#0001</v>
      </c>
      <c r="N7" s="96" t="str">
        <f>_xll.qlSwapRateHelper2(,IF($L$4,L7,$K7),$B7,$D7,Calendar,$G7,$H7,$I7,$N$4,$J7,C7,Discounting2,,,Permanent,Trigger,ObjectOverwrite)</f>
        <v>obj_00403#0001</v>
      </c>
      <c r="O7" s="156" t="str">
        <f>_xll.ohRangeRetrieveError(M7)&amp;_xll.ohRangeRetrieveError(N7)</f>
        <v/>
      </c>
      <c r="P7" s="57"/>
    </row>
    <row r="8" spans="1:16" s="1" customFormat="1" ht="11.25" customHeight="1" x14ac:dyDescent="0.2">
      <c r="A8" s="47"/>
      <c r="B8" s="78">
        <v>0</v>
      </c>
      <c r="C8" s="78" t="s">
        <v>70</v>
      </c>
      <c r="D8" s="78" t="s">
        <v>71</v>
      </c>
      <c r="E8" s="78">
        <v>9</v>
      </c>
      <c r="F8" s="78" t="s">
        <v>17</v>
      </c>
      <c r="G8" s="79" t="s">
        <v>68</v>
      </c>
      <c r="H8" s="79" t="s">
        <v>67</v>
      </c>
      <c r="I8" s="79" t="str">
        <f t="shared" si="0"/>
        <v>Actual/365 (Fixed)</v>
      </c>
      <c r="J8" s="80">
        <v>0</v>
      </c>
      <c r="K8" s="93" t="str">
        <f t="shared" si="1"/>
        <v>GBP9X1S_Quote</v>
      </c>
      <c r="L8" s="194" t="str">
        <f>Currency&amp;"AB1L"&amp;IF(D8="12M","1Y",D8)&amp;LCHQuoteSuffix</f>
        <v>GBPAB1L9M_LCHQuote</v>
      </c>
      <c r="M8" s="98" t="str">
        <f>_xll.qlSwapRateHelper2(,IF($L$4,L8,$K8),$B8,$D8,Calendar,$G8,$H8,$I8,$N$4,$J8,C8,Discounting1,,,Permanent,Trigger,ObjectOverwrite)</f>
        <v>obj_00402#0001</v>
      </c>
      <c r="N8" s="96" t="str">
        <f>_xll.qlSwapRateHelper2(,IF($L$4,L8,$K8),$B8,$D8,Calendar,$G8,$H8,$I8,$N$4,$J8,C8,Discounting2,,,Permanent,Trigger,ObjectOverwrite)</f>
        <v>obj_00400#0001</v>
      </c>
      <c r="O8" s="156" t="str">
        <f>_xll.ohRangeRetrieveError(M8)&amp;_xll.ohRangeRetrieveError(N8)</f>
        <v/>
      </c>
      <c r="P8" s="57"/>
    </row>
    <row r="9" spans="1:16" s="1" customFormat="1" ht="11.25" customHeight="1" x14ac:dyDescent="0.2">
      <c r="A9" s="47"/>
      <c r="B9" s="81">
        <v>0</v>
      </c>
      <c r="C9" s="81" t="s">
        <v>70</v>
      </c>
      <c r="D9" s="81" t="s">
        <v>69</v>
      </c>
      <c r="E9" s="81">
        <v>12</v>
      </c>
      <c r="F9" s="81" t="s">
        <v>17</v>
      </c>
      <c r="G9" s="59" t="s">
        <v>68</v>
      </c>
      <c r="H9" s="59" t="s">
        <v>67</v>
      </c>
      <c r="I9" s="59" t="str">
        <f t="shared" si="0"/>
        <v>Actual/365 (Fixed)</v>
      </c>
      <c r="J9" s="82">
        <v>0</v>
      </c>
      <c r="K9" s="94" t="str">
        <f t="shared" si="1"/>
        <v>GBP12X1S_Quote</v>
      </c>
      <c r="L9" s="195" t="str">
        <f>Currency&amp;"AB1L"&amp;IF(D9="12M","1Y",D9)&amp;LCHQuoteSuffix</f>
        <v>GBPAB1L1Y_LCHQuote</v>
      </c>
      <c r="M9" s="100" t="str">
        <f>_xll.qlSwapRateHelper2(,IF($L$4,L9,$K9),$B9,$D9,Calendar,$G9,$H9,$I9,$N$4,$J9,C9,Discounting1,,,Permanent,Trigger,ObjectOverwrite)</f>
        <v>obj_003ff#0001</v>
      </c>
      <c r="N9" s="97" t="str">
        <f>_xll.qlSwapRateHelper2(,IF($L$4,L9,$K9),$B9,$D9,Calendar,$G9,$H9,$I9,$N$4,$J9,C9,Discounting2,,,Permanent,Trigger,ObjectOverwrite)</f>
        <v>obj_003fe#0001</v>
      </c>
      <c r="O9" s="157" t="str">
        <f>_xll.ohRangeRetrieveError(M9)&amp;_xll.ohRangeRetrieveError(N9)</f>
        <v/>
      </c>
      <c r="P9" s="57"/>
    </row>
    <row r="10" spans="1:16" s="1" customFormat="1" ht="11.25" customHeight="1" thickBot="1" x14ac:dyDescent="0.25">
      <c r="A10" s="47"/>
      <c r="B10" s="45"/>
      <c r="C10" s="60"/>
      <c r="D10" s="60"/>
      <c r="E10" s="60"/>
      <c r="F10" s="60"/>
      <c r="G10" s="45"/>
      <c r="H10" s="45"/>
      <c r="I10" s="45"/>
      <c r="J10" s="10"/>
      <c r="K10" s="61"/>
      <c r="L10" s="61"/>
      <c r="M10" s="196" t="s">
        <v>101</v>
      </c>
      <c r="N10" s="196" t="s">
        <v>102</v>
      </c>
      <c r="O10" s="61"/>
      <c r="P10" s="57"/>
    </row>
    <row r="11" spans="1:16" x14ac:dyDescent="0.2">
      <c r="A11" s="158"/>
      <c r="B11" s="158"/>
      <c r="C11" s="158"/>
      <c r="D11" s="158"/>
      <c r="E11" s="158"/>
      <c r="F11" s="158"/>
      <c r="G11" s="158"/>
      <c r="H11" s="158"/>
      <c r="I11" s="158"/>
      <c r="J11" s="158"/>
      <c r="K11" s="158"/>
      <c r="L11" s="158"/>
      <c r="M11" s="158"/>
      <c r="N11" s="159"/>
      <c r="O11" s="158"/>
      <c r="P11" s="158"/>
    </row>
  </sheetData>
  <dataValidations count="3">
    <dataValidation type="list" allowBlank="1" showInputMessage="1" showErrorMessage="1" sqref="H5:H10">
      <formula1>"Following,Modified Following,Preceding,Modified Preceding,Month End Reference,Unadjusted Month End,Unadjusted"</formula1>
    </dataValidation>
    <dataValidation type="list" allowBlank="1" showInputMessage="1" showErrorMessage="1" sqref="G5:G10">
      <formula1>"Once,Annual,Semiannual,EveryFourthMonth,Quarterly,Bimonthly,Monthly"</formula1>
    </dataValidation>
    <dataValidation type="list" allowBlank="1" showInputMessage="1" showErrorMessage="1" sqref="L4">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2"/>
  <sheetViews>
    <sheetView workbookViewId="0">
      <selection activeCell="L4" sqref="L4"/>
    </sheetView>
  </sheetViews>
  <sheetFormatPr defaultRowHeight="11.25" x14ac:dyDescent="0.2"/>
  <cols>
    <col min="1" max="1" width="2.7109375" style="160" customWidth="1"/>
    <col min="2" max="2" width="6" style="160" customWidth="1"/>
    <col min="3" max="3" width="5.7109375" style="160" customWidth="1"/>
    <col min="4" max="4" width="4" style="160" bestFit="1" customWidth="1"/>
    <col min="5" max="6" width="3" style="160" bestFit="1" customWidth="1"/>
    <col min="7" max="7" width="11" style="160" bestFit="1" customWidth="1"/>
    <col min="8" max="9" width="19.28515625" style="160" bestFit="1" customWidth="1"/>
    <col min="10" max="11" width="17.28515625" style="160" bestFit="1" customWidth="1"/>
    <col min="12" max="13" width="17.28515625" style="160" customWidth="1"/>
    <col min="14" max="14" width="18.42578125" style="161" customWidth="1"/>
    <col min="15" max="15" width="20.7109375" style="160" customWidth="1"/>
    <col min="16" max="16" width="2.7109375" style="160" customWidth="1"/>
    <col min="17" max="17" width="2.5703125" style="160" customWidth="1"/>
    <col min="18" max="18" width="4" style="160" bestFit="1" customWidth="1"/>
    <col min="19" max="19" width="3.28515625" style="160" bestFit="1" customWidth="1"/>
    <col min="20" max="20" width="3.5703125" style="160" bestFit="1" customWidth="1"/>
    <col min="21" max="16384" width="9.140625" style="160"/>
  </cols>
  <sheetData>
    <row r="1" spans="1:16" ht="11.25" customHeight="1" x14ac:dyDescent="0.2">
      <c r="A1" s="53"/>
      <c r="B1" s="83"/>
      <c r="C1" s="54"/>
      <c r="D1" s="54"/>
      <c r="E1" s="54"/>
      <c r="F1" s="54"/>
      <c r="G1" s="54"/>
      <c r="H1" s="54"/>
      <c r="I1" s="54"/>
      <c r="J1" s="54"/>
      <c r="K1" s="54"/>
      <c r="L1" s="54"/>
      <c r="M1" s="54"/>
      <c r="N1" s="54"/>
      <c r="O1" s="54"/>
      <c r="P1" s="55"/>
    </row>
    <row r="2" spans="1:16" ht="11.25" customHeight="1" x14ac:dyDescent="0.2">
      <c r="A2" s="47"/>
      <c r="B2" s="45"/>
      <c r="C2" s="44"/>
      <c r="D2" s="44"/>
      <c r="E2" s="44"/>
      <c r="F2" s="44"/>
      <c r="G2" s="44"/>
      <c r="H2" s="44"/>
      <c r="I2" s="45" t="s">
        <v>87</v>
      </c>
      <c r="J2" s="45" t="s">
        <v>55</v>
      </c>
      <c r="K2" s="45" t="str">
        <f>Currency&amp;"_YC"&amp;$J$2&amp;"RH"</f>
        <v>GBP_YC1MRH</v>
      </c>
      <c r="L2" s="45"/>
      <c r="M2" s="45"/>
      <c r="N2" s="56" t="str">
        <f>K2&amp;"_SwapsFromBasis.xml"</f>
        <v>GBP_YC1MRH_SwapsFromBasis.xml</v>
      </c>
      <c r="O2" s="44"/>
      <c r="P2" s="57"/>
    </row>
    <row r="3" spans="1:16" ht="22.5" customHeight="1" x14ac:dyDescent="0.2">
      <c r="A3" s="47"/>
      <c r="B3" s="148" t="s">
        <v>91</v>
      </c>
      <c r="C3" s="148" t="s">
        <v>80</v>
      </c>
      <c r="D3" s="148"/>
      <c r="E3" s="148"/>
      <c r="F3" s="148"/>
      <c r="G3" s="148" t="s">
        <v>78</v>
      </c>
      <c r="H3" s="148" t="s">
        <v>77</v>
      </c>
      <c r="I3" s="148" t="s">
        <v>76</v>
      </c>
      <c r="J3" s="148" t="s">
        <v>75</v>
      </c>
      <c r="K3" s="148" t="s">
        <v>56</v>
      </c>
      <c r="L3" s="185" t="s">
        <v>95</v>
      </c>
      <c r="M3" s="149" t="str">
        <f>IF(Serialize,_xll.ohObjectSave(M4:M21,SerializationPath&amp;N2,FileOverwrite,Serialize),"---")</f>
        <v>---</v>
      </c>
      <c r="N3" s="149" t="str">
        <f>IF(Serialize,_xll.ohObjectSave(N4:N21,SerializationPath&amp;N2,FileOverwrite,Serialize),"---")</f>
        <v>---</v>
      </c>
      <c r="O3" s="150" t="str">
        <f>_xll.ohRangeRetrieveError(N3)</f>
        <v/>
      </c>
      <c r="P3" s="57"/>
    </row>
    <row r="4" spans="1:16" ht="11.25" customHeight="1" x14ac:dyDescent="0.2">
      <c r="A4" s="43"/>
      <c r="B4" s="150"/>
      <c r="C4" s="150"/>
      <c r="D4" s="150"/>
      <c r="E4" s="150"/>
      <c r="F4" s="150"/>
      <c r="G4" s="150"/>
      <c r="H4" s="150"/>
      <c r="I4" s="150"/>
      <c r="J4" s="150"/>
      <c r="K4" s="150"/>
      <c r="L4" s="222" t="b">
        <v>1</v>
      </c>
      <c r="M4" s="44"/>
      <c r="N4" s="58" t="str">
        <f>_xll.qlLibor(,Currency,$J$2,,Permanent,Trigger,ObjectOverwrite)</f>
        <v>obj_003f9#0002</v>
      </c>
      <c r="O4" s="151" t="str">
        <f>_xll.ohRangeRetrieveError(N4)</f>
        <v/>
      </c>
      <c r="P4" s="57"/>
    </row>
    <row r="5" spans="1:16" ht="11.25" customHeight="1" x14ac:dyDescent="0.2">
      <c r="A5" s="47"/>
      <c r="B5" s="75">
        <v>0</v>
      </c>
      <c r="C5" s="75" t="s">
        <v>86</v>
      </c>
      <c r="D5" s="75" t="s">
        <v>16</v>
      </c>
      <c r="E5" s="75" t="s">
        <v>49</v>
      </c>
      <c r="F5" s="75" t="s">
        <v>85</v>
      </c>
      <c r="G5" s="76" t="str">
        <f t="shared" ref="G5:G21" si="0">IF(UPPER(LEFT($E5))="A","Annual",IF(UPPER(LEFT($E5))="S","Semiannual","--"))</f>
        <v>Semiannual</v>
      </c>
      <c r="H5" s="76" t="s">
        <v>67</v>
      </c>
      <c r="I5" s="76" t="str">
        <f t="shared" ref="I5:I21" si="1">IF(UPPER(RIGHT($E5))="B",BondBasisDayCounter,IF(UPPER(RIGHT($E5))="M",MoneyMarketDayCounter,"--"))</f>
        <v>Actual/365 (Fixed)</v>
      </c>
      <c r="J5" s="77" t="str">
        <f t="shared" ref="J5:J21" si="2">Currency&amp;$F5&amp;$I$2&amp;$D5&amp;QuoteSuffix</f>
        <v>GBP1L6L2Y_Quote</v>
      </c>
      <c r="K5" s="92" t="str">
        <f t="shared" ref="K5:K21" si="3">Currency&amp;$E5&amp;$I$2&amp;$D5&amp;"_Quote"</f>
        <v>GBPSB6L2Y_Quote</v>
      </c>
      <c r="L5" s="199" t="str">
        <f t="shared" ref="L5:L21" si="4">Currency&amp;$F5&amp;$I$2&amp;$D5&amp;LCHQuoteSuffix</f>
        <v>GBP1L6L2Y_LCHQuote</v>
      </c>
      <c r="M5" s="99" t="str">
        <f>IF($L$4,_xll.qlSwapRateHelper2(,$L5,$B5,$D5,Calendar,$G5,$H5,$I5,$N$4,0,$C5,Discounting1,,,Permanent,Trigger,ObjectOverwrite),_xll.qlSwapRateHelper2(,$K5,$B5,$D5,Calendar,$G5,$H5,$I5,$N$4,$J5,$C5,Discounting1,,,Permanent,Trigger,ObjectOverwrite))</f>
        <v>obj_00406#0001</v>
      </c>
      <c r="N5" s="95" t="str">
        <f>IF($L$4,_xll.qlSwapRateHelper2(,$L5,$B5,$D5,Calendar,$G5,$H5,$I5,$N$4,0,$C5,Discounting2,,,Permanent,Trigger,ObjectOverwrite),_xll.qlSwapRateHelper2(,$K5,$B5,$D5,Calendar,$G5,$H5,$I5,$N$4,$J5,$C5,Discounting1,,,Permanent,Trigger,ObjectOverwrite))</f>
        <v>obj_00407#0001</v>
      </c>
      <c r="O5" s="152" t="str">
        <f>_xll.ohRangeRetrieveError(M5)&amp;_xll.ohRangeRetrieveError(N5)</f>
        <v/>
      </c>
      <c r="P5" s="57"/>
    </row>
    <row r="6" spans="1:16" ht="11.25" customHeight="1" x14ac:dyDescent="0.2">
      <c r="A6" s="47"/>
      <c r="B6" s="78">
        <v>0</v>
      </c>
      <c r="C6" s="78" t="s">
        <v>86</v>
      </c>
      <c r="D6" s="78" t="s">
        <v>15</v>
      </c>
      <c r="E6" s="78" t="s">
        <v>49</v>
      </c>
      <c r="F6" s="78" t="s">
        <v>85</v>
      </c>
      <c r="G6" s="79" t="str">
        <f t="shared" si="0"/>
        <v>Semiannual</v>
      </c>
      <c r="H6" s="79" t="s">
        <v>67</v>
      </c>
      <c r="I6" s="79" t="str">
        <f t="shared" si="1"/>
        <v>Actual/365 (Fixed)</v>
      </c>
      <c r="J6" s="80" t="str">
        <f t="shared" si="2"/>
        <v>GBP1L6L3Y_Quote</v>
      </c>
      <c r="K6" s="93" t="str">
        <f t="shared" si="3"/>
        <v>GBPSB6L3Y_Quote</v>
      </c>
      <c r="L6" s="200" t="str">
        <f t="shared" si="4"/>
        <v>GBP1L6L3Y_LCHQuote</v>
      </c>
      <c r="M6" s="98" t="str">
        <f>IF($L$4,_xll.qlSwapRateHelper2(,$L6,$B6,$D6,Calendar,$G6,$H6,$I6,$N$4,0,$C6,Discounting1,,,Permanent,Trigger,ObjectOverwrite),_xll.qlSwapRateHelper2(,$K6,$B6,$D6,Calendar,$G6,$H6,$I6,$N$4,$J6,$C6,Discounting1,,,Permanent,Trigger,ObjectOverwrite))</f>
        <v>obj_00423#0001</v>
      </c>
      <c r="N6" s="96" t="str">
        <f>IF($L$4,_xll.qlSwapRateHelper2(,$L6,$B6,$D6,Calendar,$G6,$H6,$I6,$N$4,0,$C6,Discounting2,,,Permanent,Trigger,ObjectOverwrite),_xll.qlSwapRateHelper2(,$K6,$B6,$D6,Calendar,$G6,$H6,$I6,$N$4,$J6,$C6,Discounting1,,,Permanent,Trigger,ObjectOverwrite))</f>
        <v>obj_00416#0001</v>
      </c>
      <c r="O6" s="153" t="str">
        <f>_xll.ohRangeRetrieveError(M6)&amp;_xll.ohRangeRetrieveError(N6)</f>
        <v/>
      </c>
      <c r="P6" s="57"/>
    </row>
    <row r="7" spans="1:16" ht="11.25" customHeight="1" x14ac:dyDescent="0.2">
      <c r="A7" s="47"/>
      <c r="B7" s="78">
        <v>0</v>
      </c>
      <c r="C7" s="78" t="s">
        <v>86</v>
      </c>
      <c r="D7" s="78" t="s">
        <v>14</v>
      </c>
      <c r="E7" s="78" t="s">
        <v>49</v>
      </c>
      <c r="F7" s="78" t="s">
        <v>85</v>
      </c>
      <c r="G7" s="79" t="str">
        <f t="shared" si="0"/>
        <v>Semiannual</v>
      </c>
      <c r="H7" s="79" t="s">
        <v>67</v>
      </c>
      <c r="I7" s="79" t="str">
        <f t="shared" si="1"/>
        <v>Actual/365 (Fixed)</v>
      </c>
      <c r="J7" s="80" t="str">
        <f t="shared" si="2"/>
        <v>GBP1L6L4Y_Quote</v>
      </c>
      <c r="K7" s="93" t="str">
        <f t="shared" si="3"/>
        <v>GBPSB6L4Y_Quote</v>
      </c>
      <c r="L7" s="200" t="str">
        <f t="shared" si="4"/>
        <v>GBP1L6L4Y_LCHQuote</v>
      </c>
      <c r="M7" s="98" t="str">
        <f>IF($L$4,_xll.qlSwapRateHelper2(,$L7,$B7,$D7,Calendar,$G7,$H7,$I7,$N$4,0,$C7,Discounting1,,,Permanent,Trigger,ObjectOverwrite),_xll.qlSwapRateHelper2(,$K7,$B7,$D7,Calendar,$G7,$H7,$I7,$N$4,$J7,$C7,Discounting1,,,Permanent,Trigger,ObjectOverwrite))</f>
        <v>obj_00415#0001</v>
      </c>
      <c r="N7" s="96" t="str">
        <f>IF($L$4,_xll.qlSwapRateHelper2(,$L7,$B7,$D7,Calendar,$G7,$H7,$I7,$N$4,0,$C7,Discounting2,,,Permanent,Trigger,ObjectOverwrite),_xll.qlSwapRateHelper2(,$K7,$B7,$D7,Calendar,$G7,$H7,$I7,$N$4,$J7,$C7,Discounting1,,,Permanent,Trigger,ObjectOverwrite))</f>
        <v>obj_00425#0001</v>
      </c>
      <c r="O7" s="153" t="str">
        <f>_xll.ohRangeRetrieveError(M7)&amp;_xll.ohRangeRetrieveError(N7)</f>
        <v/>
      </c>
      <c r="P7" s="57"/>
    </row>
    <row r="8" spans="1:16" ht="11.25" customHeight="1" x14ac:dyDescent="0.2">
      <c r="A8" s="47"/>
      <c r="B8" s="78">
        <v>0</v>
      </c>
      <c r="C8" s="78" t="s">
        <v>86</v>
      </c>
      <c r="D8" s="78" t="s">
        <v>13</v>
      </c>
      <c r="E8" s="78" t="s">
        <v>49</v>
      </c>
      <c r="F8" s="78" t="s">
        <v>85</v>
      </c>
      <c r="G8" s="79" t="str">
        <f t="shared" si="0"/>
        <v>Semiannual</v>
      </c>
      <c r="H8" s="79" t="s">
        <v>67</v>
      </c>
      <c r="I8" s="79" t="str">
        <f t="shared" si="1"/>
        <v>Actual/365 (Fixed)</v>
      </c>
      <c r="J8" s="80" t="str">
        <f t="shared" si="2"/>
        <v>GBP1L6L5Y_Quote</v>
      </c>
      <c r="K8" s="93" t="str">
        <f t="shared" si="3"/>
        <v>GBPSB6L5Y_Quote</v>
      </c>
      <c r="L8" s="200" t="str">
        <f t="shared" si="4"/>
        <v>GBP1L6L5Y_LCHQuote</v>
      </c>
      <c r="M8" s="98" t="str">
        <f>IF($L$4,_xll.qlSwapRateHelper2(,$L8,$B8,$D8,Calendar,$G8,$H8,$I8,$N$4,0,$C8,Discounting1,,,Permanent,Trigger,ObjectOverwrite),_xll.qlSwapRateHelper2(,$K8,$B8,$D8,Calendar,$G8,$H8,$I8,$N$4,$J8,$C8,Discounting1,,,Permanent,Trigger,ObjectOverwrite))</f>
        <v>obj_0040c#0001</v>
      </c>
      <c r="N8" s="96" t="str">
        <f>IF($L$4,_xll.qlSwapRateHelper2(,$L8,$B8,$D8,Calendar,$G8,$H8,$I8,$N$4,0,$C8,Discounting2,,,Permanent,Trigger,ObjectOverwrite),_xll.qlSwapRateHelper2(,$K8,$B8,$D8,Calendar,$G8,$H8,$I8,$N$4,$J8,$C8,Discounting1,,,Permanent,Trigger,ObjectOverwrite))</f>
        <v>obj_0041a#0001</v>
      </c>
      <c r="O8" s="153" t="str">
        <f>_xll.ohRangeRetrieveError(M8)&amp;_xll.ohRangeRetrieveError(N8)</f>
        <v/>
      </c>
      <c r="P8" s="57"/>
    </row>
    <row r="9" spans="1:16" ht="11.25" customHeight="1" x14ac:dyDescent="0.2">
      <c r="A9" s="47"/>
      <c r="B9" s="78">
        <v>0</v>
      </c>
      <c r="C9" s="78" t="s">
        <v>86</v>
      </c>
      <c r="D9" s="78" t="s">
        <v>12</v>
      </c>
      <c r="E9" s="78" t="s">
        <v>49</v>
      </c>
      <c r="F9" s="78" t="s">
        <v>85</v>
      </c>
      <c r="G9" s="79" t="str">
        <f t="shared" si="0"/>
        <v>Semiannual</v>
      </c>
      <c r="H9" s="79" t="s">
        <v>67</v>
      </c>
      <c r="I9" s="79" t="str">
        <f t="shared" si="1"/>
        <v>Actual/365 (Fixed)</v>
      </c>
      <c r="J9" s="80" t="str">
        <f t="shared" si="2"/>
        <v>GBP1L6L6Y_Quote</v>
      </c>
      <c r="K9" s="93" t="str">
        <f t="shared" si="3"/>
        <v>GBPSB6L6Y_Quote</v>
      </c>
      <c r="L9" s="200" t="str">
        <f t="shared" si="4"/>
        <v>GBP1L6L6Y_LCHQuote</v>
      </c>
      <c r="M9" s="98" t="str">
        <f>IF($L$4,_xll.qlSwapRateHelper2(,$L9,$B9,$D9,Calendar,$G9,$H9,$I9,$N$4,0,$C9,Discounting1,,,Permanent,Trigger,ObjectOverwrite),_xll.qlSwapRateHelper2(,$K9,$B9,$D9,Calendar,$G9,$H9,$I9,$N$4,$J9,$C9,Discounting1,,,Permanent,Trigger,ObjectOverwrite))</f>
        <v>obj_00412#0001</v>
      </c>
      <c r="N9" s="96" t="str">
        <f>IF($L$4,_xll.qlSwapRateHelper2(,$L9,$B9,$D9,Calendar,$G9,$H9,$I9,$N$4,0,$C9,Discounting2,,,Permanent,Trigger,ObjectOverwrite),_xll.qlSwapRateHelper2(,$K9,$B9,$D9,Calendar,$G9,$H9,$I9,$N$4,$J9,$C9,Discounting1,,,Permanent,Trigger,ObjectOverwrite))</f>
        <v>obj_0040b#0001</v>
      </c>
      <c r="O9" s="153" t="str">
        <f>_xll.ohRangeRetrieveError(M9)&amp;_xll.ohRangeRetrieveError(N9)</f>
        <v/>
      </c>
      <c r="P9" s="57"/>
    </row>
    <row r="10" spans="1:16" ht="11.25" customHeight="1" x14ac:dyDescent="0.2">
      <c r="A10" s="47"/>
      <c r="B10" s="78">
        <v>0</v>
      </c>
      <c r="C10" s="78" t="s">
        <v>86</v>
      </c>
      <c r="D10" s="78" t="s">
        <v>11</v>
      </c>
      <c r="E10" s="78" t="s">
        <v>49</v>
      </c>
      <c r="F10" s="78" t="s">
        <v>85</v>
      </c>
      <c r="G10" s="79" t="str">
        <f t="shared" si="0"/>
        <v>Semiannual</v>
      </c>
      <c r="H10" s="79" t="s">
        <v>67</v>
      </c>
      <c r="I10" s="79" t="str">
        <f t="shared" si="1"/>
        <v>Actual/365 (Fixed)</v>
      </c>
      <c r="J10" s="80" t="str">
        <f t="shared" si="2"/>
        <v>GBP1L6L7Y_Quote</v>
      </c>
      <c r="K10" s="93" t="str">
        <f t="shared" si="3"/>
        <v>GBPSB6L7Y_Quote</v>
      </c>
      <c r="L10" s="200" t="str">
        <f t="shared" si="4"/>
        <v>GBP1L6L7Y_LCHQuote</v>
      </c>
      <c r="M10" s="98" t="str">
        <f>IF($L$4,_xll.qlSwapRateHelper2(,$L10,$B10,$D10,Calendar,$G10,$H10,$I10,$N$4,0,$C10,Discounting1,,,Permanent,Trigger,ObjectOverwrite),_xll.qlSwapRateHelper2(,$K10,$B10,$D10,Calendar,$G10,$H10,$I10,$N$4,$J10,$C10,Discounting1,,,Permanent,Trigger,ObjectOverwrite))</f>
        <v>obj_00422#0001</v>
      </c>
      <c r="N10" s="96" t="str">
        <f>IF($L$4,_xll.qlSwapRateHelper2(,$L10,$B10,$D10,Calendar,$G10,$H10,$I10,$N$4,0,$C10,Discounting2,,,Permanent,Trigger,ObjectOverwrite),_xll.qlSwapRateHelper2(,$K10,$B10,$D10,Calendar,$G10,$H10,$I10,$N$4,$J10,$C10,Discounting1,,,Permanent,Trigger,ObjectOverwrite))</f>
        <v>obj_00427#0001</v>
      </c>
      <c r="O10" s="153" t="str">
        <f>_xll.ohRangeRetrieveError(M10)&amp;_xll.ohRangeRetrieveError(N10)</f>
        <v/>
      </c>
      <c r="P10" s="57"/>
    </row>
    <row r="11" spans="1:16" ht="11.25" customHeight="1" x14ac:dyDescent="0.2">
      <c r="A11" s="47"/>
      <c r="B11" s="78">
        <v>0</v>
      </c>
      <c r="C11" s="78" t="s">
        <v>86</v>
      </c>
      <c r="D11" s="78" t="s">
        <v>10</v>
      </c>
      <c r="E11" s="78" t="s">
        <v>49</v>
      </c>
      <c r="F11" s="78" t="s">
        <v>85</v>
      </c>
      <c r="G11" s="79" t="str">
        <f t="shared" si="0"/>
        <v>Semiannual</v>
      </c>
      <c r="H11" s="79" t="s">
        <v>67</v>
      </c>
      <c r="I11" s="79" t="str">
        <f t="shared" si="1"/>
        <v>Actual/365 (Fixed)</v>
      </c>
      <c r="J11" s="80" t="str">
        <f t="shared" si="2"/>
        <v>GBP1L6L8Y_Quote</v>
      </c>
      <c r="K11" s="93" t="str">
        <f t="shared" si="3"/>
        <v>GBPSB6L8Y_Quote</v>
      </c>
      <c r="L11" s="200" t="str">
        <f t="shared" si="4"/>
        <v>GBP1L6L8Y_LCHQuote</v>
      </c>
      <c r="M11" s="98" t="str">
        <f>IF($L$4,_xll.qlSwapRateHelper2(,$L11,$B11,$D11,Calendar,$G11,$H11,$I11,$N$4,0,$C11,Discounting1,,,Permanent,Trigger,ObjectOverwrite),_xll.qlSwapRateHelper2(,$K11,$B11,$D11,Calendar,$G11,$H11,$I11,$N$4,$J11,$C11,Discounting1,,,Permanent,Trigger,ObjectOverwrite))</f>
        <v>obj_00426#0001</v>
      </c>
      <c r="N11" s="96" t="str">
        <f>IF($L$4,_xll.qlSwapRateHelper2(,$L11,$B11,$D11,Calendar,$G11,$H11,$I11,$N$4,0,$C11,Discounting2,,,Permanent,Trigger,ObjectOverwrite),_xll.qlSwapRateHelper2(,$K11,$B11,$D11,Calendar,$G11,$H11,$I11,$N$4,$J11,$C11,Discounting1,,,Permanent,Trigger,ObjectOverwrite))</f>
        <v>obj_00414#0001</v>
      </c>
      <c r="O11" s="153" t="str">
        <f>_xll.ohRangeRetrieveError(M11)&amp;_xll.ohRangeRetrieveError(N11)</f>
        <v/>
      </c>
      <c r="P11" s="57"/>
    </row>
    <row r="12" spans="1:16" ht="11.25" customHeight="1" x14ac:dyDescent="0.2">
      <c r="A12" s="47"/>
      <c r="B12" s="78">
        <v>0</v>
      </c>
      <c r="C12" s="78" t="s">
        <v>86</v>
      </c>
      <c r="D12" s="78" t="s">
        <v>9</v>
      </c>
      <c r="E12" s="78" t="s">
        <v>49</v>
      </c>
      <c r="F12" s="78" t="s">
        <v>85</v>
      </c>
      <c r="G12" s="79" t="str">
        <f t="shared" si="0"/>
        <v>Semiannual</v>
      </c>
      <c r="H12" s="79" t="s">
        <v>67</v>
      </c>
      <c r="I12" s="79" t="str">
        <f t="shared" si="1"/>
        <v>Actual/365 (Fixed)</v>
      </c>
      <c r="J12" s="80" t="str">
        <f t="shared" si="2"/>
        <v>GBP1L6L9Y_Quote</v>
      </c>
      <c r="K12" s="93" t="str">
        <f t="shared" si="3"/>
        <v>GBPSB6L9Y_Quote</v>
      </c>
      <c r="L12" s="200" t="str">
        <f t="shared" si="4"/>
        <v>GBP1L6L9Y_LCHQuote</v>
      </c>
      <c r="M12" s="98" t="str">
        <f>IF($L$4,_xll.qlSwapRateHelper2(,$L12,$B12,$D12,Calendar,$G12,$H12,$I12,$N$4,0,$C12,Discounting1,,,Permanent,Trigger,ObjectOverwrite),_xll.qlSwapRateHelper2(,$K12,$B12,$D12,Calendar,$G12,$H12,$I12,$N$4,$J12,$C12,Discounting1,,,Permanent,Trigger,ObjectOverwrite))</f>
        <v>obj_00413#0001</v>
      </c>
      <c r="N12" s="96" t="str">
        <f>IF($L$4,_xll.qlSwapRateHelper2(,$L12,$B12,$D12,Calendar,$G12,$H12,$I12,$N$4,0,$C12,Discounting2,,,Permanent,Trigger,ObjectOverwrite),_xll.qlSwapRateHelper2(,$K12,$B12,$D12,Calendar,$G12,$H12,$I12,$N$4,$J12,$C12,Discounting1,,,Permanent,Trigger,ObjectOverwrite))</f>
        <v>obj_00419#0001</v>
      </c>
      <c r="O12" s="153" t="str">
        <f>_xll.ohRangeRetrieveError(M12)&amp;_xll.ohRangeRetrieveError(N12)</f>
        <v/>
      </c>
      <c r="P12" s="57"/>
    </row>
    <row r="13" spans="1:16" ht="11.25" customHeight="1" x14ac:dyDescent="0.2">
      <c r="A13" s="47"/>
      <c r="B13" s="78">
        <v>0</v>
      </c>
      <c r="C13" s="78" t="s">
        <v>86</v>
      </c>
      <c r="D13" s="78" t="s">
        <v>8</v>
      </c>
      <c r="E13" s="78" t="s">
        <v>49</v>
      </c>
      <c r="F13" s="78" t="s">
        <v>85</v>
      </c>
      <c r="G13" s="79" t="str">
        <f t="shared" si="0"/>
        <v>Semiannual</v>
      </c>
      <c r="H13" s="79" t="s">
        <v>67</v>
      </c>
      <c r="I13" s="79" t="str">
        <f t="shared" si="1"/>
        <v>Actual/365 (Fixed)</v>
      </c>
      <c r="J13" s="80" t="str">
        <f t="shared" si="2"/>
        <v>GBP1L6L10Y_Quote</v>
      </c>
      <c r="K13" s="93" t="str">
        <f t="shared" si="3"/>
        <v>GBPSB6L10Y_Quote</v>
      </c>
      <c r="L13" s="200" t="str">
        <f t="shared" si="4"/>
        <v>GBP1L6L10Y_LCHQuote</v>
      </c>
      <c r="M13" s="98" t="str">
        <f>IF($L$4,_xll.qlSwapRateHelper2(,$L13,$B13,$D13,Calendar,$G13,$H13,$I13,$N$4,0,$C13,Discounting1,,,Permanent,Trigger,ObjectOverwrite),_xll.qlSwapRateHelper2(,$K13,$B13,$D13,Calendar,$G13,$H13,$I13,$N$4,$J13,$C13,Discounting1,,,Permanent,Trigger,ObjectOverwrite))</f>
        <v>obj_00411#0001</v>
      </c>
      <c r="N13" s="96" t="str">
        <f>IF($L$4,_xll.qlSwapRateHelper2(,$L13,$B13,$D13,Calendar,$G13,$H13,$I13,$N$4,0,$C13,Discounting2,,,Permanent,Trigger,ObjectOverwrite),_xll.qlSwapRateHelper2(,$K13,$B13,$D13,Calendar,$G13,$H13,$I13,$N$4,$J13,$C13,Discounting1,,,Permanent,Trigger,ObjectOverwrite))</f>
        <v>obj_0040a#0001</v>
      </c>
      <c r="O13" s="153" t="str">
        <f>_xll.ohRangeRetrieveError(M13)&amp;_xll.ohRangeRetrieveError(N13)</f>
        <v/>
      </c>
      <c r="P13" s="57"/>
    </row>
    <row r="14" spans="1:16" ht="11.25" customHeight="1" x14ac:dyDescent="0.2">
      <c r="A14" s="47"/>
      <c r="B14" s="78">
        <v>0</v>
      </c>
      <c r="C14" s="78" t="s">
        <v>86</v>
      </c>
      <c r="D14" s="78" t="s">
        <v>7</v>
      </c>
      <c r="E14" s="78" t="s">
        <v>49</v>
      </c>
      <c r="F14" s="78" t="s">
        <v>85</v>
      </c>
      <c r="G14" s="79" t="str">
        <f t="shared" si="0"/>
        <v>Semiannual</v>
      </c>
      <c r="H14" s="79" t="s">
        <v>67</v>
      </c>
      <c r="I14" s="79" t="str">
        <f t="shared" si="1"/>
        <v>Actual/365 (Fixed)</v>
      </c>
      <c r="J14" s="80" t="str">
        <f t="shared" si="2"/>
        <v>GBP1L6L12Y_Quote</v>
      </c>
      <c r="K14" s="93" t="str">
        <f t="shared" si="3"/>
        <v>GBPSB6L12Y_Quote</v>
      </c>
      <c r="L14" s="200" t="str">
        <f t="shared" si="4"/>
        <v>GBP1L6L12Y_LCHQuote</v>
      </c>
      <c r="M14" s="98" t="str">
        <f>IF($L$4,_xll.qlSwapRateHelper2(,$L14,$B14,$D14,Calendar,$G14,$H14,$I14,$N$4,0,$C14,Discounting1,,,Permanent,Trigger,ObjectOverwrite),_xll.qlSwapRateHelper2(,$K14,$B14,$D14,Calendar,$G14,$H14,$I14,$N$4,$J14,$C14,Discounting1,,,Permanent,Trigger,ObjectOverwrite))</f>
        <v>obj_00421#0001</v>
      </c>
      <c r="N14" s="96" t="str">
        <f>IF($L$4,_xll.qlSwapRateHelper2(,$L14,$B14,$D14,Calendar,$G14,$H14,$I14,$N$4,0,$C14,Discounting2,,,Permanent,Trigger,ObjectOverwrite),_xll.qlSwapRateHelper2(,$K14,$B14,$D14,Calendar,$G14,$H14,$I14,$N$4,$J14,$C14,Discounting1,,,Permanent,Trigger,ObjectOverwrite))</f>
        <v>obj_0041c#0001</v>
      </c>
      <c r="O14" s="153" t="str">
        <f>_xll.ohRangeRetrieveError(M14)&amp;_xll.ohRangeRetrieveError(N14)</f>
        <v/>
      </c>
      <c r="P14" s="57"/>
    </row>
    <row r="15" spans="1:16" ht="11.25" customHeight="1" x14ac:dyDescent="0.2">
      <c r="A15" s="47"/>
      <c r="B15" s="78">
        <v>0</v>
      </c>
      <c r="C15" s="78" t="s">
        <v>86</v>
      </c>
      <c r="D15" s="78" t="s">
        <v>6</v>
      </c>
      <c r="E15" s="78" t="s">
        <v>49</v>
      </c>
      <c r="F15" s="78" t="s">
        <v>85</v>
      </c>
      <c r="G15" s="79" t="str">
        <f t="shared" si="0"/>
        <v>Semiannual</v>
      </c>
      <c r="H15" s="79" t="s">
        <v>67</v>
      </c>
      <c r="I15" s="79" t="str">
        <f t="shared" si="1"/>
        <v>Actual/365 (Fixed)</v>
      </c>
      <c r="J15" s="80" t="str">
        <f t="shared" si="2"/>
        <v>GBP1L6L15Y_Quote</v>
      </c>
      <c r="K15" s="93" t="str">
        <f t="shared" si="3"/>
        <v>GBPSB6L15Y_Quote</v>
      </c>
      <c r="L15" s="200" t="str">
        <f t="shared" si="4"/>
        <v>GBP1L6L15Y_LCHQuote</v>
      </c>
      <c r="M15" s="98" t="str">
        <f>IF($L$4,_xll.qlSwapRateHelper2(,$L15,$B15,$D15,Calendar,$G15,$H15,$I15,$N$4,0,$C15,Discounting1,,,Permanent,Trigger,ObjectOverwrite),_xll.qlSwapRateHelper2(,$K15,$B15,$D15,Calendar,$G15,$H15,$I15,$N$4,$J15,$C15,Discounting1,,,Permanent,Trigger,ObjectOverwrite))</f>
        <v>obj_0040d#0001</v>
      </c>
      <c r="N15" s="96" t="str">
        <f>IF($L$4,_xll.qlSwapRateHelper2(,$L15,$B15,$D15,Calendar,$G15,$H15,$I15,$N$4,0,$C15,Discounting2,,,Permanent,Trigger,ObjectOverwrite),_xll.qlSwapRateHelper2(,$K15,$B15,$D15,Calendar,$G15,$H15,$I15,$N$4,$J15,$C15,Discounting1,,,Permanent,Trigger,ObjectOverwrite))</f>
        <v>obj_0041b#0001</v>
      </c>
      <c r="O15" s="153" t="str">
        <f>_xll.ohRangeRetrieveError(M15)&amp;_xll.ohRangeRetrieveError(N15)</f>
        <v/>
      </c>
      <c r="P15" s="57"/>
    </row>
    <row r="16" spans="1:16" ht="11.25" customHeight="1" x14ac:dyDescent="0.2">
      <c r="A16" s="47"/>
      <c r="B16" s="78">
        <v>0</v>
      </c>
      <c r="C16" s="78" t="s">
        <v>86</v>
      </c>
      <c r="D16" s="78" t="s">
        <v>5</v>
      </c>
      <c r="E16" s="78" t="s">
        <v>49</v>
      </c>
      <c r="F16" s="78" t="s">
        <v>85</v>
      </c>
      <c r="G16" s="79" t="str">
        <f t="shared" si="0"/>
        <v>Semiannual</v>
      </c>
      <c r="H16" s="79" t="s">
        <v>67</v>
      </c>
      <c r="I16" s="79" t="str">
        <f t="shared" si="1"/>
        <v>Actual/365 (Fixed)</v>
      </c>
      <c r="J16" s="80" t="str">
        <f t="shared" si="2"/>
        <v>GBP1L6L20Y_Quote</v>
      </c>
      <c r="K16" s="93" t="str">
        <f t="shared" si="3"/>
        <v>GBPSB6L20Y_Quote</v>
      </c>
      <c r="L16" s="200" t="str">
        <f t="shared" si="4"/>
        <v>GBP1L6L20Y_LCHQuote</v>
      </c>
      <c r="M16" s="98" t="str">
        <f>IF($L$4,_xll.qlSwapRateHelper2(,$L16,$B16,$D16,Calendar,$G16,$H16,$I16,$N$4,0,$C16,Discounting1,,,Permanent,Trigger,ObjectOverwrite),_xll.qlSwapRateHelper2(,$K16,$B16,$D16,Calendar,$G16,$H16,$I16,$N$4,$J16,$C16,Discounting1,,,Permanent,Trigger,ObjectOverwrite))</f>
        <v>obj_00424#0001</v>
      </c>
      <c r="N16" s="96" t="str">
        <f>IF($L$4,_xll.qlSwapRateHelper2(,$L16,$B16,$D16,Calendar,$G16,$H16,$I16,$N$4,0,$C16,Discounting2,,,Permanent,Trigger,ObjectOverwrite),_xll.qlSwapRateHelper2(,$K16,$B16,$D16,Calendar,$G16,$H16,$I16,$N$4,$J16,$C16,Discounting1,,,Permanent,Trigger,ObjectOverwrite))</f>
        <v>obj_00418#0001</v>
      </c>
      <c r="O16" s="153" t="str">
        <f>_xll.ohRangeRetrieveError(M16)&amp;_xll.ohRangeRetrieveError(N16)</f>
        <v/>
      </c>
      <c r="P16" s="57"/>
    </row>
    <row r="17" spans="1:16" ht="11.25" customHeight="1" x14ac:dyDescent="0.2">
      <c r="A17" s="47"/>
      <c r="B17" s="78">
        <v>0</v>
      </c>
      <c r="C17" s="78" t="s">
        <v>86</v>
      </c>
      <c r="D17" s="78" t="s">
        <v>4</v>
      </c>
      <c r="E17" s="78" t="s">
        <v>49</v>
      </c>
      <c r="F17" s="78" t="s">
        <v>85</v>
      </c>
      <c r="G17" s="79" t="str">
        <f t="shared" si="0"/>
        <v>Semiannual</v>
      </c>
      <c r="H17" s="79" t="s">
        <v>67</v>
      </c>
      <c r="I17" s="79" t="str">
        <f t="shared" si="1"/>
        <v>Actual/365 (Fixed)</v>
      </c>
      <c r="J17" s="80" t="str">
        <f t="shared" si="2"/>
        <v>GBP1L6L25Y_Quote</v>
      </c>
      <c r="K17" s="93" t="str">
        <f t="shared" si="3"/>
        <v>GBPSB6L25Y_Quote</v>
      </c>
      <c r="L17" s="200" t="str">
        <f t="shared" si="4"/>
        <v>GBP1L6L25Y_LCHQuote</v>
      </c>
      <c r="M17" s="98" t="str">
        <f>IF($L$4,_xll.qlSwapRateHelper2(,$L17,$B17,$D17,Calendar,$G17,$H17,$I17,$N$4,0,$C17,Discounting1,,,Permanent,Trigger,ObjectOverwrite),_xll.qlSwapRateHelper2(,$K17,$B17,$D17,Calendar,$G17,$H17,$I17,$N$4,$J17,$C17,Discounting1,,,Permanent,Trigger,ObjectOverwrite))</f>
        <v>obj_00410#0001</v>
      </c>
      <c r="N17" s="96" t="str">
        <f>IF($L$4,_xll.qlSwapRateHelper2(,$L17,$B17,$D17,Calendar,$G17,$H17,$I17,$N$4,0,$C17,Discounting2,,,Permanent,Trigger,ObjectOverwrite),_xll.qlSwapRateHelper2(,$K17,$B17,$D17,Calendar,$G17,$H17,$I17,$N$4,$J17,$C17,Discounting1,,,Permanent,Trigger,ObjectOverwrite))</f>
        <v>obj_00409#0001</v>
      </c>
      <c r="O17" s="153" t="str">
        <f>_xll.ohRangeRetrieveError(M17)&amp;_xll.ohRangeRetrieveError(N17)</f>
        <v/>
      </c>
      <c r="P17" s="57"/>
    </row>
    <row r="18" spans="1:16" ht="11.25" customHeight="1" x14ac:dyDescent="0.2">
      <c r="A18" s="47"/>
      <c r="B18" s="78">
        <v>0</v>
      </c>
      <c r="C18" s="78" t="s">
        <v>86</v>
      </c>
      <c r="D18" s="78" t="s">
        <v>3</v>
      </c>
      <c r="E18" s="78" t="s">
        <v>49</v>
      </c>
      <c r="F18" s="78" t="s">
        <v>85</v>
      </c>
      <c r="G18" s="79" t="str">
        <f t="shared" si="0"/>
        <v>Semiannual</v>
      </c>
      <c r="H18" s="79" t="s">
        <v>67</v>
      </c>
      <c r="I18" s="79" t="str">
        <f t="shared" si="1"/>
        <v>Actual/365 (Fixed)</v>
      </c>
      <c r="J18" s="80" t="str">
        <f t="shared" si="2"/>
        <v>GBP1L6L30Y_Quote</v>
      </c>
      <c r="K18" s="93" t="str">
        <f t="shared" si="3"/>
        <v>GBPSB6L30Y_Quote</v>
      </c>
      <c r="L18" s="200" t="str">
        <f t="shared" si="4"/>
        <v>GBP1L6L30Y_LCHQuote</v>
      </c>
      <c r="M18" s="98" t="str">
        <f>IF($L$4,_xll.qlSwapRateHelper2(,$L18,$B18,$D18,Calendar,$G18,$H18,$I18,$N$4,0,$C18,Discounting1,,,Permanent,Trigger,ObjectOverwrite),_xll.qlSwapRateHelper2(,$K18,$B18,$D18,Calendar,$G18,$H18,$I18,$N$4,$J18,$C18,Discounting1,,,Permanent,Trigger,ObjectOverwrite))</f>
        <v>obj_00420#0001</v>
      </c>
      <c r="N18" s="96" t="str">
        <f>IF($L$4,_xll.qlSwapRateHelper2(,$L18,$B18,$D18,Calendar,$G18,$H18,$I18,$N$4,0,$C18,Discounting2,,,Permanent,Trigger,ObjectOverwrite),_xll.qlSwapRateHelper2(,$K18,$B18,$D18,Calendar,$G18,$H18,$I18,$N$4,$J18,$C18,Discounting1,,,Permanent,Trigger,ObjectOverwrite))</f>
        <v>obj_0040e#0001</v>
      </c>
      <c r="O18" s="153" t="str">
        <f>_xll.ohRangeRetrieveError(M18)&amp;_xll.ohRangeRetrieveError(N18)</f>
        <v/>
      </c>
      <c r="P18" s="57"/>
    </row>
    <row r="19" spans="1:16" ht="11.25" customHeight="1" x14ac:dyDescent="0.2">
      <c r="A19" s="47"/>
      <c r="B19" s="78">
        <v>0</v>
      </c>
      <c r="C19" s="78" t="s">
        <v>86</v>
      </c>
      <c r="D19" s="78" t="s">
        <v>2</v>
      </c>
      <c r="E19" s="78" t="s">
        <v>49</v>
      </c>
      <c r="F19" s="78" t="s">
        <v>85</v>
      </c>
      <c r="G19" s="79" t="str">
        <f t="shared" si="0"/>
        <v>Semiannual</v>
      </c>
      <c r="H19" s="79" t="s">
        <v>67</v>
      </c>
      <c r="I19" s="79" t="str">
        <f t="shared" si="1"/>
        <v>Actual/365 (Fixed)</v>
      </c>
      <c r="J19" s="80" t="str">
        <f t="shared" si="2"/>
        <v>GBP1L6L40Y_Quote</v>
      </c>
      <c r="K19" s="93" t="str">
        <f t="shared" si="3"/>
        <v>GBPSB6L40Y_Quote</v>
      </c>
      <c r="L19" s="200" t="str">
        <f t="shared" si="4"/>
        <v>GBP1L6L40Y_LCHQuote</v>
      </c>
      <c r="M19" s="98" t="str">
        <f>IF($L$4,_xll.qlSwapRateHelper2(,$L19,$B19,$D19,Calendar,$G19,$H19,$I19,$N$4,0,$C19,Discounting1,,,Permanent,Trigger,ObjectOverwrite),_xll.qlSwapRateHelper2(,$K19,$B19,$D19,Calendar,$G19,$H19,$I19,$N$4,$J19,$C19,Discounting1,,,Permanent,Trigger,ObjectOverwrite))</f>
        <v>obj_0041f#0001</v>
      </c>
      <c r="N19" s="96" t="str">
        <f>IF($L$4,_xll.qlSwapRateHelper2(,$L19,$B19,$D19,Calendar,$G19,$H19,$I19,$N$4,0,$C19,Discounting2,,,Permanent,Trigger,ObjectOverwrite),_xll.qlSwapRateHelper2(,$K19,$B19,$D19,Calendar,$G19,$H19,$I19,$N$4,$J19,$C19,Discounting1,,,Permanent,Trigger,ObjectOverwrite))</f>
        <v>obj_0041e#0001</v>
      </c>
      <c r="O19" s="153" t="str">
        <f>_xll.ohRangeRetrieveError(M19)&amp;_xll.ohRangeRetrieveError(N19)</f>
        <v/>
      </c>
      <c r="P19" s="57"/>
    </row>
    <row r="20" spans="1:16" ht="11.25" customHeight="1" x14ac:dyDescent="0.2">
      <c r="A20" s="47"/>
      <c r="B20" s="78">
        <v>0</v>
      </c>
      <c r="C20" s="78" t="s">
        <v>86</v>
      </c>
      <c r="D20" s="78" t="s">
        <v>1</v>
      </c>
      <c r="E20" s="78" t="s">
        <v>49</v>
      </c>
      <c r="F20" s="78" t="s">
        <v>85</v>
      </c>
      <c r="G20" s="79" t="str">
        <f t="shared" si="0"/>
        <v>Semiannual</v>
      </c>
      <c r="H20" s="79" t="s">
        <v>67</v>
      </c>
      <c r="I20" s="79" t="str">
        <f t="shared" si="1"/>
        <v>Actual/365 (Fixed)</v>
      </c>
      <c r="J20" s="80" t="str">
        <f t="shared" si="2"/>
        <v>GBP1L6L50Y_Quote</v>
      </c>
      <c r="K20" s="93" t="str">
        <f t="shared" si="3"/>
        <v>GBPSB6L50Y_Quote</v>
      </c>
      <c r="L20" s="200" t="str">
        <f t="shared" si="4"/>
        <v>GBP1L6L50Y_LCHQuote</v>
      </c>
      <c r="M20" s="98" t="str">
        <f>IF($L$4,_xll.qlSwapRateHelper2(,$L20,$B20,$D20,Calendar,$G20,$H20,$I20,$N$4,0,$C20,Discounting1,,,Permanent,Trigger,ObjectOverwrite),_xll.qlSwapRateHelper2(,$K20,$B20,$D20,Calendar,$G20,$H20,$I20,$N$4,$J20,$C20,Discounting1,,,Permanent,Trigger,ObjectOverwrite))</f>
        <v>obj_0041d#0001</v>
      </c>
      <c r="N20" s="96" t="str">
        <f>IF($L$4,_xll.qlSwapRateHelper2(,$L20,$B20,$D20,Calendar,$G20,$H20,$I20,$N$4,0,$C20,Discounting2,,,Permanent,Trigger,ObjectOverwrite),_xll.qlSwapRateHelper2(,$K20,$B20,$D20,Calendar,$G20,$H20,$I20,$N$4,$J20,$C20,Discounting1,,,Permanent,Trigger,ObjectOverwrite))</f>
        <v>obj_00417#0001</v>
      </c>
      <c r="O20" s="153" t="str">
        <f>_xll.ohRangeRetrieveError(M20)&amp;_xll.ohRangeRetrieveError(N20)</f>
        <v/>
      </c>
      <c r="P20" s="57"/>
    </row>
    <row r="21" spans="1:16" ht="11.25" customHeight="1" x14ac:dyDescent="0.2">
      <c r="A21" s="47"/>
      <c r="B21" s="81">
        <v>0</v>
      </c>
      <c r="C21" s="81" t="s">
        <v>86</v>
      </c>
      <c r="D21" s="81" t="s">
        <v>0</v>
      </c>
      <c r="E21" s="81" t="s">
        <v>49</v>
      </c>
      <c r="F21" s="81" t="s">
        <v>85</v>
      </c>
      <c r="G21" s="59" t="str">
        <f t="shared" si="0"/>
        <v>Semiannual</v>
      </c>
      <c r="H21" s="59" t="s">
        <v>67</v>
      </c>
      <c r="I21" s="59" t="str">
        <f t="shared" si="1"/>
        <v>Actual/365 (Fixed)</v>
      </c>
      <c r="J21" s="82" t="str">
        <f t="shared" si="2"/>
        <v>GBP1L6L60Y_Quote</v>
      </c>
      <c r="K21" s="94" t="str">
        <f t="shared" si="3"/>
        <v>GBPSB6L60Y_Quote</v>
      </c>
      <c r="L21" s="201" t="str">
        <f t="shared" si="4"/>
        <v>GBP1L6L60Y_LCHQuote</v>
      </c>
      <c r="M21" s="100" t="str">
        <f>IF($L$4,_xll.qlSwapRateHelper2(,$L21,$B21,$D21,Calendar,$G21,$H21,$I21,$N$4,0,$C21,Discounting1,,,Permanent,Trigger,ObjectOverwrite),_xll.qlSwapRateHelper2(,$K21,$B21,$D21,Calendar,$G21,$H21,$I21,$N$4,$J21,$C21,Discounting1,,,Permanent,Trigger,ObjectOverwrite))</f>
        <v>obj_0040f#0001</v>
      </c>
      <c r="N21" s="97" t="str">
        <f>IF($L$4,_xll.qlSwapRateHelper2(,$L21,$B21,$D21,Calendar,$G21,$H21,$I21,$N$4,0,$C21,Discounting2,,,Permanent,Trigger,ObjectOverwrite),_xll.qlSwapRateHelper2(,$K21,$B21,$D21,Calendar,$G21,$H21,$I21,$N$4,$J21,$C21,Discounting1,,,Permanent,Trigger,ObjectOverwrite))</f>
        <v>obj_00408#0001</v>
      </c>
      <c r="O21" s="154" t="str">
        <f>_xll.ohRangeRetrieveError(M21)&amp;_xll.ohRangeRetrieveError(N21)</f>
        <v/>
      </c>
      <c r="P21" s="57"/>
    </row>
    <row r="22" spans="1:16" ht="11.25" customHeight="1" thickBot="1" x14ac:dyDescent="0.25">
      <c r="A22" s="49"/>
      <c r="B22" s="197" t="s">
        <v>125</v>
      </c>
      <c r="C22" s="50"/>
      <c r="D22" s="50"/>
      <c r="E22" s="50"/>
      <c r="F22" s="50"/>
      <c r="G22" s="50"/>
      <c r="H22" s="50"/>
      <c r="I22" s="50"/>
      <c r="J22" s="50"/>
      <c r="K22" s="50"/>
      <c r="L22" s="50"/>
      <c r="M22" s="197" t="s">
        <v>101</v>
      </c>
      <c r="N22" s="198" t="s">
        <v>102</v>
      </c>
      <c r="O22" s="62"/>
      <c r="P22" s="63"/>
    </row>
  </sheetData>
  <dataValidations count="2">
    <dataValidation type="list" allowBlank="1" showInputMessage="1" showErrorMessage="1" sqref="H5:H21">
      <formula1>"Following,Modified Following,Preceding,Modified Preceding,Month End Reference,Unadjusted Month End,Unadjusted"</formula1>
    </dataValidation>
    <dataValidation type="list" allowBlank="1" showInputMessage="1" showErrorMessage="1" sqref="L4">
      <formula1>"true, false"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A26"/>
  <sheetViews>
    <sheetView topLeftCell="G1" workbookViewId="0">
      <selection activeCell="H1" sqref="H1:P1"/>
    </sheetView>
  </sheetViews>
  <sheetFormatPr defaultRowHeight="11.25" outlineLevelCol="1" x14ac:dyDescent="0.2"/>
  <cols>
    <col min="1" max="1" width="12" style="221" bestFit="1" customWidth="1"/>
    <col min="2" max="2" width="18.28515625" style="221" bestFit="1" customWidth="1"/>
    <col min="3" max="3" width="10" style="221" hidden="1" customWidth="1" outlineLevel="1"/>
    <col min="4" max="4" width="9" style="221" hidden="1" customWidth="1" outlineLevel="1"/>
    <col min="5" max="5" width="12.85546875" style="221" hidden="1" customWidth="1" outlineLevel="1"/>
    <col min="6" max="6" width="17.28515625" style="221" bestFit="1" customWidth="1" collapsed="1"/>
    <col min="7" max="7" width="9.140625" style="221"/>
    <col min="8" max="9" width="17.28515625" style="221" bestFit="1" customWidth="1"/>
    <col min="10" max="10" width="19.28515625" style="221" hidden="1" customWidth="1" outlineLevel="1"/>
    <col min="11" max="11" width="9" style="221" hidden="1" customWidth="1" outlineLevel="1"/>
    <col min="12" max="13" width="8" style="221" hidden="1" customWidth="1" outlineLevel="1"/>
    <col min="14" max="14" width="13.140625" style="221" bestFit="1" customWidth="1" collapsed="1"/>
    <col min="15" max="15" width="12" style="221" bestFit="1" customWidth="1"/>
    <col min="16" max="16" width="12.140625" style="221" bestFit="1" customWidth="1"/>
    <col min="17" max="17" width="9.140625" style="221"/>
    <col min="18" max="19" width="17.28515625" style="221" bestFit="1" customWidth="1"/>
    <col min="20" max="20" width="19.28515625" style="221" hidden="1" customWidth="1" outlineLevel="1"/>
    <col min="21" max="21" width="9" style="221" hidden="1" customWidth="1" outlineLevel="1"/>
    <col min="22" max="23" width="8" style="221" hidden="1" customWidth="1" outlineLevel="1"/>
    <col min="24" max="24" width="13.140625" style="221" bestFit="1" customWidth="1" collapsed="1"/>
    <col min="25" max="25" width="12" style="221" bestFit="1" customWidth="1"/>
    <col min="26" max="26" width="10" style="221" bestFit="1" customWidth="1"/>
    <col min="27" max="28" width="9.140625" style="221"/>
    <col min="29" max="29" width="17.28515625" style="221" bestFit="1" customWidth="1"/>
    <col min="30" max="31" width="13.140625" style="221" bestFit="1" customWidth="1"/>
    <col min="32" max="32" width="12" style="221" bestFit="1" customWidth="1"/>
    <col min="33" max="33" width="10" style="221" bestFit="1" customWidth="1"/>
    <col min="34" max="16384" width="9.140625" style="221"/>
  </cols>
  <sheetData>
    <row r="1" spans="1:27" ht="15" customHeight="1" x14ac:dyDescent="0.2">
      <c r="A1" s="235" t="s">
        <v>117</v>
      </c>
      <c r="B1" s="236"/>
      <c r="C1" s="236"/>
      <c r="D1" s="236"/>
      <c r="E1" s="236"/>
      <c r="F1" s="237"/>
      <c r="G1" s="215"/>
      <c r="H1" s="238" t="s">
        <v>118</v>
      </c>
      <c r="I1" s="236"/>
      <c r="J1" s="236"/>
      <c r="K1" s="236"/>
      <c r="L1" s="236"/>
      <c r="M1" s="236"/>
      <c r="N1" s="236"/>
      <c r="O1" s="236"/>
      <c r="P1" s="237"/>
      <c r="Q1" s="215"/>
      <c r="R1" s="238" t="s">
        <v>116</v>
      </c>
      <c r="S1" s="236"/>
      <c r="T1" s="236"/>
      <c r="U1" s="236"/>
      <c r="V1" s="236"/>
      <c r="W1" s="236"/>
      <c r="X1" s="236"/>
      <c r="Y1" s="236"/>
      <c r="Z1" s="237"/>
      <c r="AA1" s="216"/>
    </row>
    <row r="2" spans="1:27" x14ac:dyDescent="0.2">
      <c r="A2" s="179" t="s">
        <v>89</v>
      </c>
      <c r="B2" s="180" t="s">
        <v>107</v>
      </c>
      <c r="C2" s="180" t="s">
        <v>108</v>
      </c>
      <c r="D2" s="180" t="s">
        <v>109</v>
      </c>
      <c r="E2" s="180" t="s">
        <v>25</v>
      </c>
      <c r="F2" s="180" t="s">
        <v>110</v>
      </c>
      <c r="G2" s="208"/>
      <c r="H2" s="180" t="s">
        <v>92</v>
      </c>
      <c r="I2" s="180" t="s">
        <v>94</v>
      </c>
      <c r="J2" s="184" t="s">
        <v>82</v>
      </c>
      <c r="K2" s="180" t="s">
        <v>114</v>
      </c>
      <c r="L2" s="180" t="s">
        <v>115</v>
      </c>
      <c r="M2" s="180" t="s">
        <v>25</v>
      </c>
      <c r="N2" s="180" t="s">
        <v>112</v>
      </c>
      <c r="O2" s="180" t="s">
        <v>113</v>
      </c>
      <c r="P2" s="180" t="s">
        <v>25</v>
      </c>
      <c r="Q2" s="208"/>
      <c r="R2" s="180" t="s">
        <v>92</v>
      </c>
      <c r="S2" s="180" t="s">
        <v>94</v>
      </c>
      <c r="T2" s="184" t="s">
        <v>82</v>
      </c>
      <c r="U2" s="180" t="s">
        <v>114</v>
      </c>
      <c r="V2" s="180" t="s">
        <v>115</v>
      </c>
      <c r="W2" s="180" t="s">
        <v>25</v>
      </c>
      <c r="X2" s="180" t="s">
        <v>112</v>
      </c>
      <c r="Y2" s="180" t="s">
        <v>113</v>
      </c>
      <c r="Z2" s="180" t="s">
        <v>25</v>
      </c>
      <c r="AA2" s="217"/>
    </row>
    <row r="3" spans="1:27" x14ac:dyDescent="0.2">
      <c r="A3" s="202" t="str">
        <f t="array" ref="A3:A25">'[1]1M'!$B$3:$B$25</f>
        <v>GBP1MD</v>
      </c>
      <c r="B3" s="203">
        <f t="array" ref="B3:B25">'[1]1M'!$C$3:$C$25</f>
        <v>42223</v>
      </c>
      <c r="C3" s="204">
        <f t="array" ref="C3:C25">'[1]1M'!$E$3:$E$25</f>
        <v>5.0724999999999998E-3</v>
      </c>
      <c r="D3" s="204">
        <f>Selected!H2</f>
        <v>5.0724999999999998E-3</v>
      </c>
      <c r="E3" s="181">
        <f>D3-C3</f>
        <v>0</v>
      </c>
      <c r="F3" s="203">
        <f>Selected!L2</f>
        <v>42223</v>
      </c>
      <c r="G3" s="208"/>
      <c r="H3" s="205" t="s">
        <v>93</v>
      </c>
      <c r="I3" s="203">
        <v>42223</v>
      </c>
      <c r="J3" s="206">
        <f>_xll.qlDayCounterYearFraction($J$2,_xll.qlSettingsEvaluationDate(Trigger),I3,,,Trigger)</f>
        <v>8.4931506849315067E-2</v>
      </c>
      <c r="K3" s="204">
        <v>5.0714076590006596E-3</v>
      </c>
      <c r="L3" s="204">
        <f>_xll.qlYieldTSZeroRate(YieldCurve1,I3,$J$2,,,TRUE,Trigger)</f>
        <v>5.0714076590016718E-3</v>
      </c>
      <c r="M3" s="181">
        <f t="shared" ref="M3:M8" si="0">K3-L3</f>
        <v>-1.0122111482324669E-15</v>
      </c>
      <c r="N3" s="207">
        <v>0.99956937045320504</v>
      </c>
      <c r="O3" s="207">
        <f>_xll.qlYieldTSDiscount(YieldCurve1,I3,TRUE,Trigger)</f>
        <v>0.9995693704532046</v>
      </c>
      <c r="P3" s="181">
        <f>O3-N3</f>
        <v>0</v>
      </c>
      <c r="Q3" s="208"/>
      <c r="R3" s="205" t="s">
        <v>93</v>
      </c>
      <c r="S3" s="203">
        <v>42223</v>
      </c>
      <c r="T3" s="206">
        <f>_xll.qlDayCounterYearFraction($J$2,_xll.qlSettingsEvaluationDate(Trigger),S3,,,Trigger)</f>
        <v>8.4931506849315067E-2</v>
      </c>
      <c r="U3" s="204">
        <v>5.0714076590006596E-3</v>
      </c>
      <c r="V3" s="204">
        <f>_xll.qlYieldTSZeroRate(YieldCurve2,S3,$T$2,,,TRUE,Trigger)</f>
        <v>5.0714076590042852E-3</v>
      </c>
      <c r="W3" s="181">
        <f>U3-V3</f>
        <v>-3.6255720647915268E-15</v>
      </c>
      <c r="X3" s="207">
        <v>0.99956937045320504</v>
      </c>
      <c r="Y3" s="207">
        <f>_xll.qlYieldTSDiscount(YieldCurve2,S3,TRUE,Trigger)</f>
        <v>0.99956937045320449</v>
      </c>
      <c r="Z3" s="181">
        <f>Y3-X3</f>
        <v>0</v>
      </c>
      <c r="AA3" s="217"/>
    </row>
    <row r="4" spans="1:27" x14ac:dyDescent="0.2">
      <c r="A4" s="202" t="str">
        <v>GBPAB1L2M</v>
      </c>
      <c r="B4" s="203">
        <v>42254</v>
      </c>
      <c r="C4" s="204">
        <v>5.1500000000000001E-3</v>
      </c>
      <c r="D4" s="204">
        <f>Selected!H3</f>
        <v>5.1500000000000001E-3</v>
      </c>
      <c r="E4" s="181">
        <f t="shared" ref="E4:E25" si="1">D4-C4</f>
        <v>0</v>
      </c>
      <c r="F4" s="203">
        <f>Selected!L3</f>
        <v>42254</v>
      </c>
      <c r="G4" s="208"/>
      <c r="H4" s="205" t="s">
        <v>93</v>
      </c>
      <c r="I4" s="203">
        <v>42254</v>
      </c>
      <c r="J4" s="206">
        <f>_xll.qlDayCounterYearFraction($J$2,_xll.qlSettingsEvaluationDate(Trigger),I4,,,Trigger)</f>
        <v>0.16986301369863013</v>
      </c>
      <c r="K4" s="204">
        <v>5.1478857695997698E-3</v>
      </c>
      <c r="L4" s="204">
        <f>_xll.qlYieldTSZeroRate(YieldCurve1,I4,$J$2,,,TRUE,Trigger)</f>
        <v>5.1478857695989103E-3</v>
      </c>
      <c r="M4" s="181">
        <f t="shared" si="0"/>
        <v>8.5955548234650792E-16</v>
      </c>
      <c r="N4" s="207">
        <v>0.99912594681621303</v>
      </c>
      <c r="O4" s="207">
        <f>_xll.qlYieldTSDiscount(YieldCurve1,I4,TRUE,Trigger)</f>
        <v>0.99912594681621281</v>
      </c>
      <c r="P4" s="181">
        <f t="shared" ref="P4:P25" si="2">O4-N4</f>
        <v>0</v>
      </c>
      <c r="Q4" s="208"/>
      <c r="R4" s="205" t="s">
        <v>93</v>
      </c>
      <c r="S4" s="203">
        <v>42254</v>
      </c>
      <c r="T4" s="206">
        <f>_xll.qlDayCounterYearFraction($J$2,_xll.qlSettingsEvaluationDate(Trigger),S4,,,Trigger)</f>
        <v>0.16986301369863013</v>
      </c>
      <c r="U4" s="204">
        <v>5.1478857695997698E-3</v>
      </c>
      <c r="V4" s="204">
        <f>_xll.qlYieldTSZeroRate(YieldCurve2,S4,$T$2,,,TRUE,Trigger)</f>
        <v>5.1478857696002174E-3</v>
      </c>
      <c r="W4" s="181">
        <f t="shared" ref="W4:W25" si="3">U4-V4</f>
        <v>-4.4755865680201623E-16</v>
      </c>
      <c r="X4" s="207">
        <v>0.99912594681621303</v>
      </c>
      <c r="Y4" s="207">
        <f>_xll.qlYieldTSDiscount(YieldCurve2,S4,TRUE,Trigger)</f>
        <v>0.9991259468162127</v>
      </c>
      <c r="Z4" s="181">
        <f t="shared" ref="Z4:Z25" si="4">Y4-X4</f>
        <v>0</v>
      </c>
      <c r="AA4" s="217"/>
    </row>
    <row r="5" spans="1:27" x14ac:dyDescent="0.2">
      <c r="A5" s="202" t="str">
        <v>GBPAB1L3M</v>
      </c>
      <c r="B5" s="203">
        <v>42284</v>
      </c>
      <c r="C5" s="204">
        <v>5.1592499999999998E-3</v>
      </c>
      <c r="D5" s="204">
        <f>Selected!H4</f>
        <v>5.1592499999999998E-3</v>
      </c>
      <c r="E5" s="181">
        <f t="shared" si="1"/>
        <v>0</v>
      </c>
      <c r="F5" s="203">
        <f>Selected!L4</f>
        <v>42284</v>
      </c>
      <c r="G5" s="208"/>
      <c r="H5" s="205" t="s">
        <v>93</v>
      </c>
      <c r="I5" s="203">
        <v>42284</v>
      </c>
      <c r="J5" s="206">
        <f>_xll.qlDayCounterYearFraction($J$2,_xll.qlSettingsEvaluationDate(Trigger),I5,,,Trigger)</f>
        <v>0.25205479452054796</v>
      </c>
      <c r="K5" s="204">
        <v>5.1561497131854999E-3</v>
      </c>
      <c r="L5" s="204">
        <f>_xll.qlYieldTSZeroRate(YieldCurve1,I5,$J$2,,,TRUE,Trigger)</f>
        <v>5.1561497131861036E-3</v>
      </c>
      <c r="M5" s="181">
        <f t="shared" si="0"/>
        <v>-6.0368376963992887E-16</v>
      </c>
      <c r="N5" s="207">
        <v>0.99870121189979</v>
      </c>
      <c r="O5" s="207">
        <f>_xll.qlYieldTSDiscount(YieldCurve1,I5,TRUE,Trigger)</f>
        <v>0.99870121189978966</v>
      </c>
      <c r="P5" s="181">
        <f t="shared" si="2"/>
        <v>0</v>
      </c>
      <c r="Q5" s="208"/>
      <c r="R5" s="205" t="s">
        <v>93</v>
      </c>
      <c r="S5" s="203">
        <v>42284</v>
      </c>
      <c r="T5" s="206">
        <f>_xll.qlDayCounterYearFraction($J$2,_xll.qlSettingsEvaluationDate(Trigger),S5,,,Trigger)</f>
        <v>0.25205479452054796</v>
      </c>
      <c r="U5" s="204">
        <v>5.1561497131854999E-3</v>
      </c>
      <c r="V5" s="204">
        <f>_xll.qlYieldTSZeroRate(YieldCurve2,S5,$T$2,,,TRUE,Trigger)</f>
        <v>5.1561497132916788E-3</v>
      </c>
      <c r="W5" s="181">
        <f t="shared" si="3"/>
        <v>-1.0617895451758841E-13</v>
      </c>
      <c r="X5" s="207">
        <v>0.99870121189979</v>
      </c>
      <c r="Y5" s="207">
        <f>_xll.qlYieldTSDiscount(YieldCurve2,S5,TRUE,Trigger)</f>
        <v>0.99870121189976291</v>
      </c>
      <c r="Z5" s="181">
        <f t="shared" si="4"/>
        <v>-2.708944180085382E-14</v>
      </c>
      <c r="AA5" s="217"/>
    </row>
    <row r="6" spans="1:27" x14ac:dyDescent="0.2">
      <c r="A6" s="202" t="str">
        <v>GBPAB1L6M</v>
      </c>
      <c r="B6" s="203">
        <v>42376</v>
      </c>
      <c r="C6" s="204">
        <v>5.2967500000000002E-3</v>
      </c>
      <c r="D6" s="204">
        <f>Selected!H5</f>
        <v>5.2967500000000002E-3</v>
      </c>
      <c r="E6" s="181">
        <f t="shared" si="1"/>
        <v>0</v>
      </c>
      <c r="F6" s="203">
        <f>Selected!L5</f>
        <v>42376</v>
      </c>
      <c r="G6" s="208"/>
      <c r="H6" s="205" t="s">
        <v>93</v>
      </c>
      <c r="I6" s="203">
        <v>42376</v>
      </c>
      <c r="J6" s="206">
        <f>_xll.qlDayCounterYearFraction($J$2,_xll.qlSettingsEvaluationDate(Trigger),I6,,,Trigger)</f>
        <v>0.50410958904109593</v>
      </c>
      <c r="K6" s="204">
        <v>5.2899055946730601E-3</v>
      </c>
      <c r="L6" s="204">
        <f>_xll.qlYieldTSZeroRate(YieldCurve1,I6,$J$2,,,TRUE,Trigger)</f>
        <v>5.2899055946836323E-3</v>
      </c>
      <c r="M6" s="181">
        <f t="shared" si="0"/>
        <v>-1.0572272224340651E-14</v>
      </c>
      <c r="N6" s="207">
        <v>0.99733686032959701</v>
      </c>
      <c r="O6" s="207">
        <f>_xll.qlYieldTSDiscount(YieldCurve1,I6,TRUE,Trigger)</f>
        <v>0.9973368603295919</v>
      </c>
      <c r="P6" s="181">
        <f t="shared" si="2"/>
        <v>-5.1070259132757201E-15</v>
      </c>
      <c r="Q6" s="208"/>
      <c r="R6" s="205" t="s">
        <v>93</v>
      </c>
      <c r="S6" s="203">
        <v>42376</v>
      </c>
      <c r="T6" s="206">
        <f>_xll.qlDayCounterYearFraction($J$2,_xll.qlSettingsEvaluationDate(Trigger),S6,,,Trigger)</f>
        <v>0.50410958904109593</v>
      </c>
      <c r="U6" s="204">
        <v>5.2895264113470104E-3</v>
      </c>
      <c r="V6" s="204">
        <f>_xll.qlYieldTSZeroRate(YieldCurve2,S6,$T$2,,,TRUE,Trigger)</f>
        <v>5.2895133713283995E-3</v>
      </c>
      <c r="W6" s="181">
        <f t="shared" si="3"/>
        <v>1.3040018610917248E-8</v>
      </c>
      <c r="X6" s="207">
        <v>0.99733705097050696</v>
      </c>
      <c r="Y6" s="207">
        <f>_xll.qlYieldTSDiscount(YieldCurve2,S6,TRUE,Trigger)</f>
        <v>0.9973370575266004</v>
      </c>
      <c r="Z6" s="181">
        <f t="shared" si="4"/>
        <v>6.5560934459085729E-9</v>
      </c>
      <c r="AA6" s="217"/>
    </row>
    <row r="7" spans="1:27" x14ac:dyDescent="0.2">
      <c r="A7" s="202" t="str">
        <v>GBPAB1L9M</v>
      </c>
      <c r="B7" s="203">
        <v>42467</v>
      </c>
      <c r="C7" s="204">
        <v>5.5612500000000002E-3</v>
      </c>
      <c r="D7" s="204">
        <f>Selected!H6</f>
        <v>5.5612500000000002E-3</v>
      </c>
      <c r="E7" s="181">
        <f t="shared" si="1"/>
        <v>0</v>
      </c>
      <c r="F7" s="203">
        <f>Selected!L6</f>
        <v>42467</v>
      </c>
      <c r="G7" s="208"/>
      <c r="H7" s="205" t="s">
        <v>93</v>
      </c>
      <c r="I7" s="203">
        <v>42467</v>
      </c>
      <c r="J7" s="206">
        <f>_xll.qlDayCounterYearFraction($J$2,_xll.qlSettingsEvaluationDate(Trigger),I7,,,Trigger)</f>
        <v>0.75342465753424659</v>
      </c>
      <c r="K7" s="204">
        <v>5.5502475394674997E-3</v>
      </c>
      <c r="L7" s="204">
        <f>_xll.qlYieldTSZeroRate(YieldCurve1,I7,$J$2,,,TRUE,Trigger)</f>
        <v>5.5502475394749798E-3</v>
      </c>
      <c r="M7" s="181">
        <f t="shared" si="0"/>
        <v>-7.4801276284119922E-15</v>
      </c>
      <c r="N7" s="207">
        <v>0.99582703775348203</v>
      </c>
      <c r="O7" s="207">
        <f>_xll.qlYieldTSDiscount(YieldCurve1,I7,TRUE,Trigger)</f>
        <v>0.99582703775347658</v>
      </c>
      <c r="P7" s="181">
        <f t="shared" si="2"/>
        <v>-5.440092820663267E-15</v>
      </c>
      <c r="Q7" s="208"/>
      <c r="R7" s="205" t="s">
        <v>93</v>
      </c>
      <c r="S7" s="203">
        <v>42467</v>
      </c>
      <c r="T7" s="206">
        <f>_xll.qlDayCounterYearFraction($J$2,_xll.qlSettingsEvaluationDate(Trigger),S7,,,Trigger)</f>
        <v>0.75342465753424659</v>
      </c>
      <c r="U7" s="204">
        <v>5.54978548540252E-3</v>
      </c>
      <c r="V7" s="204">
        <f>_xll.qlYieldTSZeroRate(YieldCurve2,S7,$T$2,,,TRUE,Trigger)</f>
        <v>5.5497779475086433E-3</v>
      </c>
      <c r="W7" s="181">
        <f t="shared" si="3"/>
        <v>7.537893876793933E-9</v>
      </c>
      <c r="X7" s="207">
        <v>0.99582738442376395</v>
      </c>
      <c r="Y7" s="207">
        <f>_xll.qlYieldTSDiscount(YieldCurve2,S7,TRUE,Trigger)</f>
        <v>0.99582739007930221</v>
      </c>
      <c r="Z7" s="181">
        <f t="shared" si="4"/>
        <v>5.6555382599299264E-9</v>
      </c>
      <c r="AA7" s="217"/>
    </row>
    <row r="8" spans="1:27" x14ac:dyDescent="0.2">
      <c r="A8" s="202" t="str">
        <v>GBPAB1L1Y</v>
      </c>
      <c r="B8" s="203">
        <v>42558</v>
      </c>
      <c r="C8" s="204">
        <v>5.9699999999999996E-3</v>
      </c>
      <c r="D8" s="204">
        <f>Selected!H7</f>
        <v>5.9699999999999996E-3</v>
      </c>
      <c r="E8" s="181">
        <f t="shared" si="1"/>
        <v>0</v>
      </c>
      <c r="F8" s="203">
        <f>Selected!L7</f>
        <v>42558</v>
      </c>
      <c r="G8" s="208"/>
      <c r="H8" s="205" t="s">
        <v>93</v>
      </c>
      <c r="I8" s="203">
        <v>42558</v>
      </c>
      <c r="J8" s="206">
        <f>_xll.qlDayCounterYearFraction($J$2,_xll.qlSettingsEvaluationDate(Trigger),I8,,,Trigger)</f>
        <v>1.0027397260273974</v>
      </c>
      <c r="K8" s="204">
        <v>5.9529139733294299E-3</v>
      </c>
      <c r="L8" s="204">
        <f>_xll.qlYieldTSZeroRate(YieldCurve1,I8,$J$2,,,TRUE,Trigger)</f>
        <v>5.9529139735053889E-3</v>
      </c>
      <c r="M8" s="181">
        <f t="shared" si="0"/>
        <v>-1.7595907370049346E-13</v>
      </c>
      <c r="N8" s="207">
        <v>0.99404855709086204</v>
      </c>
      <c r="O8" s="207">
        <f>_xll.qlYieldTSDiscount(YieldCurve1,I8,TRUE,Trigger)</f>
        <v>0.9940485570906864</v>
      </c>
      <c r="P8" s="181">
        <f t="shared" si="2"/>
        <v>-1.7563728249569976E-13</v>
      </c>
      <c r="Q8" s="208"/>
      <c r="R8" s="205" t="s">
        <v>93</v>
      </c>
      <c r="S8" s="203">
        <v>42558</v>
      </c>
      <c r="T8" s="206">
        <f>_xll.qlDayCounterYearFraction($J$2,_xll.qlSettingsEvaluationDate(Trigger),S8,,,Trigger)</f>
        <v>1.0027397260273974</v>
      </c>
      <c r="U8" s="204">
        <v>5.9522024887816603E-3</v>
      </c>
      <c r="V8" s="204">
        <f>_xll.qlYieldTSZeroRate(YieldCurve2,S8,$T$2,,,TRUE,Trigger)</f>
        <v>5.9521962225839971E-3</v>
      </c>
      <c r="W8" s="181">
        <f t="shared" si="3"/>
        <v>6.2661976631822602E-9</v>
      </c>
      <c r="X8" s="207">
        <v>0.99404926627897505</v>
      </c>
      <c r="Y8" s="207">
        <f>_xll.qlYieldTSDiscount(YieldCurve2,S8,TRUE,Trigger)</f>
        <v>0.99404927252494912</v>
      </c>
      <c r="Z8" s="181">
        <f t="shared" si="4"/>
        <v>6.2459740712839107E-9</v>
      </c>
      <c r="AA8" s="217"/>
    </row>
    <row r="9" spans="1:27" x14ac:dyDescent="0.2">
      <c r="A9" s="202" t="str">
        <v>GBP1L6L2Y</v>
      </c>
      <c r="B9" s="203">
        <v>42923</v>
      </c>
      <c r="C9" s="204">
        <v>8.1412499999999992E-3</v>
      </c>
      <c r="D9" s="204">
        <f>Selected!H8</f>
        <v>8.1412499999999992E-3</v>
      </c>
      <c r="E9" s="181">
        <f t="shared" si="1"/>
        <v>0</v>
      </c>
      <c r="F9" s="203">
        <f>Selected!L8</f>
        <v>42923</v>
      </c>
      <c r="G9" s="208"/>
      <c r="H9" s="205" t="s">
        <v>93</v>
      </c>
      <c r="I9" s="203">
        <v>42923</v>
      </c>
      <c r="J9" s="206">
        <f>_xll.qlDayCounterYearFraction($J$2,_xll.qlSettingsEvaluationDate(Trigger),I9,,,Trigger)</f>
        <v>2.0027397260273974</v>
      </c>
      <c r="K9" s="204">
        <v>8.1339478088424001E-3</v>
      </c>
      <c r="L9" s="204">
        <f>_xll.qlYieldTSZeroRate(YieldCurve1,I9,$J$2,,,TRUE,Trigger)</f>
        <v>8.133947808810946E-3</v>
      </c>
      <c r="M9" s="181">
        <f t="shared" ref="M9:M25" si="5">K9-L9</f>
        <v>3.1454006066411466E-14</v>
      </c>
      <c r="N9" s="207">
        <v>0.98384178701984704</v>
      </c>
      <c r="O9" s="207">
        <f>_xll.qlYieldTSDiscount(YieldCurve1,I9,TRUE,Trigger)</f>
        <v>0.98384178701990854</v>
      </c>
      <c r="P9" s="181">
        <f t="shared" si="2"/>
        <v>6.1506355564233672E-14</v>
      </c>
      <c r="Q9" s="208"/>
      <c r="R9" s="205" t="s">
        <v>93</v>
      </c>
      <c r="S9" s="203">
        <v>42923</v>
      </c>
      <c r="T9" s="206">
        <f>_xll.qlDayCounterYearFraction($J$2,_xll.qlSettingsEvaluationDate(Trigger),S9,,,Trigger)</f>
        <v>2.0027397260273974</v>
      </c>
      <c r="U9" s="204">
        <v>8.1336823012602508E-3</v>
      </c>
      <c r="V9" s="204">
        <f>_xll.qlYieldTSZeroRate(YieldCurve2,S9,$T$2,,,TRUE,Trigger)</f>
        <v>8.1336791050294465E-3</v>
      </c>
      <c r="W9" s="181">
        <f t="shared" si="3"/>
        <v>3.1962308043309573E-9</v>
      </c>
      <c r="X9" s="207">
        <v>0.98384231017055801</v>
      </c>
      <c r="Y9" s="207">
        <f>_xll.qlYieldTSDiscount(YieldCurve2,S9,TRUE,Trigger)</f>
        <v>0.98384231646834763</v>
      </c>
      <c r="Z9" s="181">
        <f t="shared" si="4"/>
        <v>6.2977896231330988E-9</v>
      </c>
      <c r="AA9" s="217"/>
    </row>
    <row r="10" spans="1:27" x14ac:dyDescent="0.2">
      <c r="A10" s="202" t="str">
        <v>GBP1L6L3Y</v>
      </c>
      <c r="B10" s="203">
        <v>43290</v>
      </c>
      <c r="C10" s="204">
        <v>1.0371999999999999E-2</v>
      </c>
      <c r="D10" s="204">
        <f>Selected!H9</f>
        <v>1.0371999999999999E-2</v>
      </c>
      <c r="E10" s="181">
        <f t="shared" si="1"/>
        <v>0</v>
      </c>
      <c r="F10" s="203">
        <f>Selected!L9</f>
        <v>43290</v>
      </c>
      <c r="G10" s="208"/>
      <c r="H10" s="205" t="s">
        <v>93</v>
      </c>
      <c r="I10" s="203">
        <v>43290</v>
      </c>
      <c r="J10" s="206">
        <f>_xll.qlDayCounterYearFraction($J$2,_xll.qlSettingsEvaluationDate(Trigger),I10,,,Trigger)</f>
        <v>3.0082191780821916</v>
      </c>
      <c r="K10" s="204">
        <v>1.03754916828891E-2</v>
      </c>
      <c r="L10" s="204">
        <f>_xll.qlYieldTSZeroRate(YieldCurve1,I10,$J$2,,,TRUE,Trigger)</f>
        <v>1.0375491682960002E-2</v>
      </c>
      <c r="M10" s="181">
        <f t="shared" si="5"/>
        <v>-7.090161791012406E-14</v>
      </c>
      <c r="N10" s="207">
        <v>0.96927030538820702</v>
      </c>
      <c r="O10" s="207">
        <f>_xll.qlYieldTSDiscount(YieldCurve1,I10,TRUE,Trigger)</f>
        <v>0.96927030538799985</v>
      </c>
      <c r="P10" s="181">
        <f t="shared" si="2"/>
        <v>-2.0716761639505421E-13</v>
      </c>
      <c r="Q10" s="208"/>
      <c r="R10" s="205" t="s">
        <v>93</v>
      </c>
      <c r="S10" s="203">
        <v>43290</v>
      </c>
      <c r="T10" s="206">
        <f>_xll.qlDayCounterYearFraction($J$2,_xll.qlSettingsEvaluationDate(Trigger),S10,,,Trigger)</f>
        <v>3.0082191780821916</v>
      </c>
      <c r="U10" s="204">
        <v>1.03753654558006E-2</v>
      </c>
      <c r="V10" s="204">
        <f>_xll.qlYieldTSZeroRate(YieldCurve2,S10,$T$2,,,TRUE,Trigger)</f>
        <v>1.0375363347985563E-2</v>
      </c>
      <c r="W10" s="181">
        <f t="shared" si="3"/>
        <v>2.1078150370945625E-9</v>
      </c>
      <c r="X10" s="207">
        <v>0.96927067343838402</v>
      </c>
      <c r="Y10" s="207">
        <f>_xll.qlYieldTSDiscount(YieldCurve2,S10,TRUE,Trigger)</f>
        <v>0.96927067958430579</v>
      </c>
      <c r="Z10" s="181">
        <f t="shared" si="4"/>
        <v>6.1459217715054137E-9</v>
      </c>
      <c r="AA10" s="217"/>
    </row>
    <row r="11" spans="1:27" x14ac:dyDescent="0.2">
      <c r="A11" s="202" t="str">
        <v>GBP1L6L4Y</v>
      </c>
      <c r="B11" s="203">
        <v>43654</v>
      </c>
      <c r="C11" s="204">
        <v>1.2170500000000001E-2</v>
      </c>
      <c r="D11" s="204">
        <f>Selected!H10</f>
        <v>1.2170500000000001E-2</v>
      </c>
      <c r="E11" s="181">
        <f t="shared" si="1"/>
        <v>0</v>
      </c>
      <c r="F11" s="203">
        <f>Selected!L10</f>
        <v>43654</v>
      </c>
      <c r="G11" s="208"/>
      <c r="H11" s="205" t="s">
        <v>93</v>
      </c>
      <c r="I11" s="203">
        <v>43654</v>
      </c>
      <c r="J11" s="206">
        <f>_xll.qlDayCounterYearFraction($J$2,_xll.qlSettingsEvaluationDate(Trigger),I11,,,Trigger)</f>
        <v>4.0054794520547947</v>
      </c>
      <c r="K11" s="204">
        <v>1.21920861404274E-2</v>
      </c>
      <c r="L11" s="204">
        <f>_xll.qlYieldTSZeroRate(YieldCurve1,I11,$J$2,,,TRUE,Trigger)</f>
        <v>1.2192086140461772E-2</v>
      </c>
      <c r="M11" s="181">
        <f t="shared" si="5"/>
        <v>-3.4371810953004456E-14</v>
      </c>
      <c r="N11" s="207">
        <v>0.95233810920775097</v>
      </c>
      <c r="O11" s="207">
        <f>_xll.qlYieldTSDiscount(YieldCurve1,I11,TRUE,Trigger)</f>
        <v>0.95233810920761974</v>
      </c>
      <c r="P11" s="181">
        <f t="shared" si="2"/>
        <v>-1.312283615106935E-13</v>
      </c>
      <c r="Q11" s="208"/>
      <c r="R11" s="205" t="s">
        <v>93</v>
      </c>
      <c r="S11" s="203">
        <v>43654</v>
      </c>
      <c r="T11" s="206">
        <f>_xll.qlDayCounterYearFraction($J$2,_xll.qlSettingsEvaluationDate(Trigger),S11,,,Trigger)</f>
        <v>4.0054794520547947</v>
      </c>
      <c r="U11" s="204">
        <v>1.2191791181410901E-2</v>
      </c>
      <c r="V11" s="204">
        <f>_xll.qlYieldTSZeroRate(YieldCurve2,S11,$T$2,,,TRUE,Trigger)</f>
        <v>1.2191789594947076E-2</v>
      </c>
      <c r="W11" s="181">
        <f t="shared" si="3"/>
        <v>1.5864638248930252E-9</v>
      </c>
      <c r="X11" s="207">
        <v>0.95233923435044598</v>
      </c>
      <c r="Y11" s="207">
        <f>_xll.qlYieldTSDiscount(YieldCurve2,S11,TRUE,Trigger)</f>
        <v>0.95233924040213136</v>
      </c>
      <c r="Z11" s="181">
        <f t="shared" si="4"/>
        <v>6.0516853750414157E-9</v>
      </c>
      <c r="AA11" s="217"/>
    </row>
    <row r="12" spans="1:27" x14ac:dyDescent="0.2">
      <c r="A12" s="202" t="str">
        <v>GBP1L6L5Y</v>
      </c>
      <c r="B12" s="203">
        <v>44019</v>
      </c>
      <c r="C12" s="204">
        <v>1.3615749999999999E-2</v>
      </c>
      <c r="D12" s="204">
        <f>Selected!H11</f>
        <v>1.3615749999999999E-2</v>
      </c>
      <c r="E12" s="181">
        <f t="shared" si="1"/>
        <v>0</v>
      </c>
      <c r="F12" s="203">
        <f>Selected!L11</f>
        <v>44019</v>
      </c>
      <c r="G12" s="208"/>
      <c r="H12" s="205" t="s">
        <v>93</v>
      </c>
      <c r="I12" s="203">
        <v>44019</v>
      </c>
      <c r="J12" s="206">
        <f>_xll.qlDayCounterYearFraction($J$2,_xll.qlSettingsEvaluationDate(Trigger),I12,,,Trigger)</f>
        <v>5.0054794520547947</v>
      </c>
      <c r="K12" s="204">
        <v>1.36602809882981E-2</v>
      </c>
      <c r="L12" s="204">
        <f>_xll.qlYieldTSZeroRate(YieldCurve1,I12,$J$2,,,TRUE,Trigger)</f>
        <v>1.3660280988353665E-2</v>
      </c>
      <c r="M12" s="181">
        <f t="shared" si="5"/>
        <v>-5.5564927659013108E-14</v>
      </c>
      <c r="N12" s="207">
        <v>0.93390901878144805</v>
      </c>
      <c r="O12" s="207">
        <f>_xll.qlYieldTSDiscount(YieldCurve1,I12,TRUE,Trigger)</f>
        <v>0.93390901878118859</v>
      </c>
      <c r="P12" s="181">
        <f t="shared" si="2"/>
        <v>-2.5945912085489908E-13</v>
      </c>
      <c r="Q12" s="208"/>
      <c r="R12" s="205" t="s">
        <v>93</v>
      </c>
      <c r="S12" s="203">
        <v>44019</v>
      </c>
      <c r="T12" s="206">
        <f>_xll.qlDayCounterYearFraction($J$2,_xll.qlSettingsEvaluationDate(Trigger),S12,,,Trigger)</f>
        <v>5.0054794520547947</v>
      </c>
      <c r="U12" s="204">
        <v>1.3659505672794401E-2</v>
      </c>
      <c r="V12" s="204">
        <f>_xll.qlYieldTSZeroRate(YieldCurve2,S12,$T$2,,,TRUE,Trigger)</f>
        <v>1.3659504404020136E-2</v>
      </c>
      <c r="W12" s="181">
        <f t="shared" si="3"/>
        <v>1.2687742644706956E-9</v>
      </c>
      <c r="X12" s="207">
        <v>0.93391264312671696</v>
      </c>
      <c r="Y12" s="207">
        <f>_xll.qlYieldTSDiscount(YieldCurve2,S12,TRUE,Trigger)</f>
        <v>0.93391264905783145</v>
      </c>
      <c r="Z12" s="181">
        <f t="shared" si="4"/>
        <v>5.9311144884333089E-9</v>
      </c>
      <c r="AA12" s="217"/>
    </row>
    <row r="13" spans="1:27" x14ac:dyDescent="0.2">
      <c r="A13" s="202" t="str">
        <v>GBP1L6L6Y</v>
      </c>
      <c r="B13" s="203">
        <v>44384</v>
      </c>
      <c r="C13" s="204">
        <v>1.4847249999999999E-2</v>
      </c>
      <c r="D13" s="204">
        <f>Selected!H12</f>
        <v>1.4847249999999999E-2</v>
      </c>
      <c r="E13" s="181">
        <f t="shared" si="1"/>
        <v>0</v>
      </c>
      <c r="F13" s="203">
        <f>Selected!L12</f>
        <v>44384</v>
      </c>
      <c r="G13" s="208"/>
      <c r="H13" s="205" t="s">
        <v>93</v>
      </c>
      <c r="I13" s="203">
        <v>44384</v>
      </c>
      <c r="J13" s="206">
        <f>_xll.qlDayCounterYearFraction($J$2,_xll.qlSettingsEvaluationDate(Trigger),I13,,,Trigger)</f>
        <v>6.0054794520547947</v>
      </c>
      <c r="K13" s="204">
        <v>1.49194661294398E-2</v>
      </c>
      <c r="L13" s="204">
        <f>_xll.qlYieldTSZeroRate(YieldCurve1,I13,$J$2,,,TRUE,Trigger)</f>
        <v>1.4919466129640692E-2</v>
      </c>
      <c r="M13" s="181">
        <f t="shared" si="5"/>
        <v>-2.0089138685897012E-13</v>
      </c>
      <c r="N13" s="207">
        <v>0.91429815909151502</v>
      </c>
      <c r="O13" s="207">
        <f>_xll.qlYieldTSDiscount(YieldCurve1,I13,TRUE,Trigger)</f>
        <v>0.91429815909041201</v>
      </c>
      <c r="P13" s="181">
        <f t="shared" si="2"/>
        <v>-1.103006574965093E-12</v>
      </c>
      <c r="Q13" s="208"/>
      <c r="R13" s="205" t="s">
        <v>93</v>
      </c>
      <c r="S13" s="203">
        <v>44384</v>
      </c>
      <c r="T13" s="206">
        <f>_xll.qlDayCounterYearFraction($J$2,_xll.qlSettingsEvaluationDate(Trigger),S13,,,Trigger)</f>
        <v>6.0054794520547947</v>
      </c>
      <c r="U13" s="204">
        <v>1.49186781731549E-2</v>
      </c>
      <c r="V13" s="204">
        <f>_xll.qlYieldTSZeroRate(YieldCurve2,S13,$T$2,,,TRUE,Trigger)</f>
        <v>1.4918677115231911E-2</v>
      </c>
      <c r="W13" s="181">
        <f t="shared" si="3"/>
        <v>1.0579229887952568E-9</v>
      </c>
      <c r="X13" s="207">
        <v>0.91430248561118099</v>
      </c>
      <c r="Y13" s="207">
        <f>_xll.qlYieldTSDiscount(YieldCurve2,S13,TRUE,Trigger)</f>
        <v>0.91430249142005104</v>
      </c>
      <c r="Z13" s="181">
        <f t="shared" si="4"/>
        <v>5.8088700516378822E-9</v>
      </c>
      <c r="AA13" s="217"/>
    </row>
    <row r="14" spans="1:27" x14ac:dyDescent="0.2">
      <c r="A14" s="202" t="str">
        <v>GBP1L6L7Y</v>
      </c>
      <c r="B14" s="203">
        <v>44749</v>
      </c>
      <c r="C14" s="204">
        <v>1.58745E-2</v>
      </c>
      <c r="D14" s="204">
        <f>Selected!H13</f>
        <v>1.58745E-2</v>
      </c>
      <c r="E14" s="181">
        <f t="shared" si="1"/>
        <v>0</v>
      </c>
      <c r="F14" s="203">
        <f>Selected!L13</f>
        <v>44749</v>
      </c>
      <c r="G14" s="208"/>
      <c r="H14" s="205" t="s">
        <v>93</v>
      </c>
      <c r="I14" s="203">
        <v>44749</v>
      </c>
      <c r="J14" s="206">
        <f>_xll.qlDayCounterYearFraction($J$2,_xll.qlSettingsEvaluationDate(Trigger),I14,,,Trigger)</f>
        <v>7.0054794520547947</v>
      </c>
      <c r="K14" s="204">
        <v>1.5976226829152101E-2</v>
      </c>
      <c r="L14" s="204">
        <f>_xll.qlYieldTSZeroRate(YieldCurve1,I14,$J$2,,,TRUE,Trigger)</f>
        <v>1.5976226829317763E-2</v>
      </c>
      <c r="M14" s="181">
        <f t="shared" si="5"/>
        <v>-1.6566262250883312E-13</v>
      </c>
      <c r="N14" s="207">
        <v>0.89411477464879696</v>
      </c>
      <c r="O14" s="207">
        <f>_xll.qlYieldTSDiscount(YieldCurve1,I14,TRUE,Trigger)</f>
        <v>0.8941147746477589</v>
      </c>
      <c r="P14" s="181">
        <f t="shared" si="2"/>
        <v>-1.0380585280245214E-12</v>
      </c>
      <c r="Q14" s="208"/>
      <c r="R14" s="205" t="s">
        <v>93</v>
      </c>
      <c r="S14" s="203">
        <v>44749</v>
      </c>
      <c r="T14" s="206">
        <f>_xll.qlDayCounterYearFraction($J$2,_xll.qlSettingsEvaluationDate(Trigger),S14,,,Trigger)</f>
        <v>7.0054794520547947</v>
      </c>
      <c r="U14" s="204">
        <v>1.59754466253435E-2</v>
      </c>
      <c r="V14" s="204">
        <f>_xll.qlYieldTSZeroRate(YieldCurve2,S14,$T$2,,,TRUE,Trigger)</f>
        <v>1.5975445718619165E-2</v>
      </c>
      <c r="W14" s="181">
        <f t="shared" si="3"/>
        <v>9.0672433450400547E-10</v>
      </c>
      <c r="X14" s="207">
        <v>0.89411966162683998</v>
      </c>
      <c r="Y14" s="207">
        <f>_xll.qlYieldTSDiscount(YieldCurve2,S14,TRUE,Trigger)</f>
        <v>0.89411966730632275</v>
      </c>
      <c r="Z14" s="181">
        <f t="shared" si="4"/>
        <v>5.6794827729689246E-9</v>
      </c>
      <c r="AA14" s="217"/>
    </row>
    <row r="15" spans="1:27" x14ac:dyDescent="0.2">
      <c r="A15" s="202" t="str">
        <v>GBP1L6L8Y</v>
      </c>
      <c r="B15" s="203">
        <v>45114</v>
      </c>
      <c r="C15" s="204">
        <v>1.6725500000000001E-2</v>
      </c>
      <c r="D15" s="204">
        <f>Selected!H14</f>
        <v>1.6725500000000001E-2</v>
      </c>
      <c r="E15" s="181">
        <f t="shared" si="1"/>
        <v>0</v>
      </c>
      <c r="F15" s="203">
        <f>Selected!L14</f>
        <v>45114</v>
      </c>
      <c r="G15" s="208"/>
      <c r="H15" s="205" t="s">
        <v>93</v>
      </c>
      <c r="I15" s="203">
        <v>45114</v>
      </c>
      <c r="J15" s="206">
        <f>_xll.qlDayCounterYearFraction($J$2,_xll.qlSettingsEvaluationDate(Trigger),I15,,,Trigger)</f>
        <v>8.0054794520547947</v>
      </c>
      <c r="K15" s="204">
        <v>1.68568122174645E-2</v>
      </c>
      <c r="L15" s="204">
        <f>_xll.qlYieldTSZeroRate(YieldCurve1,I15,$J$2,,,TRUE,Trigger)</f>
        <v>1.6856812217604853E-2</v>
      </c>
      <c r="M15" s="181">
        <f t="shared" si="5"/>
        <v>-1.4035300699433151E-13</v>
      </c>
      <c r="N15" s="207">
        <v>0.87376233883517396</v>
      </c>
      <c r="O15" s="207">
        <f>_xll.qlYieldTSDiscount(YieldCurve1,I15,TRUE,Trigger)</f>
        <v>0.87376233883419141</v>
      </c>
      <c r="P15" s="181">
        <f t="shared" si="2"/>
        <v>-9.8254737679326354E-13</v>
      </c>
      <c r="Q15" s="208"/>
      <c r="R15" s="205" t="s">
        <v>93</v>
      </c>
      <c r="S15" s="203">
        <v>45114</v>
      </c>
      <c r="T15" s="206">
        <f>_xll.qlDayCounterYearFraction($J$2,_xll.qlSettingsEvaluationDate(Trigger),S15,,,Trigger)</f>
        <v>8.0054794520547947</v>
      </c>
      <c r="U15" s="204">
        <v>1.68560568257171E-2</v>
      </c>
      <c r="V15" s="204">
        <f>_xll.qlYieldTSZeroRate(YieldCurve2,S15,$T$2,,,TRUE,Trigger)</f>
        <v>1.6856056032071999E-2</v>
      </c>
      <c r="W15" s="181">
        <f t="shared" si="3"/>
        <v>7.9364510102708508E-10</v>
      </c>
      <c r="X15" s="207">
        <v>0.87376762273064801</v>
      </c>
      <c r="Y15" s="207">
        <f>_xll.qlYieldTSDiscount(YieldCurve2,S15,TRUE,Trigger)</f>
        <v>0.87376762828213872</v>
      </c>
      <c r="Z15" s="181">
        <f t="shared" si="4"/>
        <v>5.5514907115750134E-9</v>
      </c>
      <c r="AA15" s="217"/>
    </row>
    <row r="16" spans="1:27" x14ac:dyDescent="0.2">
      <c r="A16" s="202" t="str">
        <v>GBP1L6L9Y</v>
      </c>
      <c r="B16" s="203">
        <v>45481</v>
      </c>
      <c r="C16" s="204">
        <v>1.7448000000000002E-2</v>
      </c>
      <c r="D16" s="204">
        <f>Selected!H15</f>
        <v>1.7448000000000002E-2</v>
      </c>
      <c r="E16" s="181">
        <f t="shared" si="1"/>
        <v>0</v>
      </c>
      <c r="F16" s="203">
        <f>Selected!L15</f>
        <v>45481</v>
      </c>
      <c r="G16" s="208"/>
      <c r="H16" s="205" t="s">
        <v>93</v>
      </c>
      <c r="I16" s="203">
        <v>45481</v>
      </c>
      <c r="J16" s="206">
        <f>_xll.qlDayCounterYearFraction($J$2,_xll.qlSettingsEvaluationDate(Trigger),I16,,,Trigger)</f>
        <v>9.0109589041095894</v>
      </c>
      <c r="K16" s="204">
        <v>1.76087522761675E-2</v>
      </c>
      <c r="L16" s="204">
        <f>_xll.qlYieldTSZeroRate(YieldCurve1,I16,$J$2,,,TRUE,Trigger)</f>
        <v>1.7608752276288667E-2</v>
      </c>
      <c r="M16" s="181">
        <f t="shared" si="5"/>
        <v>-1.2116696535002802E-13</v>
      </c>
      <c r="N16" s="207">
        <v>0.85327640685969497</v>
      </c>
      <c r="O16" s="207">
        <f>_xll.qlYieldTSDiscount(YieldCurve1,I16,TRUE,Trigger)</f>
        <v>0.85327640685876371</v>
      </c>
      <c r="P16" s="181">
        <f t="shared" si="2"/>
        <v>-9.3125507305558131E-13</v>
      </c>
      <c r="Q16" s="208"/>
      <c r="R16" s="205" t="s">
        <v>93</v>
      </c>
      <c r="S16" s="203">
        <v>45481</v>
      </c>
      <c r="T16" s="206">
        <f>_xll.qlDayCounterYearFraction($J$2,_xll.qlSettingsEvaluationDate(Trigger),S16,,,Trigger)</f>
        <v>9.0109589041095894</v>
      </c>
      <c r="U16" s="204">
        <v>1.7607926661168598E-2</v>
      </c>
      <c r="V16" s="204">
        <f>_xll.qlYieldTSZeroRate(YieldCurve2,S16,$T$2,,,TRUE,Trigger)</f>
        <v>1.76079259561247E-2</v>
      </c>
      <c r="W16" s="181">
        <f t="shared" si="3"/>
        <v>7.0504389826364644E-10</v>
      </c>
      <c r="X16" s="207">
        <v>0.853282754903811</v>
      </c>
      <c r="Y16" s="207">
        <f>_xll.qlYieldTSDiscount(YieldCurve2,S16,TRUE,Trigger)</f>
        <v>0.85328276032481987</v>
      </c>
      <c r="Z16" s="181">
        <f t="shared" si="4"/>
        <v>5.4210088640260778E-9</v>
      </c>
      <c r="AA16" s="217"/>
    </row>
    <row r="17" spans="1:27" x14ac:dyDescent="0.2">
      <c r="A17" s="202" t="str">
        <v>GBP1L6L10Y</v>
      </c>
      <c r="B17" s="203">
        <v>45845</v>
      </c>
      <c r="C17" s="204">
        <v>1.8057500000000001E-2</v>
      </c>
      <c r="D17" s="204">
        <f>Selected!H16</f>
        <v>1.8057500000000001E-2</v>
      </c>
      <c r="E17" s="181">
        <f t="shared" si="1"/>
        <v>0</v>
      </c>
      <c r="F17" s="203">
        <f>Selected!L16</f>
        <v>45845</v>
      </c>
      <c r="G17" s="208"/>
      <c r="H17" s="205" t="s">
        <v>93</v>
      </c>
      <c r="I17" s="203">
        <v>45845</v>
      </c>
      <c r="J17" s="206">
        <f>_xll.qlDayCounterYearFraction($J$2,_xll.qlSettingsEvaluationDate(Trigger),I17,,,Trigger)</f>
        <v>10.008219178082191</v>
      </c>
      <c r="K17" s="204">
        <v>1.8246901746622302E-2</v>
      </c>
      <c r="L17" s="204">
        <f>_xll.qlYieldTSZeroRate(YieldCurve1,I17,$J$2,,,TRUE,Trigger)</f>
        <v>1.8246901746701044E-2</v>
      </c>
      <c r="M17" s="181">
        <f t="shared" si="5"/>
        <v>-7.8742568021539228E-14</v>
      </c>
      <c r="N17" s="207">
        <v>0.83308550751857802</v>
      </c>
      <c r="O17" s="207">
        <f>_xll.qlYieldTSDiscount(YieldCurve1,I17,TRUE,Trigger)</f>
        <v>0.83308550751792165</v>
      </c>
      <c r="P17" s="181">
        <f t="shared" si="2"/>
        <v>-6.5636385215839255E-13</v>
      </c>
      <c r="Q17" s="208"/>
      <c r="R17" s="205" t="s">
        <v>93</v>
      </c>
      <c r="S17" s="203">
        <v>45845</v>
      </c>
      <c r="T17" s="206">
        <f>_xll.qlDayCounterYearFraction($J$2,_xll.qlSettingsEvaluationDate(Trigger),S17,,,Trigger)</f>
        <v>10.008219178082191</v>
      </c>
      <c r="U17" s="204">
        <v>1.8245997267520599E-2</v>
      </c>
      <c r="V17" s="204">
        <f>_xll.qlYieldTSZeroRate(YieldCurve2,S17,$T$2,,,TRUE,Trigger)</f>
        <v>1.8245996632809753E-2</v>
      </c>
      <c r="W17" s="181">
        <f t="shared" si="3"/>
        <v>6.3471084638111464E-10</v>
      </c>
      <c r="X17" s="207">
        <v>0.83309304883024604</v>
      </c>
      <c r="Y17" s="207">
        <f>_xll.qlYieldTSDiscount(YieldCurve2,S17,TRUE,Trigger)</f>
        <v>0.83309305412232382</v>
      </c>
      <c r="Z17" s="181">
        <f t="shared" si="4"/>
        <v>5.2920777759979387E-9</v>
      </c>
      <c r="AA17" s="217"/>
    </row>
    <row r="18" spans="1:27" x14ac:dyDescent="0.2">
      <c r="A18" s="202" t="str">
        <v>GBP1L6L12Y</v>
      </c>
      <c r="B18" s="203">
        <v>46575</v>
      </c>
      <c r="C18" s="204">
        <v>1.92155E-2</v>
      </c>
      <c r="D18" s="204">
        <f>Selected!H17</f>
        <v>1.92155E-2</v>
      </c>
      <c r="E18" s="181">
        <f t="shared" si="1"/>
        <v>0</v>
      </c>
      <c r="F18" s="203">
        <f>Selected!L17</f>
        <v>46575</v>
      </c>
      <c r="G18" s="208"/>
      <c r="H18" s="205" t="s">
        <v>93</v>
      </c>
      <c r="I18" s="203">
        <v>46575</v>
      </c>
      <c r="J18" s="206">
        <f>_xll.qlDayCounterYearFraction($J$2,_xll.qlSettingsEvaluationDate(Trigger),I18,,,Trigger)</f>
        <v>12.008219178082191</v>
      </c>
      <c r="K18" s="204">
        <v>1.94793281510936E-2</v>
      </c>
      <c r="L18" s="204">
        <f>_xll.qlYieldTSZeroRate(YieldCurve1,I18,$J$2,,,TRUE,Trigger)</f>
        <v>1.9479328151562215E-2</v>
      </c>
      <c r="M18" s="181">
        <f t="shared" si="5"/>
        <v>-4.6861473035342271E-13</v>
      </c>
      <c r="N18" s="207">
        <v>0.79143142565438296</v>
      </c>
      <c r="O18" s="207">
        <f>_xll.qlYieldTSDiscount(YieldCurve1,I18,TRUE,Trigger)</f>
        <v>0.7914314256499293</v>
      </c>
      <c r="P18" s="181">
        <f t="shared" si="2"/>
        <v>-4.4536596632838155E-12</v>
      </c>
      <c r="Q18" s="208"/>
      <c r="R18" s="205" t="s">
        <v>93</v>
      </c>
      <c r="S18" s="203">
        <v>46575</v>
      </c>
      <c r="T18" s="206">
        <f>_xll.qlDayCounterYearFraction($J$2,_xll.qlSettingsEvaluationDate(Trigger),S18,,,Trigger)</f>
        <v>12.008219178082191</v>
      </c>
      <c r="U18" s="204">
        <v>1.9477966083400199E-2</v>
      </c>
      <c r="V18" s="204">
        <f>_xll.qlYieldTSZeroRate(YieldCurve2,S18,$T$2,,,TRUE,Trigger)</f>
        <v>1.9477965554247599E-2</v>
      </c>
      <c r="W18" s="181">
        <f t="shared" si="3"/>
        <v>5.2915260020935939E-10</v>
      </c>
      <c r="X18" s="207">
        <v>0.79144437041849802</v>
      </c>
      <c r="Y18" s="207">
        <f>_xll.qlYieldTSDiscount(YieldCurve2,S18,TRUE,Trigger)</f>
        <v>0.79144437544747803</v>
      </c>
      <c r="Z18" s="181">
        <f t="shared" si="4"/>
        <v>5.0289800102021331E-9</v>
      </c>
      <c r="AA18" s="217"/>
    </row>
    <row r="19" spans="1:27" x14ac:dyDescent="0.2">
      <c r="A19" s="202" t="str">
        <v>GBP1L6L15Y</v>
      </c>
      <c r="B19" s="203">
        <v>47672</v>
      </c>
      <c r="C19" s="204">
        <v>2.0344000000000001E-2</v>
      </c>
      <c r="D19" s="204">
        <f>Selected!H18</f>
        <v>2.0344000000000001E-2</v>
      </c>
      <c r="E19" s="181">
        <f t="shared" si="1"/>
        <v>0</v>
      </c>
      <c r="F19" s="203">
        <f>Selected!L18</f>
        <v>47672</v>
      </c>
      <c r="G19" s="208"/>
      <c r="H19" s="205" t="s">
        <v>93</v>
      </c>
      <c r="I19" s="203">
        <v>47672</v>
      </c>
      <c r="J19" s="206">
        <f>_xll.qlDayCounterYearFraction($J$2,_xll.qlSettingsEvaluationDate(Trigger),I19,,,Trigger)</f>
        <v>15.013698630136986</v>
      </c>
      <c r="K19" s="204">
        <v>2.06919175938385E-2</v>
      </c>
      <c r="L19" s="204">
        <f>_xll.qlYieldTSZeroRate(YieldCurve1,I19,$J$2,,,TRUE,Trigger)</f>
        <v>2.0691917594208995E-2</v>
      </c>
      <c r="M19" s="181">
        <f t="shared" si="5"/>
        <v>-3.7049530110522255E-13</v>
      </c>
      <c r="N19" s="207">
        <v>0.73296141755347599</v>
      </c>
      <c r="O19" s="207">
        <f>_xll.qlYieldTSDiscount(YieldCurve1,I19,TRUE,Trigger)</f>
        <v>0.73296141754939859</v>
      </c>
      <c r="P19" s="181">
        <f t="shared" si="2"/>
        <v>-4.0774050802383499E-12</v>
      </c>
      <c r="Q19" s="208"/>
      <c r="R19" s="205" t="s">
        <v>93</v>
      </c>
      <c r="S19" s="203">
        <v>47672</v>
      </c>
      <c r="T19" s="206">
        <f>_xll.qlDayCounterYearFraction($J$2,_xll.qlSettingsEvaluationDate(Trigger),S19,,,Trigger)</f>
        <v>15.013698630136986</v>
      </c>
      <c r="U19" s="204">
        <v>2.0687750687705501E-2</v>
      </c>
      <c r="V19" s="204">
        <f>_xll.qlYieldTSZeroRate(YieldCurve2,S19,$T$2,,,TRUE,Trigger)</f>
        <v>2.0687750264672514E-2</v>
      </c>
      <c r="W19" s="181">
        <f t="shared" si="3"/>
        <v>4.230329871124372E-10</v>
      </c>
      <c r="X19" s="207">
        <v>0.73300727354734396</v>
      </c>
      <c r="Y19" s="207">
        <f>_xll.qlYieldTSDiscount(YieldCurve2,S19,TRUE,Trigger)</f>
        <v>0.7330072782028858</v>
      </c>
      <c r="Z19" s="181">
        <f t="shared" si="4"/>
        <v>4.6555418409255367E-9</v>
      </c>
      <c r="AA19" s="217"/>
    </row>
    <row r="20" spans="1:27" x14ac:dyDescent="0.2">
      <c r="A20" s="202" t="str">
        <v>GBP1L6L20Y</v>
      </c>
      <c r="B20" s="203">
        <v>49499</v>
      </c>
      <c r="C20" s="204">
        <v>2.1267000000000001E-2</v>
      </c>
      <c r="D20" s="204">
        <f>Selected!H19</f>
        <v>2.1267000000000001E-2</v>
      </c>
      <c r="E20" s="181">
        <f t="shared" si="1"/>
        <v>0</v>
      </c>
      <c r="F20" s="203">
        <f>Selected!L19</f>
        <v>49499</v>
      </c>
      <c r="G20" s="208"/>
      <c r="H20" s="205" t="s">
        <v>93</v>
      </c>
      <c r="I20" s="203">
        <v>49499</v>
      </c>
      <c r="J20" s="206">
        <f>_xll.qlDayCounterYearFraction($J$2,_xll.qlSettingsEvaluationDate(Trigger),I20,,,Trigger)</f>
        <v>20.019178082191782</v>
      </c>
      <c r="K20" s="204">
        <v>2.1678784506571298E-2</v>
      </c>
      <c r="L20" s="204">
        <f>_xll.qlYieldTSZeroRate(YieldCurve1,I20,$J$2,,,TRUE,Trigger)</f>
        <v>2.1678784506846044E-2</v>
      </c>
      <c r="M20" s="181">
        <f t="shared" si="5"/>
        <v>-2.7474550412520671E-13</v>
      </c>
      <c r="N20" s="207">
        <v>0.64791779668627603</v>
      </c>
      <c r="O20" s="207">
        <f>_xll.qlYieldTSDiscount(YieldCurve1,I20,TRUE,Trigger)</f>
        <v>0.64791779668271254</v>
      </c>
      <c r="P20" s="181">
        <f t="shared" si="2"/>
        <v>-3.5634828421393649E-12</v>
      </c>
      <c r="Q20" s="208"/>
      <c r="R20" s="205" t="s">
        <v>93</v>
      </c>
      <c r="S20" s="203">
        <v>49499</v>
      </c>
      <c r="T20" s="206">
        <f>_xll.qlDayCounterYearFraction($J$2,_xll.qlSettingsEvaluationDate(Trigger),S20,,,Trigger)</f>
        <v>20.019178082191782</v>
      </c>
      <c r="U20" s="204">
        <v>2.16672736227012E-2</v>
      </c>
      <c r="V20" s="204">
        <f>_xll.qlYieldTSZeroRate(YieldCurve2,S20,$T$2,,,TRUE,Trigger)</f>
        <v>2.1667273305329724E-2</v>
      </c>
      <c r="W20" s="181">
        <f t="shared" si="3"/>
        <v>3.1737147632160401E-10</v>
      </c>
      <c r="X20" s="207">
        <v>0.64806711905290204</v>
      </c>
      <c r="Y20" s="207">
        <f>_xll.qlYieldTSDiscount(YieldCurve2,S20,TRUE,Trigger)</f>
        <v>0.64806712317040671</v>
      </c>
      <c r="Z20" s="181">
        <f t="shared" si="4"/>
        <v>4.1175046705532736E-9</v>
      </c>
      <c r="AA20" s="217"/>
    </row>
    <row r="21" spans="1:27" x14ac:dyDescent="0.2">
      <c r="A21" s="202" t="str">
        <v>GBP1L6L25Y</v>
      </c>
      <c r="B21" s="203">
        <v>51326</v>
      </c>
      <c r="C21" s="204">
        <v>2.1444250000000002E-2</v>
      </c>
      <c r="D21" s="204">
        <f>Selected!H20</f>
        <v>2.1444250000000002E-2</v>
      </c>
      <c r="E21" s="181">
        <f t="shared" si="1"/>
        <v>0</v>
      </c>
      <c r="F21" s="203">
        <f>Selected!L20</f>
        <v>51326</v>
      </c>
      <c r="G21" s="208"/>
      <c r="H21" s="205" t="s">
        <v>93</v>
      </c>
      <c r="I21" s="203">
        <v>51326</v>
      </c>
      <c r="J21" s="206">
        <f>_xll.qlDayCounterYearFraction($J$2,_xll.qlSettingsEvaluationDate(Trigger),I21,,,Trigger)</f>
        <v>25.024657534246575</v>
      </c>
      <c r="K21" s="204">
        <v>2.17984929893923E-2</v>
      </c>
      <c r="L21" s="204">
        <f>_xll.qlYieldTSZeroRate(YieldCurve1,I21,$J$2,,,TRUE,Trigger)</f>
        <v>2.1798492989611364E-2</v>
      </c>
      <c r="M21" s="181">
        <f t="shared" si="5"/>
        <v>-2.1906434999330315E-13</v>
      </c>
      <c r="N21" s="207">
        <v>0.57955203817960799</v>
      </c>
      <c r="O21" s="207">
        <f>_xll.qlYieldTSDiscount(YieldCurve1,I21,TRUE,Trigger)</f>
        <v>0.57955203817643175</v>
      </c>
      <c r="P21" s="181">
        <f t="shared" si="2"/>
        <v>-3.1762370511501103E-12</v>
      </c>
      <c r="Q21" s="208"/>
      <c r="R21" s="205" t="s">
        <v>93</v>
      </c>
      <c r="S21" s="203">
        <v>51326</v>
      </c>
      <c r="T21" s="206">
        <f>_xll.qlDayCounterYearFraction($J$2,_xll.qlSettingsEvaluationDate(Trigger),S21,,,Trigger)</f>
        <v>25.024657534246575</v>
      </c>
      <c r="U21" s="204">
        <v>2.17864193583471E-2</v>
      </c>
      <c r="V21" s="204">
        <f>_xll.qlYieldTSZeroRate(YieldCurve2,S21,$T$2,,,TRUE,Trigger)</f>
        <v>2.1786419104476408E-2</v>
      </c>
      <c r="W21" s="181">
        <f t="shared" si="3"/>
        <v>2.5387069182980504E-10</v>
      </c>
      <c r="X21" s="207">
        <v>0.57972716960836201</v>
      </c>
      <c r="Y21" s="207">
        <f>_xll.qlYieldTSDiscount(YieldCurve2,S21,TRUE,Trigger)</f>
        <v>0.57972717329138512</v>
      </c>
      <c r="Z21" s="181">
        <f t="shared" si="4"/>
        <v>3.6830231087137122E-9</v>
      </c>
      <c r="AA21" s="217"/>
    </row>
    <row r="22" spans="1:27" x14ac:dyDescent="0.2">
      <c r="A22" s="202" t="str">
        <v>GBP1L6L30Y</v>
      </c>
      <c r="B22" s="203">
        <v>53150</v>
      </c>
      <c r="C22" s="204">
        <v>2.15055E-2</v>
      </c>
      <c r="D22" s="204">
        <f>Selected!H21</f>
        <v>2.15055E-2</v>
      </c>
      <c r="E22" s="181">
        <f t="shared" si="1"/>
        <v>0</v>
      </c>
      <c r="F22" s="203">
        <f>Selected!L21</f>
        <v>53150</v>
      </c>
      <c r="G22" s="208"/>
      <c r="H22" s="205" t="s">
        <v>93</v>
      </c>
      <c r="I22" s="203">
        <v>53150</v>
      </c>
      <c r="J22" s="206">
        <f>_xll.qlDayCounterYearFraction($J$2,_xll.qlSettingsEvaluationDate(Trigger),I22,,,Trigger)</f>
        <v>30.021917808219179</v>
      </c>
      <c r="K22" s="204">
        <v>2.1802802686635699E-2</v>
      </c>
      <c r="L22" s="204">
        <f>_xll.qlYieldTSZeroRate(YieldCurve1,I22,$J$2,,,TRUE,Trigger)</f>
        <v>2.1802802686818074E-2</v>
      </c>
      <c r="M22" s="181">
        <f t="shared" si="5"/>
        <v>-1.8237494847639368E-13</v>
      </c>
      <c r="N22" s="207">
        <v>0.51966965389878395</v>
      </c>
      <c r="O22" s="207">
        <f>_xll.qlYieldTSDiscount(YieldCurve1,I22,TRUE,Trigger)</f>
        <v>0.51966965389593789</v>
      </c>
      <c r="P22" s="181">
        <f t="shared" si="2"/>
        <v>-2.8460567236265888E-12</v>
      </c>
      <c r="Q22" s="208"/>
      <c r="R22" s="205" t="s">
        <v>93</v>
      </c>
      <c r="S22" s="203">
        <v>53150</v>
      </c>
      <c r="T22" s="206">
        <f>_xll.qlDayCounterYearFraction($J$2,_xll.qlSettingsEvaluationDate(Trigger),S22,,,Trigger)</f>
        <v>30.021917808219179</v>
      </c>
      <c r="U22" s="204">
        <v>2.1791187127901301E-2</v>
      </c>
      <c r="V22" s="204">
        <f>_xll.qlYieldTSZeroRate(YieldCurve2,S22,$T$2,,,TRUE,Trigger)</f>
        <v>2.1791186916281173E-2</v>
      </c>
      <c r="W22" s="181">
        <f t="shared" si="3"/>
        <v>2.1162012767139693E-10</v>
      </c>
      <c r="X22" s="207">
        <v>0.51985090540314505</v>
      </c>
      <c r="Y22" s="207">
        <f>_xll.qlYieldTSDiscount(YieldCurve2,S22,TRUE,Trigger)</f>
        <v>0.51985090870588424</v>
      </c>
      <c r="Z22" s="181">
        <f t="shared" si="4"/>
        <v>3.3027391932449746E-9</v>
      </c>
      <c r="AA22" s="217"/>
    </row>
    <row r="23" spans="1:27" x14ac:dyDescent="0.2">
      <c r="A23" s="202" t="str">
        <v>GBP1L6L40Y</v>
      </c>
      <c r="B23" s="203">
        <v>56802</v>
      </c>
      <c r="C23" s="204">
        <v>2.1080000000000002E-2</v>
      </c>
      <c r="D23" s="204">
        <f>Selected!H22</f>
        <v>2.1080000000000002E-2</v>
      </c>
      <c r="E23" s="181">
        <f t="shared" si="1"/>
        <v>0</v>
      </c>
      <c r="F23" s="203">
        <f>Selected!L22</f>
        <v>56802</v>
      </c>
      <c r="G23" s="208"/>
      <c r="H23" s="205" t="s">
        <v>93</v>
      </c>
      <c r="I23" s="203">
        <v>56802</v>
      </c>
      <c r="J23" s="206">
        <f>_xll.qlDayCounterYearFraction($J$2,_xll.qlSettingsEvaluationDate(Trigger),I23,,,Trigger)</f>
        <v>40.027397260273972</v>
      </c>
      <c r="K23" s="204">
        <v>2.10930008316246E-2</v>
      </c>
      <c r="L23" s="204">
        <f>_xll.qlYieldTSZeroRate(YieldCurve1,I23,$J$2,,,TRUE,Trigger)</f>
        <v>2.1093000831761848E-2</v>
      </c>
      <c r="M23" s="181">
        <f t="shared" si="5"/>
        <v>-1.3724785197233302E-13</v>
      </c>
      <c r="N23" s="207">
        <v>0.42985904614355902</v>
      </c>
      <c r="O23" s="207">
        <f>_xll.qlYieldTSDiscount(YieldCurve1,I23,TRUE,Trigger)</f>
        <v>0.42985904614119674</v>
      </c>
      <c r="P23" s="181">
        <f t="shared" si="2"/>
        <v>-2.3622770406461768E-12</v>
      </c>
      <c r="Q23" s="208"/>
      <c r="R23" s="205" t="s">
        <v>93</v>
      </c>
      <c r="S23" s="203">
        <v>56802</v>
      </c>
      <c r="T23" s="206">
        <f>_xll.qlDayCounterYearFraction($J$2,_xll.qlSettingsEvaluationDate(Trigger),S23,,,Trigger)</f>
        <v>40.027397260273972</v>
      </c>
      <c r="U23" s="204">
        <v>2.1078568757203899E-2</v>
      </c>
      <c r="V23" s="204">
        <f>_xll.qlYieldTSZeroRate(YieldCurve2,S23,$T$2,,,TRUE,Trigger)</f>
        <v>2.1078568598479928E-2</v>
      </c>
      <c r="W23" s="181">
        <f t="shared" si="3"/>
        <v>1.5872397146621253E-10</v>
      </c>
      <c r="X23" s="207">
        <v>0.430107438157739</v>
      </c>
      <c r="Y23" s="207">
        <f>_xll.qlYieldTSDiscount(YieldCurve2,S23,TRUE,Trigger)</f>
        <v>0.43010744089034286</v>
      </c>
      <c r="Z23" s="181">
        <f t="shared" si="4"/>
        <v>2.7326038654074125E-9</v>
      </c>
      <c r="AA23" s="217"/>
    </row>
    <row r="24" spans="1:27" x14ac:dyDescent="0.2">
      <c r="A24" s="202" t="str">
        <v>GBP1L6L50Y</v>
      </c>
      <c r="B24" s="203">
        <v>60455</v>
      </c>
      <c r="C24" s="204">
        <v>2.0820499999999999E-2</v>
      </c>
      <c r="D24" s="204">
        <f>Selected!H23</f>
        <v>2.0820499999999999E-2</v>
      </c>
      <c r="E24" s="181">
        <f t="shared" si="1"/>
        <v>0</v>
      </c>
      <c r="F24" s="203">
        <f>Selected!L23</f>
        <v>60455</v>
      </c>
      <c r="G24" s="208"/>
      <c r="H24" s="205" t="s">
        <v>93</v>
      </c>
      <c r="I24" s="203">
        <v>60455</v>
      </c>
      <c r="J24" s="206">
        <f>_xll.qlDayCounterYearFraction($J$2,_xll.qlSettingsEvaluationDate(Trigger),I24,,,Trigger)</f>
        <v>50.035616438356165</v>
      </c>
      <c r="K24" s="204">
        <v>2.0660060326417699E-2</v>
      </c>
      <c r="L24" s="204">
        <f>_xll.qlYieldTSZeroRate(YieldCurve1,I24,$J$2,,,TRUE,Trigger)</f>
        <v>2.0660060326256731E-2</v>
      </c>
      <c r="M24" s="181">
        <f t="shared" si="5"/>
        <v>1.6096846078283988E-13</v>
      </c>
      <c r="N24" s="207">
        <v>0.35567465583444302</v>
      </c>
      <c r="O24" s="207">
        <f>_xll.qlYieldTSDiscount(YieldCurve1,I24,TRUE,Trigger)</f>
        <v>0.35567465583730812</v>
      </c>
      <c r="P24" s="181">
        <f t="shared" si="2"/>
        <v>2.8650970484989102E-12</v>
      </c>
      <c r="Q24" s="208"/>
      <c r="R24" s="205" t="s">
        <v>93</v>
      </c>
      <c r="S24" s="203">
        <v>60455</v>
      </c>
      <c r="T24" s="206">
        <f>_xll.qlDayCounterYearFraction($J$2,_xll.qlSettingsEvaluationDate(Trigger),S24,,,Trigger)</f>
        <v>50.035616438356165</v>
      </c>
      <c r="U24" s="204">
        <v>2.0659484227300799E-2</v>
      </c>
      <c r="V24" s="204">
        <f>_xll.qlYieldTSZeroRate(YieldCurve2,S24,$T$2,,,TRUE,Trigger)</f>
        <v>2.0659484100386104E-2</v>
      </c>
      <c r="W24" s="181">
        <f t="shared" si="3"/>
        <v>1.2691469403192102E-10</v>
      </c>
      <c r="X24" s="207">
        <v>0.35568490847291301</v>
      </c>
      <c r="Y24" s="207">
        <f>_xll.qlYieldTSDiscount(YieldCurve2,S24,TRUE,Trigger)</f>
        <v>0.35568491073160324</v>
      </c>
      <c r="Z24" s="181">
        <f t="shared" si="4"/>
        <v>2.2586902348464832E-9</v>
      </c>
      <c r="AA24" s="217"/>
    </row>
    <row r="25" spans="1:27" x14ac:dyDescent="0.2">
      <c r="A25" s="209" t="str">
        <v>GBP1L6L60Y</v>
      </c>
      <c r="B25" s="210">
        <v>64108</v>
      </c>
      <c r="C25" s="211">
        <v>2.0907499999999999E-2</v>
      </c>
      <c r="D25" s="211">
        <f>Selected!H24</f>
        <v>2.0907499999999999E-2</v>
      </c>
      <c r="E25" s="182">
        <f t="shared" si="1"/>
        <v>0</v>
      </c>
      <c r="F25" s="210">
        <f>Selected!L24</f>
        <v>64108</v>
      </c>
      <c r="G25" s="208"/>
      <c r="H25" s="212" t="s">
        <v>93</v>
      </c>
      <c r="I25" s="210">
        <v>64108</v>
      </c>
      <c r="J25" s="213">
        <f>_xll.qlDayCounterYearFraction($J$2,_xll.qlSettingsEvaluationDate(Trigger),I25,,,Trigger)</f>
        <v>60.043835616438358</v>
      </c>
      <c r="K25" s="211">
        <v>2.08226316587505E-2</v>
      </c>
      <c r="L25" s="211">
        <f>_xll.qlYieldTSZeroRate(YieldCurve1,I25,$J$2,,,TRUE,Trigger)</f>
        <v>2.0822631657722752E-2</v>
      </c>
      <c r="M25" s="182">
        <f t="shared" si="5"/>
        <v>1.0277473316833152E-12</v>
      </c>
      <c r="N25" s="214">
        <v>0.28642725840781402</v>
      </c>
      <c r="O25" s="214">
        <f>_xll.qlYieldTSDiscount(YieldCurve1,I25,TRUE,Trigger)</f>
        <v>0.28642725842548877</v>
      </c>
      <c r="P25" s="182">
        <f t="shared" si="2"/>
        <v>1.7674750552032492E-11</v>
      </c>
      <c r="Q25" s="208"/>
      <c r="R25" s="212" t="s">
        <v>93</v>
      </c>
      <c r="S25" s="210">
        <v>64108</v>
      </c>
      <c r="T25" s="213">
        <f>_xll.qlDayCounterYearFraction($J$2,_xll.qlSettingsEvaluationDate(Trigger),S25,,,Trigger)</f>
        <v>60.043835616438358</v>
      </c>
      <c r="U25" s="211">
        <v>2.08266913024019E-2</v>
      </c>
      <c r="V25" s="211">
        <f>_xll.qlYieldTSZeroRate(YieldCurve2,S25,$T$2,,,TRUE,Trigger)</f>
        <v>2.0826691196509498E-2</v>
      </c>
      <c r="W25" s="182">
        <f t="shared" si="3"/>
        <v>1.058924024854857E-10</v>
      </c>
      <c r="X25" s="214">
        <v>0.28635744838868299</v>
      </c>
      <c r="Y25" s="214">
        <f>_xll.qlYieldTSDiscount(YieldCurve2,S25,TRUE,Trigger)</f>
        <v>0.28635745020939712</v>
      </c>
      <c r="Z25" s="182">
        <f t="shared" si="4"/>
        <v>1.8207141350146117E-9</v>
      </c>
      <c r="AA25" s="217"/>
    </row>
    <row r="26" spans="1:27" ht="12" thickBot="1" x14ac:dyDescent="0.25">
      <c r="A26" s="218"/>
      <c r="B26" s="219"/>
      <c r="C26" s="219"/>
      <c r="D26" s="219"/>
      <c r="E26" s="219"/>
      <c r="F26" s="219"/>
      <c r="G26" s="219"/>
      <c r="H26" s="219"/>
      <c r="I26" s="219"/>
      <c r="J26" s="219"/>
      <c r="K26" s="219"/>
      <c r="L26" s="219"/>
      <c r="M26" s="219"/>
      <c r="N26" s="219"/>
      <c r="O26" s="219"/>
      <c r="P26" s="219"/>
      <c r="Q26" s="219"/>
      <c r="R26" s="219"/>
      <c r="S26" s="219"/>
      <c r="T26" s="219"/>
      <c r="U26" s="219"/>
      <c r="V26" s="219"/>
      <c r="W26" s="219"/>
      <c r="X26" s="219"/>
      <c r="Y26" s="219"/>
      <c r="Z26" s="219"/>
      <c r="AA26" s="220"/>
    </row>
  </sheetData>
  <mergeCells count="3">
    <mergeCell ref="A1:F1"/>
    <mergeCell ref="H1:P1"/>
    <mergeCell ref="R1:Z1"/>
  </mergeCells>
  <dataValidations disablePrompts="1" count="1">
    <dataValidation type="list" allowBlank="1" showInputMessage="1" showErrorMessage="1" sqref="J2">
      <formula1>"Actual/Actual (ISDA),Actual/360,30/360 (Bond Basis),30E/360 (Eurobond Basis),Actual/365 (Fixed),Actual/Actual (ISMA),Actual/Actual (AFB),1/1,30/360 (Italian),Simple"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40</vt:i4>
      </vt:variant>
    </vt:vector>
  </HeadingPairs>
  <TitlesOfParts>
    <vt:vector size="47" baseType="lpstr">
      <vt:lpstr>General Settings</vt:lpstr>
      <vt:lpstr>RateHelpers</vt:lpstr>
      <vt:lpstr>Selected</vt:lpstr>
      <vt:lpstr>Deposits</vt:lpstr>
      <vt:lpstr>Swaps</vt:lpstr>
      <vt:lpstr>SwapsFromBasis</vt:lpstr>
      <vt:lpstr>LCH Analysis</vt:lpstr>
      <vt:lpstr>Accuracy</vt:lpstr>
      <vt:lpstr>BondBasisDayCounter</vt:lpstr>
      <vt:lpstr>Calendar</vt:lpstr>
      <vt:lpstr>Currency</vt:lpstr>
      <vt:lpstr>DayCounter</vt:lpstr>
      <vt:lpstr>DepoInclusionCriteria</vt:lpstr>
      <vt:lpstr>Discounting1</vt:lpstr>
      <vt:lpstr>Discounting2</vt:lpstr>
      <vt:lpstr>DiscountingSTD</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Swap1MConventions</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2014-01-13T15:12:19Z</dcterms:created>
  <dcterms:modified xsi:type="dcterms:W3CDTF">2015-09-01T13:15:14Z</dcterms:modified>
</cp:coreProperties>
</file>