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375" windowWidth="19020" windowHeight="11040"/>
  </bookViews>
  <sheets>
    <sheet name="General Settings" sheetId="6" r:id="rId1"/>
    <sheet name="RateHelpers" sheetId="4" r:id="rId2"/>
    <sheet name="Selected" sheetId="5" r:id="rId3"/>
    <sheet name="Deposits" sheetId="7" r:id="rId4"/>
    <sheet name="FRAs" sheetId="9" r:id="rId5"/>
    <sheet name="Swaps" sheetId="11" r:id="rId6"/>
    <sheet name="LCH Analysis" sheetId="13" r:id="rId7"/>
  </sheets>
  <externalReferences>
    <externalReference r:id="rId8"/>
  </externalReferences>
  <definedNames>
    <definedName name="_xlnm._FilterDatabase" localSheetId="1" hidden="1">RateHelpers!$B$13:$P$34</definedName>
    <definedName name="Accuracy">'General Settings'!$D$20</definedName>
    <definedName name="BondBasisDayCounter">'General Settings'!$J$16</definedName>
    <definedName name="Calendar">'General Settings'!$D$18</definedName>
    <definedName name="Currency">'General Settings'!$D$4</definedName>
    <definedName name="DayCounter">'General Settings'!$D$19</definedName>
    <definedName name="DepoInclusionCriteria">Selected!$B$5</definedName>
    <definedName name="Discounting1">'General Settings'!$J$18</definedName>
    <definedName name="Discounting2">'General Settings'!$J$19</definedName>
    <definedName name="DiscountingCurve" localSheetId="5">Swaps!#REF!</definedName>
    <definedName name="FamilyName">'General Settings'!$J$11</definedName>
    <definedName name="FileOverwrite">'General Settings'!$J$6</definedName>
    <definedName name="FrontFuturesRollingDays">Selected!$B$4</definedName>
    <definedName name="IborType">'General Settings'!$D$7</definedName>
    <definedName name="IndexTenor">'General Settings'!$D$6</definedName>
    <definedName name="InterpolatorID">'General Settings'!$D$22</definedName>
    <definedName name="LCHcubic">'General Settings'!$J$15</definedName>
    <definedName name="LCHlinear">'General Settings'!$J$14</definedName>
    <definedName name="LCHQuoteSuffix">'General Settings'!$J$13</definedName>
    <definedName name="MinDistance">RateHelpers!$H$2:$H$26</definedName>
    <definedName name="MoneyMarketDayCounter">'General Settings'!$J$17</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Permanent">'General Settings'!$D$10</definedName>
    <definedName name="QuoteSuffix">'General Settings'!$J$12</definedName>
    <definedName name="RateHelperPrefix">'General Settings'!$D$9</definedName>
    <definedName name="RateHelpers1">RateHelpers!$A$2:$A$26</definedName>
    <definedName name="RateHelpers2">RateHelpers!$B$2:$B$26</definedName>
    <definedName name="RateHelpersIncluded">RateHelpers!$F$2:$F$26</definedName>
    <definedName name="RateHelpersPriority">RateHelpers!$G$2:$G$26</definedName>
    <definedName name="SerializationPath">'General Settings'!$J$5</definedName>
    <definedName name="Serialize">'General Settings'!$J$4</definedName>
    <definedName name="SwapFixedFreq">'General Settings'!$D$8</definedName>
    <definedName name="TraitsID">'General Settings'!$D$21</definedName>
    <definedName name="Trigger">'General Settings'!$D$11</definedName>
    <definedName name="YieldCurve1">'General Settings'!$D$14</definedName>
    <definedName name="YieldCurve2">'General Settings'!$E$14</definedName>
  </definedNames>
  <calcPr calcId="145621"/>
</workbook>
</file>

<file path=xl/calcChain.xml><?xml version="1.0" encoding="utf-8"?>
<calcChain xmlns="http://schemas.openxmlformats.org/spreadsheetml/2006/main">
  <c r="C3" i="13" l="1" a="1"/>
  <c r="B3" i="13" a="1"/>
  <c r="A3" i="13" a="1"/>
  <c r="V3" i="13" a="1"/>
  <c r="M3" i="13" a="1"/>
  <c r="S3" i="13" a="1"/>
  <c r="J3" i="13" a="1"/>
  <c r="Q3" i="13" a="1"/>
  <c r="H3" i="13" a="1"/>
  <c r="C10" i="13"/>
  <c r="C18" i="13"/>
  <c r="C26" i="13"/>
  <c r="C3" i="13"/>
  <c r="C11" i="13"/>
  <c r="C19" i="13"/>
  <c r="C4" i="13"/>
  <c r="C12" i="13"/>
  <c r="C20" i="13"/>
  <c r="C13" i="13"/>
  <c r="C6" i="13"/>
  <c r="C22" i="13"/>
  <c r="C15" i="13"/>
  <c r="C8" i="13"/>
  <c r="C24" i="13"/>
  <c r="C17" i="13"/>
  <c r="C27" i="13"/>
  <c r="C5" i="13"/>
  <c r="C21" i="13"/>
  <c r="C14" i="13"/>
  <c r="C7" i="13"/>
  <c r="C23" i="13"/>
  <c r="C16" i="13"/>
  <c r="C9" i="13"/>
  <c r="C25" i="13"/>
  <c r="B10" i="13"/>
  <c r="B18" i="13"/>
  <c r="B26" i="13"/>
  <c r="B3" i="13"/>
  <c r="B11" i="13"/>
  <c r="B19" i="13"/>
  <c r="B27" i="13"/>
  <c r="B12" i="13"/>
  <c r="B20" i="13"/>
  <c r="B5" i="13"/>
  <c r="B21" i="13"/>
  <c r="B14" i="13"/>
  <c r="B7" i="13"/>
  <c r="B23" i="13"/>
  <c r="B16" i="13"/>
  <c r="B9" i="13"/>
  <c r="B25" i="13"/>
  <c r="B4" i="13"/>
  <c r="B13" i="13"/>
  <c r="B6" i="13"/>
  <c r="B22" i="13"/>
  <c r="B15" i="13"/>
  <c r="B8" i="13"/>
  <c r="B24" i="13"/>
  <c r="B17" i="13"/>
  <c r="A10" i="13"/>
  <c r="A18" i="13"/>
  <c r="A26" i="13"/>
  <c r="A3" i="13"/>
  <c r="A11" i="13"/>
  <c r="A19" i="13"/>
  <c r="A4" i="13"/>
  <c r="A12" i="13"/>
  <c r="A20" i="13"/>
  <c r="A13" i="13"/>
  <c r="A21" i="13"/>
  <c r="A14" i="13"/>
  <c r="A7" i="13"/>
  <c r="A23" i="13"/>
  <c r="A16" i="13"/>
  <c r="A9" i="13"/>
  <c r="A25" i="13"/>
  <c r="A27" i="13"/>
  <c r="A5" i="13"/>
  <c r="A6" i="13"/>
  <c r="A22" i="13"/>
  <c r="A15" i="13"/>
  <c r="A8" i="13"/>
  <c r="A24" i="13"/>
  <c r="A17" i="13"/>
  <c r="V3" i="13" l="1"/>
  <c r="V11" i="13"/>
  <c r="V19" i="13"/>
  <c r="V27" i="13"/>
  <c r="V4" i="13"/>
  <c r="V12" i="13"/>
  <c r="V20" i="13"/>
  <c r="V5" i="13"/>
  <c r="V13" i="13"/>
  <c r="V21" i="13"/>
  <c r="V6" i="13"/>
  <c r="V14" i="13"/>
  <c r="V22" i="13"/>
  <c r="V7" i="13"/>
  <c r="V15" i="13"/>
  <c r="V23" i="13"/>
  <c r="V8" i="13"/>
  <c r="V16" i="13"/>
  <c r="V24" i="13"/>
  <c r="V9" i="13"/>
  <c r="V17" i="13"/>
  <c r="V25" i="13"/>
  <c r="V10" i="13"/>
  <c r="V18" i="13"/>
  <c r="V26" i="13"/>
  <c r="M3" i="13"/>
  <c r="M11" i="13"/>
  <c r="M19" i="13"/>
  <c r="M27" i="13"/>
  <c r="M4" i="13"/>
  <c r="M12" i="13"/>
  <c r="M20" i="13"/>
  <c r="M5" i="13"/>
  <c r="M13" i="13"/>
  <c r="M21" i="13"/>
  <c r="M6" i="13"/>
  <c r="M14" i="13"/>
  <c r="M22" i="13"/>
  <c r="M7" i="13"/>
  <c r="M15" i="13"/>
  <c r="M23" i="13"/>
  <c r="M8" i="13"/>
  <c r="M16" i="13"/>
  <c r="M24" i="13"/>
  <c r="M9" i="13"/>
  <c r="M17" i="13"/>
  <c r="M25" i="13"/>
  <c r="M10" i="13"/>
  <c r="M18" i="13"/>
  <c r="M26" i="13"/>
  <c r="S3" i="13"/>
  <c r="S11" i="13"/>
  <c r="S19" i="13"/>
  <c r="S27" i="13"/>
  <c r="S4" i="13"/>
  <c r="S12" i="13"/>
  <c r="S20" i="13"/>
  <c r="S5" i="13"/>
  <c r="S13" i="13"/>
  <c r="S21" i="13"/>
  <c r="S6" i="13"/>
  <c r="S14" i="13"/>
  <c r="S22" i="13"/>
  <c r="S7" i="13"/>
  <c r="S15" i="13"/>
  <c r="S23" i="13"/>
  <c r="S8" i="13"/>
  <c r="S16" i="13"/>
  <c r="S24" i="13"/>
  <c r="S9" i="13"/>
  <c r="S17" i="13"/>
  <c r="S25" i="13"/>
  <c r="S10" i="13"/>
  <c r="S18" i="13"/>
  <c r="S26" i="13"/>
  <c r="J3" i="13"/>
  <c r="J11" i="13"/>
  <c r="J19" i="13"/>
  <c r="J27" i="13"/>
  <c r="J4" i="13"/>
  <c r="J12" i="13"/>
  <c r="J20" i="13"/>
  <c r="J5" i="13"/>
  <c r="J13" i="13"/>
  <c r="J21" i="13"/>
  <c r="J6" i="13"/>
  <c r="J14" i="13"/>
  <c r="J22" i="13"/>
  <c r="J7" i="13"/>
  <c r="J15" i="13"/>
  <c r="J23" i="13"/>
  <c r="J8" i="13"/>
  <c r="J16" i="13"/>
  <c r="J24" i="13"/>
  <c r="J9" i="13"/>
  <c r="J17" i="13"/>
  <c r="J25" i="13"/>
  <c r="J10" i="13"/>
  <c r="J18" i="13"/>
  <c r="J26" i="13"/>
  <c r="Q3" i="13"/>
  <c r="Q11" i="13"/>
  <c r="Q19" i="13"/>
  <c r="Q27" i="13"/>
  <c r="Q4" i="13"/>
  <c r="Q12" i="13"/>
  <c r="Q20" i="13"/>
  <c r="Q5" i="13"/>
  <c r="Q13" i="13"/>
  <c r="Q21" i="13"/>
  <c r="Q6" i="13"/>
  <c r="Q14" i="13"/>
  <c r="Q22" i="13"/>
  <c r="Q7" i="13"/>
  <c r="Q15" i="13"/>
  <c r="Q23" i="13"/>
  <c r="Q8" i="13"/>
  <c r="Q16" i="13"/>
  <c r="Q24" i="13"/>
  <c r="Q9" i="13"/>
  <c r="Q17" i="13"/>
  <c r="Q25" i="13"/>
  <c r="Q10" i="13"/>
  <c r="Q18" i="13"/>
  <c r="Q26" i="13"/>
  <c r="H3" i="13"/>
  <c r="H11" i="13"/>
  <c r="H19" i="13"/>
  <c r="H27" i="13"/>
  <c r="H4" i="13"/>
  <c r="H12" i="13"/>
  <c r="H20" i="13"/>
  <c r="H5" i="13"/>
  <c r="H13" i="13"/>
  <c r="H21" i="13"/>
  <c r="H6" i="13"/>
  <c r="H14" i="13"/>
  <c r="H22" i="13"/>
  <c r="H7" i="13"/>
  <c r="H15" i="13"/>
  <c r="H23" i="13"/>
  <c r="H8" i="13"/>
  <c r="H16" i="13"/>
  <c r="H24" i="13"/>
  <c r="H9" i="13"/>
  <c r="H17" i="13"/>
  <c r="H25" i="13"/>
  <c r="H10" i="13"/>
  <c r="H18" i="13"/>
  <c r="H26" i="13"/>
  <c r="D10" i="9"/>
  <c r="H10" i="9" s="1"/>
  <c r="D9" i="9"/>
  <c r="H9" i="9" s="1"/>
  <c r="D8" i="9"/>
  <c r="H8" i="9" s="1"/>
  <c r="D7" i="9"/>
  <c r="G7" i="9" s="1"/>
  <c r="D6" i="9"/>
  <c r="H6" i="9" s="1"/>
  <c r="D5" i="9"/>
  <c r="H5" i="9" s="1"/>
  <c r="R22" i="13"/>
  <c r="I20" i="13"/>
  <c r="R27" i="13"/>
  <c r="R26" i="13"/>
  <c r="I24" i="13"/>
  <c r="R14" i="13"/>
  <c r="R13" i="13"/>
  <c r="I11" i="13"/>
  <c r="R18" i="13"/>
  <c r="I16" i="13"/>
  <c r="R17" i="13"/>
  <c r="R5" i="13"/>
  <c r="I4" i="13"/>
  <c r="R12" i="13"/>
  <c r="I23" i="13"/>
  <c r="I19" i="13"/>
  <c r="R6" i="13"/>
  <c r="R8" i="13"/>
  <c r="R15" i="13"/>
  <c r="I14" i="13"/>
  <c r="R11" i="13"/>
  <c r="I8" i="13"/>
  <c r="I27" i="13"/>
  <c r="R24" i="13"/>
  <c r="I7" i="13"/>
  <c r="R21" i="13"/>
  <c r="I17" i="13"/>
  <c r="R25" i="13"/>
  <c r="I25" i="13"/>
  <c r="I10" i="13"/>
  <c r="N3" i="11"/>
  <c r="N14" i="11"/>
  <c r="R7" i="13"/>
  <c r="N7" i="11"/>
  <c r="I18" i="13"/>
  <c r="M8" i="11"/>
  <c r="N10" i="11"/>
  <c r="M17" i="11"/>
  <c r="R4" i="13"/>
  <c r="M7" i="11"/>
  <c r="M4" i="11"/>
  <c r="I22" i="13"/>
  <c r="R16" i="13"/>
  <c r="R23" i="13"/>
  <c r="I6" i="13"/>
  <c r="N4" i="11"/>
  <c r="I5" i="13"/>
  <c r="I21" i="13"/>
  <c r="I12" i="13"/>
  <c r="R20" i="13"/>
  <c r="N11" i="11"/>
  <c r="M16" i="11"/>
  <c r="I26" i="13"/>
  <c r="I13" i="13"/>
  <c r="R19" i="13"/>
  <c r="N9" i="11"/>
  <c r="I9" i="13"/>
  <c r="M14" i="11"/>
  <c r="M15" i="11"/>
  <c r="I15" i="13"/>
  <c r="R10" i="13"/>
  <c r="N5" i="11"/>
  <c r="R9" i="13"/>
  <c r="M9" i="11"/>
  <c r="N15" i="11"/>
  <c r="M12" i="11"/>
  <c r="N6" i="11"/>
  <c r="N16" i="11"/>
  <c r="N17" i="11"/>
  <c r="M11" i="11"/>
  <c r="M18" i="11"/>
  <c r="N8" i="11"/>
  <c r="N18" i="11"/>
  <c r="M10" i="11"/>
  <c r="M20" i="11"/>
  <c r="M13" i="11"/>
  <c r="N19" i="11"/>
  <c r="M5" i="11"/>
  <c r="N13" i="11"/>
  <c r="N12" i="11"/>
  <c r="M19" i="11"/>
  <c r="N20" i="11"/>
  <c r="M6" i="11"/>
  <c r="G8" i="9" l="1"/>
  <c r="H7" i="9"/>
  <c r="G6" i="9"/>
  <c r="G10" i="9"/>
  <c r="G5" i="9"/>
  <c r="G9" i="9"/>
  <c r="D4" i="7" l="1"/>
  <c r="C4" i="7"/>
  <c r="J20" i="6" l="1"/>
  <c r="L20" i="11" l="1"/>
  <c r="L19" i="11"/>
  <c r="L18" i="11"/>
  <c r="L17" i="11"/>
  <c r="L16" i="11"/>
  <c r="L15" i="11"/>
  <c r="L14" i="11"/>
  <c r="L13" i="11"/>
  <c r="L12" i="11"/>
  <c r="L11" i="11"/>
  <c r="L10" i="11"/>
  <c r="L9" i="11"/>
  <c r="L8" i="11"/>
  <c r="L7" i="11"/>
  <c r="L6" i="11"/>
  <c r="L5" i="11"/>
  <c r="L4" i="11"/>
  <c r="E4" i="7"/>
  <c r="E27" i="6"/>
  <c r="D27" i="6"/>
  <c r="E20" i="6"/>
  <c r="E16" i="6"/>
  <c r="D16" i="6"/>
  <c r="J19" i="6"/>
  <c r="J18" i="6"/>
  <c r="R3" i="13"/>
  <c r="I3" i="13"/>
  <c r="B26" i="4" l="1"/>
  <c r="B18" i="4"/>
  <c r="B14" i="4"/>
  <c r="B13" i="4"/>
  <c r="B19" i="4"/>
  <c r="B25" i="4"/>
  <c r="B17" i="4"/>
  <c r="B21" i="4"/>
  <c r="B20" i="4"/>
  <c r="B11" i="4"/>
  <c r="B24" i="4"/>
  <c r="B16" i="4"/>
  <c r="B15" i="4"/>
  <c r="B12" i="4"/>
  <c r="B23" i="4"/>
  <c r="B22" i="4"/>
  <c r="B10" i="4"/>
  <c r="A26" i="4"/>
  <c r="A18" i="4"/>
  <c r="A10" i="4"/>
  <c r="A25" i="4"/>
  <c r="A17" i="4"/>
  <c r="A24" i="4"/>
  <c r="A16" i="4"/>
  <c r="A23" i="4"/>
  <c r="A15" i="4"/>
  <c r="A22" i="4"/>
  <c r="A14" i="4"/>
  <c r="A21" i="4"/>
  <c r="A13" i="4"/>
  <c r="A20" i="4"/>
  <c r="A12" i="4"/>
  <c r="A19" i="4"/>
  <c r="A11" i="4"/>
  <c r="J17" i="4"/>
  <c r="J21" i="4"/>
  <c r="J11" i="4"/>
  <c r="J25" i="4"/>
  <c r="J18" i="4"/>
  <c r="J10" i="4"/>
  <c r="J23" i="4"/>
  <c r="J15" i="4"/>
  <c r="J19" i="4"/>
  <c r="J20" i="4"/>
  <c r="J26" i="4"/>
  <c r="J14" i="4"/>
  <c r="J13" i="4"/>
  <c r="J12" i="4"/>
  <c r="J16" i="4"/>
  <c r="J24" i="4"/>
  <c r="J22" i="4"/>
  <c r="K1" i="11" l="1"/>
  <c r="N1" i="11" s="1"/>
  <c r="E1" i="9"/>
  <c r="F4" i="7"/>
  <c r="E10" i="9" l="1"/>
  <c r="E7" i="9"/>
  <c r="E9" i="9"/>
  <c r="E6" i="9"/>
  <c r="E5" i="9"/>
  <c r="E8" i="9"/>
  <c r="G1" i="9"/>
  <c r="I1" i="9" s="1"/>
  <c r="D4" i="9"/>
  <c r="H4" i="9" s="1"/>
  <c r="E4" i="9"/>
  <c r="D1" i="7"/>
  <c r="I9" i="9"/>
  <c r="I5" i="9"/>
  <c r="J5" i="9" s="1"/>
  <c r="I10" i="9"/>
  <c r="I6" i="9"/>
  <c r="I8" i="9"/>
  <c r="I4" i="9"/>
  <c r="I7" i="9"/>
  <c r="A4" i="4" l="1"/>
  <c r="A8" i="4"/>
  <c r="A6" i="4"/>
  <c r="A7" i="4"/>
  <c r="A5" i="4"/>
  <c r="A9" i="4"/>
  <c r="G4" i="9"/>
  <c r="F1" i="7"/>
  <c r="K5" i="11"/>
  <c r="K10" i="11"/>
  <c r="K6" i="11"/>
  <c r="K16" i="11"/>
  <c r="K13" i="11"/>
  <c r="K17" i="11"/>
  <c r="K9" i="11"/>
  <c r="K14" i="11"/>
  <c r="K7" i="11"/>
  <c r="K12" i="11"/>
  <c r="K15" i="11"/>
  <c r="K18" i="11"/>
  <c r="K4" i="11"/>
  <c r="K20" i="11"/>
  <c r="K11" i="11"/>
  <c r="K8" i="11"/>
  <c r="K19" i="11"/>
  <c r="F2" i="7"/>
  <c r="I2" i="9"/>
  <c r="N2" i="11"/>
  <c r="D6" i="6"/>
  <c r="J7" i="9"/>
  <c r="I7" i="4"/>
  <c r="C9" i="4"/>
  <c r="D8" i="4"/>
  <c r="J8" i="9"/>
  <c r="C6" i="4"/>
  <c r="J4" i="4"/>
  <c r="D5" i="4"/>
  <c r="J6" i="9"/>
  <c r="C4" i="4"/>
  <c r="I9" i="4"/>
  <c r="J8" i="4"/>
  <c r="J10" i="9"/>
  <c r="C8" i="4"/>
  <c r="D7" i="4"/>
  <c r="J5" i="4"/>
  <c r="J9" i="9"/>
  <c r="C5" i="4"/>
  <c r="J6" i="4"/>
  <c r="I4" i="4"/>
  <c r="J7" i="4"/>
  <c r="D9" i="4"/>
  <c r="I8" i="4"/>
  <c r="D6" i="4"/>
  <c r="C7" i="4"/>
  <c r="I5" i="4"/>
  <c r="J9" i="4"/>
  <c r="I6" i="4"/>
  <c r="D4" i="4"/>
  <c r="B9" i="4" l="1"/>
  <c r="B5" i="4"/>
  <c r="B6" i="4"/>
  <c r="B8" i="4"/>
  <c r="B7" i="4"/>
  <c r="B4" i="4"/>
  <c r="D7" i="6"/>
  <c r="D9" i="6"/>
  <c r="D20" i="6"/>
  <c r="O3" i="11"/>
  <c r="O14" i="11"/>
  <c r="J2" i="9"/>
  <c r="O2" i="11"/>
  <c r="G2" i="7"/>
  <c r="O9" i="11"/>
  <c r="B1" i="6"/>
  <c r="O16" i="11"/>
  <c r="A3" i="4" l="1"/>
  <c r="A2" i="4"/>
  <c r="I24" i="4"/>
  <c r="O13" i="11"/>
  <c r="I16" i="4"/>
  <c r="E11" i="4"/>
  <c r="O12" i="11"/>
  <c r="J3" i="4"/>
  <c r="C21" i="4"/>
  <c r="E20" i="4"/>
  <c r="C18" i="4"/>
  <c r="E16" i="4"/>
  <c r="E15" i="4"/>
  <c r="D23" i="4"/>
  <c r="E13" i="4"/>
  <c r="I12" i="4"/>
  <c r="I15" i="4"/>
  <c r="E25" i="4"/>
  <c r="C25" i="4"/>
  <c r="D14" i="4"/>
  <c r="G4" i="7"/>
  <c r="I18" i="4"/>
  <c r="C23" i="4"/>
  <c r="O8" i="11"/>
  <c r="D19" i="4"/>
  <c r="D21" i="4"/>
  <c r="C16" i="4"/>
  <c r="D20" i="4"/>
  <c r="E14" i="4"/>
  <c r="C12" i="4"/>
  <c r="O10" i="11"/>
  <c r="D11" i="4"/>
  <c r="E26" i="4"/>
  <c r="D18" i="4"/>
  <c r="C2" i="4"/>
  <c r="D2" i="4"/>
  <c r="D17" i="4"/>
  <c r="C3" i="4"/>
  <c r="D15" i="4"/>
  <c r="E10" i="4"/>
  <c r="E23" i="4"/>
  <c r="C13" i="4"/>
  <c r="D12" i="4"/>
  <c r="C10" i="4"/>
  <c r="C11" i="4"/>
  <c r="C20" i="4"/>
  <c r="I11" i="4"/>
  <c r="C22" i="4"/>
  <c r="O19" i="11"/>
  <c r="O6" i="11"/>
  <c r="D24" i="4"/>
  <c r="E17" i="4"/>
  <c r="I10" i="4"/>
  <c r="E18" i="4"/>
  <c r="C17" i="4"/>
  <c r="O18" i="11"/>
  <c r="O11" i="11"/>
  <c r="I3" i="4"/>
  <c r="I14" i="4"/>
  <c r="C24" i="4"/>
  <c r="O15" i="11"/>
  <c r="D16" i="4"/>
  <c r="C19" i="4"/>
  <c r="O7" i="11"/>
  <c r="D10" i="4"/>
  <c r="I13" i="4"/>
  <c r="I22" i="4"/>
  <c r="C14" i="4"/>
  <c r="E24" i="4"/>
  <c r="E21" i="4"/>
  <c r="I21" i="4"/>
  <c r="D25" i="4"/>
  <c r="I2" i="4"/>
  <c r="D26" i="4"/>
  <c r="I25" i="4"/>
  <c r="I20" i="4"/>
  <c r="O5" i="11"/>
  <c r="I23" i="4"/>
  <c r="J2" i="4"/>
  <c r="D13" i="4"/>
  <c r="O17" i="11"/>
  <c r="J4" i="9"/>
  <c r="I26" i="4"/>
  <c r="E19" i="4"/>
  <c r="I19" i="4"/>
  <c r="E22" i="4"/>
  <c r="I17" i="4"/>
  <c r="O4" i="11"/>
  <c r="C26" i="4"/>
  <c r="D3" i="4"/>
  <c r="E12" i="4"/>
  <c r="D22" i="4"/>
  <c r="C15" i="4"/>
  <c r="O20" i="11"/>
  <c r="B2" i="4" l="1"/>
  <c r="B3" i="4"/>
  <c r="D2" i="5" a="1"/>
  <c r="E2" i="5" a="1"/>
  <c r="E10" i="5" l="1"/>
  <c r="E123" i="5"/>
  <c r="E91" i="5"/>
  <c r="E12" i="5"/>
  <c r="E100" i="5"/>
  <c r="E93" i="5"/>
  <c r="E80" i="5"/>
  <c r="E124" i="5"/>
  <c r="E26" i="5"/>
  <c r="E77" i="5"/>
  <c r="E31" i="5"/>
  <c r="E63" i="5"/>
  <c r="E15" i="5"/>
  <c r="E120" i="5"/>
  <c r="E42" i="5"/>
  <c r="E54" i="5"/>
  <c r="E27" i="5"/>
  <c r="E112" i="5"/>
  <c r="E48" i="5"/>
  <c r="E41" i="5"/>
  <c r="E114" i="5"/>
  <c r="E34" i="5"/>
  <c r="E49" i="5"/>
  <c r="E9" i="5"/>
  <c r="E20" i="5"/>
  <c r="E94" i="5"/>
  <c r="E90" i="5"/>
  <c r="E37" i="5"/>
  <c r="E57" i="5"/>
  <c r="E107" i="5"/>
  <c r="E75" i="5"/>
  <c r="E19" i="5"/>
  <c r="E44" i="5"/>
  <c r="E2" i="5"/>
  <c r="E96" i="5"/>
  <c r="E74" i="5"/>
  <c r="E46" i="5"/>
  <c r="E4" i="5"/>
  <c r="E68" i="5"/>
  <c r="E43" i="5"/>
  <c r="E102" i="5"/>
  <c r="E73" i="5"/>
  <c r="E21" i="5"/>
  <c r="E14" i="5"/>
  <c r="E84" i="5"/>
  <c r="E67" i="5"/>
  <c r="E122" i="5"/>
  <c r="E103" i="5"/>
  <c r="E60" i="5"/>
  <c r="E82" i="5"/>
  <c r="E87" i="5"/>
  <c r="E24" i="5"/>
  <c r="E83" i="5"/>
  <c r="E51" i="5"/>
  <c r="E78" i="5"/>
  <c r="E109" i="5"/>
  <c r="E32" i="5"/>
  <c r="E86" i="5"/>
  <c r="E35" i="5"/>
  <c r="E66" i="5"/>
  <c r="E47" i="5"/>
  <c r="E38" i="5"/>
  <c r="E119" i="5"/>
  <c r="E92" i="5"/>
  <c r="E59" i="5"/>
  <c r="E40" i="5"/>
  <c r="E126" i="5"/>
  <c r="E23" i="5"/>
  <c r="E98" i="5"/>
  <c r="E110" i="5"/>
  <c r="E18" i="5"/>
  <c r="E36" i="5"/>
  <c r="E13" i="5"/>
  <c r="E69" i="5"/>
  <c r="E81" i="5"/>
  <c r="E85" i="5"/>
  <c r="E106" i="5"/>
  <c r="E45" i="5"/>
  <c r="E22" i="5"/>
  <c r="E61" i="5"/>
  <c r="E72" i="5"/>
  <c r="E16" i="5"/>
  <c r="E111" i="5"/>
  <c r="E62" i="5"/>
  <c r="E39" i="5"/>
  <c r="E95" i="5"/>
  <c r="E79" i="5"/>
  <c r="E118" i="5"/>
  <c r="E65" i="5"/>
  <c r="E113" i="5"/>
  <c r="E105" i="5"/>
  <c r="E56" i="5"/>
  <c r="E28" i="5"/>
  <c r="E70" i="5"/>
  <c r="E108" i="5"/>
  <c r="E115" i="5"/>
  <c r="E30" i="5"/>
  <c r="E50" i="5"/>
  <c r="E6" i="5"/>
  <c r="E5" i="5"/>
  <c r="E97" i="5"/>
  <c r="E101" i="5"/>
  <c r="E88" i="5"/>
  <c r="E53" i="5"/>
  <c r="E25" i="5"/>
  <c r="E3" i="5"/>
  <c r="E116" i="5"/>
  <c r="E71" i="5"/>
  <c r="E7" i="5"/>
  <c r="E64" i="5"/>
  <c r="E104" i="5"/>
  <c r="E29" i="5"/>
  <c r="E55" i="5"/>
  <c r="E89" i="5"/>
  <c r="E33" i="5"/>
  <c r="E52" i="5"/>
  <c r="E17" i="5"/>
  <c r="E121" i="5"/>
  <c r="E125" i="5"/>
  <c r="E58" i="5"/>
  <c r="E76" i="5"/>
  <c r="E11" i="5"/>
  <c r="E8" i="5"/>
  <c r="E99" i="5"/>
  <c r="E117" i="5"/>
  <c r="D72" i="5"/>
  <c r="D108" i="5"/>
  <c r="D10" i="5"/>
  <c r="D38" i="5"/>
  <c r="D91" i="5"/>
  <c r="D42" i="5"/>
  <c r="D35" i="5"/>
  <c r="D19" i="5"/>
  <c r="D30" i="5"/>
  <c r="D37" i="5"/>
  <c r="D118" i="5"/>
  <c r="D66" i="5"/>
  <c r="D65" i="5"/>
  <c r="D77" i="5"/>
  <c r="D102" i="5"/>
  <c r="D18" i="5"/>
  <c r="D33" i="5"/>
  <c r="D120" i="5"/>
  <c r="D14" i="5"/>
  <c r="D105" i="5"/>
  <c r="D48" i="5"/>
  <c r="D16" i="5"/>
  <c r="D110" i="5"/>
  <c r="D20" i="5"/>
  <c r="D46" i="5"/>
  <c r="D90" i="5"/>
  <c r="D13" i="5"/>
  <c r="D23" i="5"/>
  <c r="D101" i="5"/>
  <c r="D15" i="5"/>
  <c r="D70" i="5"/>
  <c r="D81" i="5"/>
  <c r="D62" i="5"/>
  <c r="D41" i="5"/>
  <c r="D17" i="5"/>
  <c r="D111" i="5"/>
  <c r="D103" i="5"/>
  <c r="D54" i="5"/>
  <c r="D124" i="5"/>
  <c r="D68" i="5"/>
  <c r="D82" i="5"/>
  <c r="D53" i="5"/>
  <c r="D99" i="5"/>
  <c r="D3" i="5"/>
  <c r="D61" i="5"/>
  <c r="D7" i="5"/>
  <c r="D123" i="5"/>
  <c r="D116" i="5"/>
  <c r="D113" i="5"/>
  <c r="D49" i="5"/>
  <c r="D47" i="5"/>
  <c r="D97" i="5"/>
  <c r="D9" i="5"/>
  <c r="D75" i="5"/>
  <c r="D69" i="5"/>
  <c r="D64" i="5"/>
  <c r="D126" i="5"/>
  <c r="D39" i="5"/>
  <c r="D63" i="5"/>
  <c r="D83" i="5"/>
  <c r="D95" i="5"/>
  <c r="D8" i="5"/>
  <c r="D107" i="5"/>
  <c r="D122" i="5"/>
  <c r="D67" i="5"/>
  <c r="D74" i="5"/>
  <c r="D115" i="5"/>
  <c r="D79" i="5"/>
  <c r="D5" i="5"/>
  <c r="D94" i="5"/>
  <c r="D56" i="5"/>
  <c r="D6" i="5"/>
  <c r="D100" i="5"/>
  <c r="D59" i="5"/>
  <c r="D87" i="5"/>
  <c r="D12" i="5"/>
  <c r="D84" i="5"/>
  <c r="D44" i="5"/>
  <c r="D117" i="5"/>
  <c r="D88" i="5"/>
  <c r="D24" i="5"/>
  <c r="D51" i="5"/>
  <c r="D43" i="5"/>
  <c r="D36" i="5"/>
  <c r="D29" i="5"/>
  <c r="D55" i="5"/>
  <c r="D11" i="5"/>
  <c r="D104" i="5"/>
  <c r="D93" i="5"/>
  <c r="D119" i="5"/>
  <c r="D4" i="5"/>
  <c r="D27" i="5"/>
  <c r="D58" i="5"/>
  <c r="D52" i="5"/>
  <c r="D106" i="5"/>
  <c r="D92" i="5"/>
  <c r="D57" i="5"/>
  <c r="D78" i="5"/>
  <c r="D32" i="5"/>
  <c r="D45" i="5"/>
  <c r="D22" i="5"/>
  <c r="D2" i="5"/>
  <c r="D76" i="5"/>
  <c r="D109" i="5"/>
  <c r="D85" i="5"/>
  <c r="D50" i="5"/>
  <c r="D98" i="5"/>
  <c r="D125" i="5"/>
  <c r="D40" i="5"/>
  <c r="D71" i="5"/>
  <c r="D21" i="5"/>
  <c r="D31" i="5"/>
  <c r="D86" i="5"/>
  <c r="D28" i="5"/>
  <c r="D96" i="5"/>
  <c r="D34" i="5"/>
  <c r="D60" i="5"/>
  <c r="D80" i="5"/>
  <c r="D112" i="5"/>
  <c r="D26" i="5"/>
  <c r="D25" i="5"/>
  <c r="D114" i="5"/>
  <c r="D121" i="5"/>
  <c r="D73" i="5"/>
  <c r="D89" i="5"/>
  <c r="L85" i="5"/>
  <c r="L105" i="5"/>
  <c r="H50" i="5"/>
  <c r="I29" i="5"/>
  <c r="F22" i="5"/>
  <c r="I82" i="5"/>
  <c r="J55" i="5"/>
  <c r="K19" i="5"/>
  <c r="J30" i="5"/>
  <c r="J35" i="5"/>
  <c r="H70" i="5"/>
  <c r="L96" i="5"/>
  <c r="I103" i="5"/>
  <c r="J69" i="5"/>
  <c r="H125" i="5"/>
  <c r="L70" i="5"/>
  <c r="K83" i="5"/>
  <c r="K80" i="5"/>
  <c r="J93" i="5"/>
  <c r="F114" i="5"/>
  <c r="L84" i="5"/>
  <c r="L17" i="5"/>
  <c r="I90" i="5"/>
  <c r="H96" i="5"/>
  <c r="K70" i="5"/>
  <c r="L91" i="5"/>
  <c r="K118" i="5"/>
  <c r="H111" i="5"/>
  <c r="H95" i="5"/>
  <c r="J77" i="5"/>
  <c r="I46" i="5"/>
  <c r="H51" i="5"/>
  <c r="I21" i="5"/>
  <c r="F58" i="5"/>
  <c r="F34" i="5"/>
  <c r="F25" i="5"/>
  <c r="L50" i="5"/>
  <c r="J107" i="5"/>
  <c r="I54" i="5"/>
  <c r="L66" i="5"/>
  <c r="F108" i="5"/>
  <c r="H86" i="5"/>
  <c r="K106" i="5"/>
  <c r="J68" i="5"/>
  <c r="F33" i="5"/>
  <c r="H37" i="5"/>
  <c r="H52" i="5"/>
  <c r="I31" i="5"/>
  <c r="H59" i="5"/>
  <c r="K5" i="5"/>
  <c r="L21" i="5"/>
  <c r="L5" i="5"/>
  <c r="J101" i="5"/>
  <c r="F14" i="5"/>
  <c r="F81" i="5"/>
  <c r="H113" i="5"/>
  <c r="L3" i="5"/>
  <c r="L22" i="5"/>
  <c r="J25" i="5"/>
  <c r="H15" i="5"/>
  <c r="K116" i="5"/>
  <c r="J97" i="5"/>
  <c r="F60" i="5"/>
  <c r="K113" i="5"/>
  <c r="L79" i="5"/>
  <c r="J59" i="5"/>
  <c r="F126" i="5"/>
  <c r="L80" i="5"/>
  <c r="L64" i="5"/>
  <c r="K66" i="5"/>
  <c r="F76" i="5"/>
  <c r="I119" i="5"/>
  <c r="L30" i="5"/>
  <c r="K2" i="5"/>
  <c r="I86" i="5"/>
  <c r="J6" i="5"/>
  <c r="H68" i="5"/>
  <c r="I50" i="5"/>
  <c r="K38" i="5"/>
  <c r="L57" i="5"/>
  <c r="F45" i="5"/>
  <c r="K90" i="5"/>
  <c r="J89" i="5"/>
  <c r="F83" i="5"/>
  <c r="K69" i="5"/>
  <c r="I11" i="5"/>
  <c r="L122" i="5"/>
  <c r="L49" i="5"/>
  <c r="H90" i="5"/>
  <c r="L12" i="5"/>
  <c r="H64" i="5"/>
  <c r="H25" i="5"/>
  <c r="K23" i="5"/>
  <c r="J126" i="5"/>
  <c r="I100" i="5"/>
  <c r="L86" i="5"/>
  <c r="K27" i="5"/>
  <c r="H38" i="5"/>
  <c r="H48" i="5"/>
  <c r="F6" i="5"/>
  <c r="L2" i="5"/>
  <c r="K111" i="5"/>
  <c r="L89" i="5"/>
  <c r="L123" i="5"/>
  <c r="I91" i="5"/>
  <c r="H29" i="5"/>
  <c r="F112" i="5"/>
  <c r="I67" i="5"/>
  <c r="L111" i="5"/>
  <c r="I32" i="5"/>
  <c r="F39" i="5"/>
  <c r="K62" i="5"/>
  <c r="I123" i="5"/>
  <c r="H22" i="5"/>
  <c r="H45" i="5"/>
  <c r="K74" i="5"/>
  <c r="J124" i="5"/>
  <c r="J45" i="5"/>
  <c r="J28" i="5"/>
  <c r="L20" i="5"/>
  <c r="H28" i="5"/>
  <c r="L77" i="5"/>
  <c r="L118" i="5"/>
  <c r="I33" i="5"/>
  <c r="L10" i="5"/>
  <c r="F113" i="5"/>
  <c r="F79" i="5"/>
  <c r="H7" i="5"/>
  <c r="F102" i="5"/>
  <c r="L13" i="5"/>
  <c r="J125" i="5"/>
  <c r="I114" i="5"/>
  <c r="J29" i="5"/>
  <c r="F37" i="5"/>
  <c r="I93" i="5"/>
  <c r="K30" i="5"/>
  <c r="J20" i="5"/>
  <c r="H34" i="5"/>
  <c r="I44" i="5"/>
  <c r="H21" i="5"/>
  <c r="F5" i="5"/>
  <c r="J46" i="5"/>
  <c r="H26" i="5"/>
  <c r="L36" i="5"/>
  <c r="I68" i="5"/>
  <c r="I109" i="5"/>
  <c r="J48" i="5"/>
  <c r="I5" i="5"/>
  <c r="J10" i="5"/>
  <c r="J94" i="5"/>
  <c r="K88" i="5"/>
  <c r="I75" i="5"/>
  <c r="K13" i="5"/>
  <c r="F123" i="5"/>
  <c r="L88" i="5"/>
  <c r="K110" i="5"/>
  <c r="L15" i="5"/>
  <c r="I28" i="5"/>
  <c r="I61" i="5"/>
  <c r="L31" i="5"/>
  <c r="I57" i="5"/>
  <c r="I88" i="5"/>
  <c r="L55" i="5"/>
  <c r="H69" i="5"/>
  <c r="K117" i="5"/>
  <c r="J47" i="5"/>
  <c r="I45" i="5"/>
  <c r="H76" i="5"/>
  <c r="I81" i="5"/>
  <c r="I15" i="5"/>
  <c r="F85" i="5"/>
  <c r="F111" i="5"/>
  <c r="J117" i="5"/>
  <c r="K41" i="5"/>
  <c r="L125" i="5"/>
  <c r="K77" i="5"/>
  <c r="K8" i="5"/>
  <c r="L74" i="5"/>
  <c r="J12" i="5"/>
  <c r="F67" i="5"/>
  <c r="J116" i="5"/>
  <c r="L83" i="5"/>
  <c r="H82" i="5"/>
  <c r="J51" i="5"/>
  <c r="J57" i="5"/>
  <c r="H46" i="5"/>
  <c r="H62" i="5"/>
  <c r="L33" i="5"/>
  <c r="I108" i="5"/>
  <c r="F74" i="5"/>
  <c r="J40" i="5"/>
  <c r="I4" i="5"/>
  <c r="I55" i="5"/>
  <c r="L120" i="5"/>
  <c r="F28" i="5"/>
  <c r="H20" i="5"/>
  <c r="F10" i="5"/>
  <c r="J13" i="5"/>
  <c r="J63" i="5"/>
  <c r="F41" i="5"/>
  <c r="K85" i="5"/>
  <c r="F105" i="5"/>
  <c r="J5" i="5"/>
  <c r="J54" i="5"/>
  <c r="F13" i="5"/>
  <c r="F98" i="5"/>
  <c r="J75" i="5"/>
  <c r="H4" i="5"/>
  <c r="F65" i="5"/>
  <c r="J100" i="5"/>
  <c r="J43" i="5"/>
  <c r="J58" i="5"/>
  <c r="H87" i="5"/>
  <c r="H94" i="5"/>
  <c r="L109" i="5"/>
  <c r="K9" i="5"/>
  <c r="F32" i="5"/>
  <c r="L60" i="5"/>
  <c r="F96" i="5"/>
  <c r="F70" i="5"/>
  <c r="K100" i="5"/>
  <c r="L6" i="5"/>
  <c r="L76" i="5"/>
  <c r="J21" i="5"/>
  <c r="I112" i="5"/>
  <c r="K36" i="5"/>
  <c r="H19" i="5"/>
  <c r="J111" i="5"/>
  <c r="H56" i="5"/>
  <c r="J95" i="5"/>
  <c r="H31" i="5"/>
  <c r="K58" i="5"/>
  <c r="L25" i="5"/>
  <c r="H84" i="5"/>
  <c r="J90" i="5"/>
  <c r="I59" i="5"/>
  <c r="F73" i="5"/>
  <c r="I10" i="5"/>
  <c r="I63" i="5"/>
  <c r="K17" i="5"/>
  <c r="F88" i="5"/>
  <c r="K73" i="5"/>
  <c r="F119" i="5"/>
  <c r="H72" i="5"/>
  <c r="L68" i="5"/>
  <c r="F46" i="5"/>
  <c r="L65" i="5"/>
  <c r="L102" i="5"/>
  <c r="J92" i="5"/>
  <c r="I26" i="5"/>
  <c r="K68" i="5"/>
  <c r="F72" i="5"/>
  <c r="I124" i="5"/>
  <c r="I49" i="5"/>
  <c r="H11" i="5"/>
  <c r="K26" i="5"/>
  <c r="H85" i="5"/>
  <c r="J23" i="5"/>
  <c r="K11" i="5"/>
  <c r="J26" i="5"/>
  <c r="H32" i="5"/>
  <c r="L28" i="5"/>
  <c r="I42" i="5"/>
  <c r="L72" i="5"/>
  <c r="F90" i="5"/>
  <c r="K101" i="5"/>
  <c r="F104" i="5"/>
  <c r="I83" i="5"/>
  <c r="I116" i="5"/>
  <c r="K64" i="5"/>
  <c r="H97" i="5"/>
  <c r="F118" i="5"/>
  <c r="H108" i="5"/>
  <c r="I80" i="5"/>
  <c r="L81" i="5"/>
  <c r="L18" i="5"/>
  <c r="H107" i="5"/>
  <c r="H109" i="5"/>
  <c r="F7" i="5"/>
  <c r="I36" i="5"/>
  <c r="I84" i="5"/>
  <c r="J91" i="5"/>
  <c r="I8" i="5"/>
  <c r="H91" i="5"/>
  <c r="F11" i="5"/>
  <c r="I13" i="5"/>
  <c r="H75" i="5"/>
  <c r="J22" i="5"/>
  <c r="I40" i="5"/>
  <c r="I51" i="5"/>
  <c r="F91" i="5"/>
  <c r="J16" i="5"/>
  <c r="K4" i="5"/>
  <c r="I125" i="5"/>
  <c r="J118" i="5"/>
  <c r="K34" i="5"/>
  <c r="H53" i="5"/>
  <c r="I120" i="5"/>
  <c r="I47" i="5"/>
  <c r="L63" i="5"/>
  <c r="F2" i="5"/>
  <c r="H102" i="5"/>
  <c r="K72" i="5"/>
  <c r="F57" i="5"/>
  <c r="H58" i="5"/>
  <c r="F24" i="5"/>
  <c r="H63" i="5"/>
  <c r="J41" i="5"/>
  <c r="L29" i="5"/>
  <c r="K16" i="5"/>
  <c r="F115" i="5"/>
  <c r="J98" i="5"/>
  <c r="L11" i="5"/>
  <c r="J104" i="5"/>
  <c r="K96" i="5"/>
  <c r="I35" i="5"/>
  <c r="H65" i="5"/>
  <c r="L97" i="5"/>
  <c r="H81" i="5"/>
  <c r="F3" i="5"/>
  <c r="H57" i="5"/>
  <c r="L115" i="5"/>
  <c r="K44" i="5"/>
  <c r="H116" i="5"/>
  <c r="H98" i="5"/>
  <c r="L103" i="5"/>
  <c r="H74" i="5"/>
  <c r="L67" i="5"/>
  <c r="F121" i="5"/>
  <c r="L78" i="5"/>
  <c r="J9" i="5"/>
  <c r="H39" i="5"/>
  <c r="H89" i="5"/>
  <c r="H8" i="5"/>
  <c r="F12" i="5"/>
  <c r="J83" i="5"/>
  <c r="F75" i="5"/>
  <c r="H30" i="5"/>
  <c r="L116" i="5"/>
  <c r="K12" i="5"/>
  <c r="F110" i="5"/>
  <c r="F86" i="5"/>
  <c r="K94" i="5"/>
  <c r="K95" i="5"/>
  <c r="L7" i="5"/>
  <c r="K71" i="5"/>
  <c r="K99" i="5"/>
  <c r="F16" i="5"/>
  <c r="K55" i="5"/>
  <c r="L52" i="5"/>
  <c r="J81" i="5"/>
  <c r="K98" i="5"/>
  <c r="J18" i="5"/>
  <c r="J71" i="5"/>
  <c r="J84" i="5"/>
  <c r="I14" i="5"/>
  <c r="L73" i="5"/>
  <c r="F53" i="5"/>
  <c r="L62" i="5"/>
  <c r="H6" i="5"/>
  <c r="I53" i="5"/>
  <c r="F99" i="5"/>
  <c r="F101" i="5"/>
  <c r="J103" i="5"/>
  <c r="L119" i="5"/>
  <c r="J7" i="5"/>
  <c r="L32" i="5"/>
  <c r="F95" i="5"/>
  <c r="K92" i="5"/>
  <c r="I98" i="5"/>
  <c r="J32" i="5"/>
  <c r="I22" i="5"/>
  <c r="J112" i="5"/>
  <c r="J66" i="5"/>
  <c r="J34" i="5"/>
  <c r="I62" i="5"/>
  <c r="J120" i="5"/>
  <c r="K97" i="5"/>
  <c r="F59" i="5"/>
  <c r="J74" i="5"/>
  <c r="L34" i="5"/>
  <c r="F36" i="5"/>
  <c r="H61" i="5"/>
  <c r="H106" i="5"/>
  <c r="L112" i="5"/>
  <c r="K119" i="5"/>
  <c r="F89" i="5"/>
  <c r="K46" i="5"/>
  <c r="K84" i="5"/>
  <c r="K125" i="5"/>
  <c r="F56" i="5"/>
  <c r="H121" i="5"/>
  <c r="F116" i="5"/>
  <c r="L38" i="5"/>
  <c r="J39" i="5"/>
  <c r="H13" i="5"/>
  <c r="K59" i="5"/>
  <c r="J3" i="5"/>
  <c r="H9" i="5"/>
  <c r="J73" i="5"/>
  <c r="F49" i="5"/>
  <c r="J79" i="5"/>
  <c r="I71" i="5"/>
  <c r="K32" i="5"/>
  <c r="I122" i="5"/>
  <c r="K91" i="5"/>
  <c r="H49" i="5"/>
  <c r="J102" i="5"/>
  <c r="H43" i="5"/>
  <c r="L69" i="5"/>
  <c r="K76" i="5"/>
  <c r="K104" i="5"/>
  <c r="J70" i="5"/>
  <c r="J105" i="5"/>
  <c r="J42" i="5"/>
  <c r="K61" i="5"/>
  <c r="L16" i="5"/>
  <c r="L110" i="5"/>
  <c r="J38" i="5"/>
  <c r="F122" i="5"/>
  <c r="I107" i="5"/>
  <c r="K20" i="5"/>
  <c r="K67" i="5"/>
  <c r="F44" i="5"/>
  <c r="I105" i="5"/>
  <c r="L8" i="5"/>
  <c r="K54" i="5"/>
  <c r="F62" i="5"/>
  <c r="J56" i="5"/>
  <c r="H103" i="5"/>
  <c r="J19" i="5"/>
  <c r="F8" i="5"/>
  <c r="H66" i="5"/>
  <c r="J53" i="5"/>
  <c r="I94" i="5"/>
  <c r="I48" i="5"/>
  <c r="K53" i="5"/>
  <c r="L126" i="5"/>
  <c r="K75" i="5"/>
  <c r="H42" i="5"/>
  <c r="J85" i="5"/>
  <c r="I77" i="5"/>
  <c r="I9" i="5"/>
  <c r="J44" i="5"/>
  <c r="J106" i="5"/>
  <c r="H60" i="5"/>
  <c r="J87" i="5"/>
  <c r="I87" i="5"/>
  <c r="H67" i="5"/>
  <c r="K7" i="5"/>
  <c r="I99" i="5"/>
  <c r="K105" i="5"/>
  <c r="F61" i="5"/>
  <c r="H27" i="5"/>
  <c r="J14" i="5"/>
  <c r="K42" i="5"/>
  <c r="H101" i="5"/>
  <c r="F106" i="5"/>
  <c r="J8" i="5"/>
  <c r="H88" i="5"/>
  <c r="F64" i="5"/>
  <c r="F15" i="5"/>
  <c r="I60" i="5"/>
  <c r="K43" i="5"/>
  <c r="L99" i="5"/>
  <c r="J31" i="5"/>
  <c r="H14" i="5"/>
  <c r="L53" i="5"/>
  <c r="J121" i="5"/>
  <c r="K108" i="5"/>
  <c r="L59" i="5"/>
  <c r="J86" i="5"/>
  <c r="F77" i="5"/>
  <c r="H105" i="5"/>
  <c r="H54" i="5"/>
  <c r="H110" i="5"/>
  <c r="K31" i="5"/>
  <c r="J88" i="5"/>
  <c r="J99" i="5"/>
  <c r="I72" i="5"/>
  <c r="K89" i="5"/>
  <c r="L26" i="5"/>
  <c r="F29" i="5"/>
  <c r="I70" i="5"/>
  <c r="L101" i="5"/>
  <c r="F117" i="5"/>
  <c r="J67" i="5"/>
  <c r="L98" i="5"/>
  <c r="I115" i="5"/>
  <c r="I111" i="5"/>
  <c r="F125" i="5"/>
  <c r="F19" i="5"/>
  <c r="J119" i="5"/>
  <c r="K29" i="5"/>
  <c r="H33" i="5"/>
  <c r="L95" i="5"/>
  <c r="J52" i="5"/>
  <c r="I89" i="5"/>
  <c r="L46" i="5"/>
  <c r="K122" i="5"/>
  <c r="F27" i="5"/>
  <c r="H36" i="5"/>
  <c r="K33" i="5"/>
  <c r="I52" i="5"/>
  <c r="I85" i="5"/>
  <c r="J122" i="5"/>
  <c r="I95" i="5"/>
  <c r="L45" i="5"/>
  <c r="J2" i="5"/>
  <c r="I38" i="5"/>
  <c r="K107" i="5"/>
  <c r="L47" i="5"/>
  <c r="L90" i="5"/>
  <c r="J80" i="5"/>
  <c r="K60" i="5"/>
  <c r="K51" i="5"/>
  <c r="L107" i="5"/>
  <c r="F109" i="5"/>
  <c r="H78" i="5"/>
  <c r="J76" i="5"/>
  <c r="F50" i="5"/>
  <c r="F51" i="5"/>
  <c r="F103" i="5"/>
  <c r="K79" i="5"/>
  <c r="I16" i="5"/>
  <c r="J78" i="5"/>
  <c r="I2" i="5"/>
  <c r="I66" i="5"/>
  <c r="F47" i="5"/>
  <c r="H44" i="5"/>
  <c r="J24" i="5"/>
  <c r="J37" i="5"/>
  <c r="I56" i="5"/>
  <c r="I58" i="5"/>
  <c r="I41" i="5"/>
  <c r="I37" i="5"/>
  <c r="F68" i="5"/>
  <c r="F84" i="5"/>
  <c r="F55" i="5"/>
  <c r="F82" i="5"/>
  <c r="H35" i="5"/>
  <c r="H93" i="5"/>
  <c r="F71" i="5"/>
  <c r="K35" i="5"/>
  <c r="F43" i="5"/>
  <c r="L100" i="5"/>
  <c r="I20" i="5"/>
  <c r="K14" i="5"/>
  <c r="F52" i="5"/>
  <c r="L56" i="5"/>
  <c r="I126" i="5"/>
  <c r="K63" i="5"/>
  <c r="L37" i="5"/>
  <c r="K15" i="5"/>
  <c r="I118" i="5"/>
  <c r="K56" i="5"/>
  <c r="I106" i="5"/>
  <c r="I113" i="5"/>
  <c r="J108" i="5"/>
  <c r="L121" i="5"/>
  <c r="L42" i="5"/>
  <c r="F63" i="5"/>
  <c r="I117" i="5"/>
  <c r="J33" i="5"/>
  <c r="J110" i="5"/>
  <c r="K57" i="5"/>
  <c r="H114" i="5"/>
  <c r="L41" i="5"/>
  <c r="K24" i="5"/>
  <c r="F38" i="5"/>
  <c r="J123" i="5"/>
  <c r="I73" i="5"/>
  <c r="L48" i="5"/>
  <c r="J65" i="5"/>
  <c r="H126" i="5"/>
  <c r="H3" i="5"/>
  <c r="I97" i="5"/>
  <c r="L43" i="5"/>
  <c r="K3" i="5"/>
  <c r="F26" i="5"/>
  <c r="L113" i="5"/>
  <c r="H104" i="5"/>
  <c r="L104" i="5"/>
  <c r="H99" i="5"/>
  <c r="K121" i="5"/>
  <c r="H122" i="5"/>
  <c r="J115" i="5"/>
  <c r="K102" i="5"/>
  <c r="I39" i="5"/>
  <c r="J4" i="5"/>
  <c r="F93" i="5"/>
  <c r="H16" i="5"/>
  <c r="L108" i="5"/>
  <c r="J72" i="5"/>
  <c r="H2" i="5"/>
  <c r="I65" i="5"/>
  <c r="J114" i="5"/>
  <c r="F23" i="5"/>
  <c r="F21" i="5"/>
  <c r="F42" i="5"/>
  <c r="I24" i="5"/>
  <c r="J96" i="5"/>
  <c r="H12" i="5"/>
  <c r="H120" i="5"/>
  <c r="F17" i="5"/>
  <c r="I17" i="5"/>
  <c r="F31" i="5"/>
  <c r="I12" i="5"/>
  <c r="L92" i="5"/>
  <c r="I110" i="5"/>
  <c r="F107" i="5"/>
  <c r="L40" i="5"/>
  <c r="H115" i="5"/>
  <c r="K126" i="5"/>
  <c r="I79" i="5"/>
  <c r="L9" i="5"/>
  <c r="J15" i="5"/>
  <c r="I19" i="5"/>
  <c r="L82" i="5"/>
  <c r="F124" i="5"/>
  <c r="K45" i="5"/>
  <c r="K114" i="5"/>
  <c r="L39" i="5"/>
  <c r="H18" i="5"/>
  <c r="K10" i="5"/>
  <c r="L24" i="5"/>
  <c r="J49" i="5"/>
  <c r="H10" i="5"/>
  <c r="J11" i="5"/>
  <c r="H73" i="5"/>
  <c r="I101" i="5"/>
  <c r="H47" i="5"/>
  <c r="L94" i="5"/>
  <c r="F66" i="5"/>
  <c r="L54" i="5"/>
  <c r="K52" i="5"/>
  <c r="L106" i="5"/>
  <c r="F30" i="5"/>
  <c r="I25" i="5"/>
  <c r="K86" i="5"/>
  <c r="H118" i="5"/>
  <c r="I104" i="5"/>
  <c r="K49" i="5"/>
  <c r="I43" i="5"/>
  <c r="K6" i="5"/>
  <c r="H41" i="5"/>
  <c r="J60" i="5"/>
  <c r="K25" i="5"/>
  <c r="J64" i="5"/>
  <c r="F80" i="5"/>
  <c r="H17" i="5"/>
  <c r="I92" i="5"/>
  <c r="K109" i="5"/>
  <c r="K21" i="5"/>
  <c r="F40" i="5"/>
  <c r="J36" i="5"/>
  <c r="K93" i="5"/>
  <c r="L124" i="5"/>
  <c r="K28" i="5"/>
  <c r="F69" i="5"/>
  <c r="F92" i="5"/>
  <c r="K123" i="5"/>
  <c r="J62" i="5"/>
  <c r="F35" i="5"/>
  <c r="I27" i="5"/>
  <c r="I76" i="5"/>
  <c r="L44" i="5"/>
  <c r="H100" i="5"/>
  <c r="I3" i="5"/>
  <c r="H5" i="5"/>
  <c r="H117" i="5"/>
  <c r="J27" i="5"/>
  <c r="J82" i="5"/>
  <c r="K112" i="5"/>
  <c r="K37" i="5"/>
  <c r="K18" i="5"/>
  <c r="L58" i="5"/>
  <c r="H83" i="5"/>
  <c r="F120" i="5"/>
  <c r="H55" i="5"/>
  <c r="K115" i="5"/>
  <c r="K22" i="5"/>
  <c r="H40" i="5"/>
  <c r="H112" i="5"/>
  <c r="F20" i="5"/>
  <c r="H92" i="5"/>
  <c r="K48" i="5"/>
  <c r="L87" i="5"/>
  <c r="F100" i="5"/>
  <c r="K124" i="5"/>
  <c r="K39" i="5"/>
  <c r="F4" i="5"/>
  <c r="K120" i="5"/>
  <c r="K82" i="5"/>
  <c r="I6" i="5"/>
  <c r="L51" i="5"/>
  <c r="K81" i="5"/>
  <c r="J113" i="5"/>
  <c r="F78" i="5"/>
  <c r="I96" i="5"/>
  <c r="K78" i="5"/>
  <c r="J109" i="5"/>
  <c r="F87" i="5"/>
  <c r="K40" i="5"/>
  <c r="L93" i="5"/>
  <c r="H77" i="5"/>
  <c r="I64" i="5"/>
  <c r="I23" i="5"/>
  <c r="I7" i="5"/>
  <c r="L4" i="5"/>
  <c r="F94" i="5"/>
  <c r="I69" i="5"/>
  <c r="L27" i="5"/>
  <c r="K47" i="5"/>
  <c r="F18" i="5"/>
  <c r="I74" i="5"/>
  <c r="L14" i="5"/>
  <c r="J61" i="5"/>
  <c r="K65" i="5"/>
  <c r="I121" i="5"/>
  <c r="J17" i="5"/>
  <c r="H71" i="5"/>
  <c r="L117" i="5"/>
  <c r="F54" i="5"/>
  <c r="L61" i="5"/>
  <c r="L35" i="5"/>
  <c r="F48" i="5"/>
  <c r="F97" i="5"/>
  <c r="H119" i="5"/>
  <c r="K50" i="5"/>
  <c r="I18" i="5"/>
  <c r="H80" i="5"/>
  <c r="F9" i="5"/>
  <c r="H79" i="5"/>
  <c r="K103" i="5"/>
  <c r="L114" i="5"/>
  <c r="I30" i="5"/>
  <c r="I78" i="5"/>
  <c r="H124" i="5"/>
  <c r="J50" i="5"/>
  <c r="L19" i="5"/>
  <c r="L23" i="5"/>
  <c r="I34" i="5"/>
  <c r="I102" i="5"/>
  <c r="L71" i="5"/>
  <c r="H123" i="5"/>
  <c r="L75" i="5"/>
  <c r="H23" i="5"/>
  <c r="K87" i="5"/>
  <c r="H24" i="5"/>
  <c r="F6" i="13" l="1"/>
  <c r="F15" i="13"/>
  <c r="D23" i="13"/>
  <c r="E23" i="13" s="1"/>
  <c r="D27" i="13"/>
  <c r="E27" i="13" s="1"/>
  <c r="F16" i="13"/>
  <c r="F13" i="13"/>
  <c r="F9" i="13"/>
  <c r="F22" i="13"/>
  <c r="D25" i="13"/>
  <c r="E25" i="13" s="1"/>
  <c r="D20" i="13"/>
  <c r="E20" i="13" s="1"/>
  <c r="F5" i="13"/>
  <c r="F20" i="13"/>
  <c r="D10" i="13"/>
  <c r="E10" i="13" s="1"/>
  <c r="D4" i="13"/>
  <c r="E4" i="13" s="1"/>
  <c r="F25" i="13"/>
  <c r="F24" i="13"/>
  <c r="D7" i="13"/>
  <c r="E7" i="13" s="1"/>
  <c r="D5" i="13"/>
  <c r="E5" i="13" s="1"/>
  <c r="F23" i="13"/>
  <c r="D24" i="13"/>
  <c r="E24" i="13" s="1"/>
  <c r="D18" i="13"/>
  <c r="E18" i="13" s="1"/>
  <c r="D26" i="13"/>
  <c r="E26" i="13" s="1"/>
  <c r="F11" i="13"/>
  <c r="F10" i="13"/>
  <c r="F27" i="13"/>
  <c r="F18" i="13"/>
  <c r="F8" i="13"/>
  <c r="D19" i="13"/>
  <c r="E19" i="13" s="1"/>
  <c r="F19" i="13"/>
  <c r="D14" i="13"/>
  <c r="E14" i="13" s="1"/>
  <c r="D22" i="13"/>
  <c r="E22" i="13" s="1"/>
  <c r="F17" i="13"/>
  <c r="D21" i="13"/>
  <c r="E21" i="13" s="1"/>
  <c r="F12" i="13"/>
  <c r="F14" i="13"/>
  <c r="F4" i="13"/>
  <c r="D12" i="13"/>
  <c r="E12" i="13" s="1"/>
  <c r="D9" i="13"/>
  <c r="E9" i="13" s="1"/>
  <c r="D6" i="13"/>
  <c r="E6" i="13" s="1"/>
  <c r="F21" i="13"/>
  <c r="D17" i="13"/>
  <c r="E17" i="13" s="1"/>
  <c r="D13" i="13"/>
  <c r="E13" i="13" s="1"/>
  <c r="F7" i="13"/>
  <c r="D11" i="13"/>
  <c r="E11" i="13" s="1"/>
  <c r="D8" i="13"/>
  <c r="E8" i="13" s="1"/>
  <c r="D15" i="13"/>
  <c r="E15" i="13" s="1"/>
  <c r="F26" i="13"/>
  <c r="D16" i="13"/>
  <c r="E16" i="13" s="1"/>
  <c r="F3" i="13"/>
  <c r="D3" i="13"/>
  <c r="E3" i="13" s="1"/>
  <c r="G115" i="5"/>
  <c r="G3" i="5"/>
  <c r="G4" i="5"/>
  <c r="G112" i="5"/>
  <c r="G92" i="5"/>
  <c r="G88" i="5"/>
  <c r="G114" i="5"/>
  <c r="G56" i="5"/>
  <c r="G79" i="5"/>
  <c r="G11" i="5"/>
  <c r="G21" i="5"/>
  <c r="G23" i="5"/>
  <c r="G77" i="5"/>
  <c r="G85" i="5"/>
  <c r="G111" i="5"/>
  <c r="G27" i="5"/>
  <c r="G124" i="5"/>
  <c r="G117" i="5"/>
  <c r="G15" i="5"/>
  <c r="G8" i="5"/>
  <c r="G2" i="5"/>
  <c r="G44" i="5"/>
  <c r="G22" i="5"/>
  <c r="G64" i="5"/>
  <c r="G67" i="5"/>
  <c r="G121" i="5"/>
  <c r="G91" i="5"/>
  <c r="G36" i="5"/>
  <c r="G58" i="5"/>
  <c r="G70" i="5"/>
  <c r="G94" i="5"/>
  <c r="G71" i="5"/>
  <c r="G28" i="5"/>
  <c r="G96" i="5"/>
  <c r="G83" i="5"/>
  <c r="G63" i="5"/>
  <c r="G48" i="5"/>
  <c r="G113" i="5"/>
  <c r="G53" i="5"/>
  <c r="G118" i="5"/>
  <c r="G25" i="5"/>
  <c r="G69" i="5"/>
  <c r="G43" i="5"/>
  <c r="G65" i="5"/>
  <c r="G57" i="5"/>
  <c r="G6" i="5"/>
  <c r="G62" i="5"/>
  <c r="G110" i="5"/>
  <c r="G32" i="5"/>
  <c r="G5" i="5"/>
  <c r="G50" i="5"/>
  <c r="G54" i="5"/>
  <c r="G99" i="5"/>
  <c r="G95" i="5"/>
  <c r="G116" i="5"/>
  <c r="G119" i="5"/>
  <c r="G37" i="5"/>
  <c r="G17" i="5"/>
  <c r="G33" i="5"/>
  <c r="G60" i="5"/>
  <c r="G103" i="5"/>
  <c r="G26" i="5"/>
  <c r="G13" i="5"/>
  <c r="G101" i="5"/>
  <c r="G40" i="5"/>
  <c r="G73" i="5"/>
  <c r="G109" i="5"/>
  <c r="G66" i="5"/>
  <c r="G30" i="5"/>
  <c r="G86" i="5"/>
  <c r="G16" i="5"/>
  <c r="G19" i="5"/>
  <c r="G51" i="5"/>
  <c r="G120" i="5"/>
  <c r="G122" i="5"/>
  <c r="G46" i="5"/>
  <c r="G72" i="5"/>
  <c r="G93" i="5"/>
  <c r="G45" i="5"/>
  <c r="G82" i="5"/>
  <c r="G52" i="5"/>
  <c r="G29" i="5"/>
  <c r="G80" i="5"/>
  <c r="G49" i="5"/>
  <c r="G14" i="5"/>
  <c r="G97" i="5"/>
  <c r="G20" i="5"/>
  <c r="G84" i="5"/>
  <c r="G24" i="5"/>
  <c r="G102" i="5"/>
  <c r="G39" i="5"/>
  <c r="G126" i="5"/>
  <c r="G107" i="5"/>
  <c r="G34" i="5"/>
  <c r="G125" i="5"/>
  <c r="G74" i="5"/>
  <c r="G75" i="5"/>
  <c r="G7" i="5"/>
  <c r="G61" i="5"/>
  <c r="G90" i="5"/>
  <c r="G108" i="5"/>
  <c r="G104" i="5"/>
  <c r="G81" i="5"/>
  <c r="G18" i="5"/>
  <c r="G98" i="5"/>
  <c r="G47" i="5"/>
  <c r="G31" i="5"/>
  <c r="G68" i="5"/>
  <c r="G87" i="5"/>
  <c r="G105" i="5"/>
  <c r="G106" i="5"/>
  <c r="G89" i="5"/>
  <c r="G42" i="5"/>
  <c r="G12" i="5"/>
  <c r="G76" i="5"/>
  <c r="G123" i="5"/>
  <c r="G41" i="5"/>
  <c r="G35" i="5"/>
  <c r="G38" i="5"/>
  <c r="G100" i="5"/>
  <c r="G78" i="5"/>
  <c r="G55" i="5"/>
  <c r="G10" i="5"/>
  <c r="G59" i="5"/>
  <c r="G9" i="5"/>
  <c r="D14" i="6" l="1"/>
  <c r="E14" i="6"/>
  <c r="W19" i="13"/>
  <c r="K17" i="13"/>
  <c r="T8" i="13"/>
  <c r="N9" i="13"/>
  <c r="W13" i="13"/>
  <c r="W4" i="13"/>
  <c r="W5" i="13"/>
  <c r="N16" i="13"/>
  <c r="N7" i="13"/>
  <c r="W6" i="13"/>
  <c r="T13" i="13"/>
  <c r="T23" i="13"/>
  <c r="C24" i="6"/>
  <c r="E15" i="6"/>
  <c r="T26" i="13"/>
  <c r="N27" i="13"/>
  <c r="W12" i="13"/>
  <c r="K9" i="13"/>
  <c r="C25" i="6"/>
  <c r="T7" i="13"/>
  <c r="K5" i="13"/>
  <c r="K6" i="13"/>
  <c r="K7" i="13"/>
  <c r="W17" i="13"/>
  <c r="T17" i="13"/>
  <c r="T9" i="13"/>
  <c r="N20" i="13"/>
  <c r="K14" i="13"/>
  <c r="W14" i="13"/>
  <c r="K11" i="13"/>
  <c r="W26" i="13"/>
  <c r="N23" i="13"/>
  <c r="K26" i="13"/>
  <c r="N3" i="13"/>
  <c r="N12" i="13"/>
  <c r="K12" i="13"/>
  <c r="W8" i="13"/>
  <c r="T12" i="13"/>
  <c r="N1" i="5" a="1"/>
  <c r="W20" i="13"/>
  <c r="K10" i="13"/>
  <c r="N8" i="13"/>
  <c r="T14" i="13"/>
  <c r="K25" i="13"/>
  <c r="T15" i="13"/>
  <c r="N13" i="13"/>
  <c r="K8" i="13"/>
  <c r="N6" i="13"/>
  <c r="K20" i="13"/>
  <c r="T11" i="13"/>
  <c r="W18" i="13"/>
  <c r="D28" i="6"/>
  <c r="N25" i="13"/>
  <c r="W22" i="13"/>
  <c r="K19" i="13"/>
  <c r="N17" i="13"/>
  <c r="W7" i="13"/>
  <c r="K22" i="13"/>
  <c r="M1" i="5" a="1"/>
  <c r="T24" i="13"/>
  <c r="N11" i="13"/>
  <c r="N18" i="13"/>
  <c r="T27" i="13"/>
  <c r="T22" i="13"/>
  <c r="T3" i="13"/>
  <c r="K18" i="13"/>
  <c r="N19" i="13"/>
  <c r="W23" i="13"/>
  <c r="N4" i="13"/>
  <c r="K21" i="13"/>
  <c r="W21" i="13"/>
  <c r="K15" i="13"/>
  <c r="D15" i="6"/>
  <c r="T10" i="13"/>
  <c r="N15" i="13"/>
  <c r="N5" i="13"/>
  <c r="W9" i="13"/>
  <c r="T4" i="13"/>
  <c r="K27" i="13"/>
  <c r="W27" i="13"/>
  <c r="W16" i="13"/>
  <c r="N22" i="13"/>
  <c r="N14" i="13"/>
  <c r="W11" i="13"/>
  <c r="N10" i="13"/>
  <c r="T6" i="13"/>
  <c r="T21" i="13"/>
  <c r="W25" i="13"/>
  <c r="K4" i="13"/>
  <c r="K23" i="13"/>
  <c r="K3" i="13"/>
  <c r="K13" i="13"/>
  <c r="T19" i="13"/>
  <c r="K16" i="13"/>
  <c r="N26" i="13"/>
  <c r="W24" i="13"/>
  <c r="N24" i="13"/>
  <c r="W3" i="13"/>
  <c r="T16" i="13"/>
  <c r="W10" i="13"/>
  <c r="K24" i="13"/>
  <c r="T5" i="13"/>
  <c r="N21" i="13"/>
  <c r="T18" i="13"/>
  <c r="T20" i="13"/>
  <c r="T25" i="13"/>
  <c r="E28" i="6"/>
  <c r="W15" i="13"/>
  <c r="X15" i="13" l="1"/>
  <c r="U25" i="13"/>
  <c r="U20" i="13"/>
  <c r="U18" i="13"/>
  <c r="O21" i="13"/>
  <c r="U5" i="13"/>
  <c r="L24" i="13"/>
  <c r="X10" i="13"/>
  <c r="U16" i="13"/>
  <c r="X3" i="13"/>
  <c r="O24" i="13"/>
  <c r="X24" i="13"/>
  <c r="O26" i="13"/>
  <c r="L16" i="13"/>
  <c r="U19" i="13"/>
  <c r="L13" i="13"/>
  <c r="L3" i="13"/>
  <c r="L23" i="13"/>
  <c r="L4" i="13"/>
  <c r="X25" i="13"/>
  <c r="U21" i="13"/>
  <c r="U6" i="13"/>
  <c r="O10" i="13"/>
  <c r="X11" i="13"/>
  <c r="O14" i="13"/>
  <c r="O22" i="13"/>
  <c r="X16" i="13"/>
  <c r="X27" i="13"/>
  <c r="L27" i="13"/>
  <c r="U4" i="13"/>
  <c r="X9" i="13"/>
  <c r="O5" i="13"/>
  <c r="O15" i="13"/>
  <c r="U10" i="13"/>
  <c r="L15" i="13"/>
  <c r="X21" i="13"/>
  <c r="L21" i="13"/>
  <c r="O4" i="13"/>
  <c r="X23" i="13"/>
  <c r="O19" i="13"/>
  <c r="L18" i="13"/>
  <c r="U3" i="13"/>
  <c r="U22" i="13"/>
  <c r="U27" i="13"/>
  <c r="O18" i="13"/>
  <c r="O11" i="13"/>
  <c r="U24" i="13"/>
  <c r="M78" i="5"/>
  <c r="M31" i="5"/>
  <c r="M104" i="5"/>
  <c r="M46" i="5"/>
  <c r="M38" i="5"/>
  <c r="M95" i="5"/>
  <c r="M1" i="5"/>
  <c r="M9" i="5"/>
  <c r="M121" i="5"/>
  <c r="M96" i="5"/>
  <c r="M27" i="5"/>
  <c r="M12" i="5"/>
  <c r="M84" i="5"/>
  <c r="M71" i="5"/>
  <c r="M64" i="5"/>
  <c r="M42" i="5"/>
  <c r="M49" i="5"/>
  <c r="M22" i="5"/>
  <c r="M74" i="5"/>
  <c r="M57" i="5"/>
  <c r="M83" i="5"/>
  <c r="M5" i="5"/>
  <c r="M23" i="5"/>
  <c r="M53" i="5"/>
  <c r="M3" i="5"/>
  <c r="M66" i="5"/>
  <c r="M108" i="5"/>
  <c r="M56" i="5"/>
  <c r="M103" i="5"/>
  <c r="M101" i="5"/>
  <c r="M72" i="5"/>
  <c r="M17" i="5"/>
  <c r="M73" i="5"/>
  <c r="M86" i="5"/>
  <c r="M14" i="5"/>
  <c r="M16" i="5"/>
  <c r="M98" i="5"/>
  <c r="M68" i="5"/>
  <c r="M90" i="5"/>
  <c r="M37" i="5"/>
  <c r="M6" i="5"/>
  <c r="M34" i="5"/>
  <c r="M77" i="5"/>
  <c r="M122" i="5"/>
  <c r="M79" i="5"/>
  <c r="M94" i="5"/>
  <c r="M91" i="5"/>
  <c r="M114" i="5"/>
  <c r="M28" i="5"/>
  <c r="M115" i="5"/>
  <c r="M41" i="5"/>
  <c r="M62" i="5"/>
  <c r="M2" i="5"/>
  <c r="M40" i="5"/>
  <c r="M63" i="5"/>
  <c r="M48" i="5"/>
  <c r="M81" i="5"/>
  <c r="M92" i="5"/>
  <c r="M69" i="5"/>
  <c r="M43" i="5"/>
  <c r="M99" i="5"/>
  <c r="M107" i="5"/>
  <c r="M75" i="5"/>
  <c r="M11" i="5"/>
  <c r="M109" i="5"/>
  <c r="M82" i="5"/>
  <c r="M26" i="5"/>
  <c r="M87" i="5"/>
  <c r="M55" i="5"/>
  <c r="M8" i="5"/>
  <c r="M51" i="5"/>
  <c r="M13" i="5"/>
  <c r="M19" i="5"/>
  <c r="M105" i="5"/>
  <c r="M30" i="5"/>
  <c r="M39" i="5"/>
  <c r="M110" i="5"/>
  <c r="M88" i="5"/>
  <c r="M80" i="5"/>
  <c r="M116" i="5"/>
  <c r="M58" i="5"/>
  <c r="M106" i="5"/>
  <c r="M119" i="5"/>
  <c r="M117" i="5"/>
  <c r="M47" i="5"/>
  <c r="M21" i="5"/>
  <c r="M59" i="5"/>
  <c r="M18" i="5"/>
  <c r="M76" i="5"/>
  <c r="M50" i="5"/>
  <c r="M97" i="5"/>
  <c r="M4" i="5"/>
  <c r="M65" i="5"/>
  <c r="M60" i="5"/>
  <c r="M126" i="5"/>
  <c r="M70" i="5"/>
  <c r="M120" i="5"/>
  <c r="M61" i="5"/>
  <c r="M85" i="5"/>
  <c r="M52" i="5"/>
  <c r="M10" i="5"/>
  <c r="M7" i="5"/>
  <c r="M123" i="5"/>
  <c r="M118" i="5"/>
  <c r="M67" i="5"/>
  <c r="M24" i="5"/>
  <c r="M36" i="5"/>
  <c r="M20" i="5"/>
  <c r="M29" i="5"/>
  <c r="M15" i="5"/>
  <c r="M111" i="5"/>
  <c r="M54" i="5"/>
  <c r="M89" i="5"/>
  <c r="M44" i="5"/>
  <c r="M100" i="5"/>
  <c r="M45" i="5"/>
  <c r="M102" i="5"/>
  <c r="M32" i="5"/>
  <c r="M113" i="5"/>
  <c r="M33" i="5"/>
  <c r="M112" i="5"/>
  <c r="M124" i="5"/>
  <c r="M25" i="5"/>
  <c r="M93" i="5"/>
  <c r="M35" i="5"/>
  <c r="M125" i="5"/>
  <c r="L22" i="13"/>
  <c r="X7" i="13"/>
  <c r="O17" i="13"/>
  <c r="L19" i="13"/>
  <c r="X22" i="13"/>
  <c r="O25" i="13"/>
  <c r="X18" i="13"/>
  <c r="U11" i="13"/>
  <c r="L20" i="13"/>
  <c r="O6" i="13"/>
  <c r="L8" i="13"/>
  <c r="O13" i="13"/>
  <c r="U15" i="13"/>
  <c r="L25" i="13"/>
  <c r="U14" i="13"/>
  <c r="O8" i="13"/>
  <c r="L10" i="13"/>
  <c r="X20" i="13"/>
  <c r="N110" i="5"/>
  <c r="N93" i="5"/>
  <c r="N57" i="5"/>
  <c r="N31" i="5"/>
  <c r="N46" i="5"/>
  <c r="N109" i="5"/>
  <c r="N30" i="5"/>
  <c r="N45" i="5"/>
  <c r="N97" i="5"/>
  <c r="N53" i="5"/>
  <c r="N66" i="5"/>
  <c r="N102" i="5"/>
  <c r="N48" i="5"/>
  <c r="N33" i="5"/>
  <c r="N112" i="5"/>
  <c r="N60" i="5"/>
  <c r="N100" i="5"/>
  <c r="N49" i="5"/>
  <c r="N15" i="5"/>
  <c r="N40" i="5"/>
  <c r="N35" i="5"/>
  <c r="N123" i="5"/>
  <c r="N54" i="5"/>
  <c r="N115" i="5"/>
  <c r="N52" i="5"/>
  <c r="N50" i="5"/>
  <c r="N103" i="5"/>
  <c r="N44" i="5"/>
  <c r="N38" i="5"/>
  <c r="N26" i="5"/>
  <c r="N116" i="5"/>
  <c r="N59" i="5"/>
  <c r="N75" i="5"/>
  <c r="N126" i="5"/>
  <c r="N29" i="5"/>
  <c r="N70" i="5"/>
  <c r="N3" i="5"/>
  <c r="N101" i="5"/>
  <c r="N119" i="5"/>
  <c r="N85" i="5"/>
  <c r="N10" i="5"/>
  <c r="N121" i="5"/>
  <c r="N76" i="5"/>
  <c r="N111" i="5"/>
  <c r="N9" i="5"/>
  <c r="N7" i="5"/>
  <c r="N82" i="5"/>
  <c r="N6" i="5"/>
  <c r="N108" i="5"/>
  <c r="N80" i="5"/>
  <c r="N13" i="5"/>
  <c r="N73" i="5"/>
  <c r="N124" i="5"/>
  <c r="N107" i="5"/>
  <c r="N84" i="5"/>
  <c r="N27" i="5"/>
  <c r="N99" i="5"/>
  <c r="N114" i="5"/>
  <c r="N17" i="5"/>
  <c r="N118" i="5"/>
  <c r="N91" i="5"/>
  <c r="N74" i="5"/>
  <c r="N90" i="5"/>
  <c r="N21" i="5"/>
  <c r="N16" i="5"/>
  <c r="N28" i="5"/>
  <c r="N69" i="5"/>
  <c r="N98" i="5"/>
  <c r="N5" i="5"/>
  <c r="N51" i="5"/>
  <c r="N67" i="5"/>
  <c r="N62" i="5"/>
  <c r="N58" i="5"/>
  <c r="N104" i="5"/>
  <c r="N89" i="5"/>
  <c r="N42" i="5"/>
  <c r="N47" i="5"/>
  <c r="N122" i="5"/>
  <c r="N125" i="5"/>
  <c r="N95" i="5"/>
  <c r="N105" i="5"/>
  <c r="N23" i="5"/>
  <c r="N12" i="5"/>
  <c r="N8" i="5"/>
  <c r="N65" i="5"/>
  <c r="N43" i="5"/>
  <c r="N120" i="5"/>
  <c r="N41" i="5"/>
  <c r="N19" i="5"/>
  <c r="N20" i="5"/>
  <c r="N83" i="5"/>
  <c r="N37" i="5"/>
  <c r="N106" i="5"/>
  <c r="N92" i="5"/>
  <c r="N64" i="5"/>
  <c r="N22" i="5"/>
  <c r="N61" i="5"/>
  <c r="N56" i="5"/>
  <c r="N4" i="5"/>
  <c r="N117" i="5"/>
  <c r="N77" i="5"/>
  <c r="N14" i="5"/>
  <c r="N24" i="5"/>
  <c r="N32" i="5"/>
  <c r="N68" i="5"/>
  <c r="N39" i="5"/>
  <c r="N72" i="5"/>
  <c r="N1" i="5"/>
  <c r="N81" i="5"/>
  <c r="N86" i="5"/>
  <c r="N18" i="5"/>
  <c r="N79" i="5"/>
  <c r="N63" i="5"/>
  <c r="N94" i="5"/>
  <c r="N11" i="5"/>
  <c r="N113" i="5"/>
  <c r="N34" i="5"/>
  <c r="N55" i="5"/>
  <c r="N2" i="5"/>
  <c r="N96" i="5"/>
  <c r="N36" i="5"/>
  <c r="N25" i="5"/>
  <c r="N87" i="5"/>
  <c r="N88" i="5"/>
  <c r="N71" i="5"/>
  <c r="N78" i="5"/>
  <c r="U12" i="13"/>
  <c r="X8" i="13"/>
  <c r="L12" i="13"/>
  <c r="O12" i="13"/>
  <c r="O3" i="13"/>
  <c r="L26" i="13"/>
  <c r="O23" i="13"/>
  <c r="X26" i="13"/>
  <c r="L11" i="13"/>
  <c r="X14" i="13"/>
  <c r="L14" i="13"/>
  <c r="O20" i="13"/>
  <c r="U9" i="13"/>
  <c r="U17" i="13"/>
  <c r="X17" i="13"/>
  <c r="L7" i="13"/>
  <c r="L6" i="13"/>
  <c r="L5" i="13"/>
  <c r="U7" i="13"/>
  <c r="L9" i="13"/>
  <c r="X12" i="13"/>
  <c r="O27" i="13"/>
  <c r="U26" i="13"/>
  <c r="U23" i="13"/>
  <c r="U13" i="13"/>
  <c r="X6" i="13"/>
  <c r="O7" i="13"/>
  <c r="O16" i="13"/>
  <c r="X5" i="13"/>
  <c r="X4" i="13"/>
  <c r="X13" i="13"/>
  <c r="O9" i="13"/>
  <c r="U8" i="13"/>
  <c r="L17" i="13"/>
  <c r="X19" i="13"/>
  <c r="E26" i="6"/>
  <c r="D26" i="6"/>
  <c r="E24" i="6" l="1"/>
  <c r="E25" i="6"/>
  <c r="D25" i="6"/>
  <c r="D24"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<sst xmlns="http://schemas.openxmlformats.org/spreadsheetml/2006/main" count="244" uniqueCount="121">
  <si>
    <t>60Y</t>
  </si>
  <si>
    <t>50Y</t>
  </si>
  <si>
    <t>40Y</t>
  </si>
  <si>
    <t>30Y</t>
  </si>
  <si>
    <t>25Y</t>
  </si>
  <si>
    <t>20Y</t>
  </si>
  <si>
    <t>15Y</t>
  </si>
  <si>
    <t>12Y</t>
  </si>
  <si>
    <t>10Y</t>
  </si>
  <si>
    <t>9Y</t>
  </si>
  <si>
    <t>8Y</t>
  </si>
  <si>
    <t>7Y</t>
  </si>
  <si>
    <t>6Y</t>
  </si>
  <si>
    <t>5Y</t>
  </si>
  <si>
    <t>4Y</t>
  </si>
  <si>
    <t>3Y</t>
  </si>
  <si>
    <t>2Y</t>
  </si>
  <si>
    <t>Earliest Date</t>
  </si>
  <si>
    <t>Min Distance</t>
  </si>
  <si>
    <t>Priority</t>
  </si>
  <si>
    <t>Include Flag</t>
  </si>
  <si>
    <t>Conv. Adj. / Spread</t>
  </si>
  <si>
    <t>Quote Value</t>
  </si>
  <si>
    <t>Error</t>
  </si>
  <si>
    <t>AllDepos</t>
  </si>
  <si>
    <t>DepoFuturesPriority</t>
  </si>
  <si>
    <t>FrontFuturesRollingDays</t>
  </si>
  <si>
    <t>nSerialFutures</t>
  </si>
  <si>
    <t>nIMMFutures</t>
  </si>
  <si>
    <t>Rate</t>
  </si>
  <si>
    <t>Rate Helpers Selection</t>
  </si>
  <si>
    <t>InterpolatorID</t>
  </si>
  <si>
    <t>Discount</t>
  </si>
  <si>
    <t>TraitsID</t>
  </si>
  <si>
    <t>Accuracy</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</si>
  <si>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</si>
  <si>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</si>
  <si>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</si>
  <si>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</si>
  <si>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</si>
  <si>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</si>
  <si>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</si>
  <si>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</si>
  <si>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</si>
  <si>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</si>
  <si>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</si>
  <si>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</si>
  <si>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</si>
  <si>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</si>
  <si>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</si>
  <si>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6M</t>
  </si>
  <si>
    <t>Quote Object ID</t>
  </si>
  <si>
    <t>Index</t>
  </si>
  <si>
    <t>_Quote</t>
  </si>
  <si>
    <t>QuoteSuffix</t>
  </si>
  <si>
    <t>FamilyName</t>
  </si>
  <si>
    <t>ADDITIONAL SETTINGS</t>
  </si>
  <si>
    <t>FileOverwrite</t>
  </si>
  <si>
    <t>SerializationPath</t>
  </si>
  <si>
    <t>Serialize</t>
  </si>
  <si>
    <t>GENERAL SETTINGS</t>
  </si>
  <si>
    <t>0D</t>
  </si>
  <si>
    <t>Synthetic</t>
  </si>
  <si>
    <t>Modified Following</t>
  </si>
  <si>
    <t>Spread</t>
  </si>
  <si>
    <t>Day Count Convention</t>
  </si>
  <si>
    <t>Business Day Convention</t>
  </si>
  <si>
    <t>Freq</t>
  </si>
  <si>
    <t>Fwd start</t>
  </si>
  <si>
    <t>Discounting2</t>
  </si>
  <si>
    <t>Actual/365 (Fixed)</t>
  </si>
  <si>
    <t>MoneyMarketDayCounter</t>
  </si>
  <si>
    <t>BondBasisDayCounter</t>
  </si>
  <si>
    <t>Extrapolation</t>
  </si>
  <si>
    <t>Instruments</t>
  </si>
  <si>
    <t>Instruments Selected</t>
  </si>
  <si>
    <t>Settl Days</t>
  </si>
  <si>
    <t>Maturity Date</t>
  </si>
  <si>
    <t>LCH Quote Overwrite</t>
  </si>
  <si>
    <t>Linear</t>
  </si>
  <si>
    <t>ZeroYield</t>
  </si>
  <si>
    <t>LCHQuoteSuffix</t>
  </si>
  <si>
    <t>_LCHQuote</t>
  </si>
  <si>
    <t>LCHlinear</t>
  </si>
  <si>
    <t>LCHcubic</t>
  </si>
  <si>
    <t>_linearLCH</t>
  </si>
  <si>
    <t>Discounting1</t>
  </si>
  <si>
    <t>DiscountingSTD</t>
  </si>
  <si>
    <t>_cubicLCH</t>
  </si>
  <si>
    <t>LogCubicNaturalSpline</t>
  </si>
  <si>
    <t>ReLink</t>
  </si>
  <si>
    <t>Rate Helpers 1</t>
  </si>
  <si>
    <t>Rate Helpers 2</t>
  </si>
  <si>
    <t>Rate Helpers 1 Selected</t>
  </si>
  <si>
    <t>Rate Helpers 2 Selected</t>
  </si>
  <si>
    <t>Instruments = REP00099</t>
  </si>
  <si>
    <t>Curve (Linear on Zero) Analysis = REP00100</t>
  </si>
  <si>
    <t>Curve (Cubic on Log Disocunt) Analysis = REP00101</t>
  </si>
  <si>
    <t>LCH Maturity Date</t>
  </si>
  <si>
    <t>LCH Quote</t>
  </si>
  <si>
    <t>QL Quote</t>
  </si>
  <si>
    <t>QL Maturity</t>
  </si>
  <si>
    <t>LCH Zero</t>
  </si>
  <si>
    <t>QL Zero</t>
  </si>
  <si>
    <t>LCH Discount</t>
  </si>
  <si>
    <t>QL Discount</t>
  </si>
  <si>
    <t>Pillar Date</t>
  </si>
  <si>
    <t>EUR</t>
  </si>
  <si>
    <t>AB</t>
  </si>
  <si>
    <t>ibor</t>
  </si>
  <si>
    <t>30/360 (Bond Basis)</t>
  </si>
  <si>
    <t>Actual/360</t>
  </si>
  <si>
    <t>TARGET</t>
  </si>
  <si>
    <t>1M</t>
  </si>
  <si>
    <t>2M</t>
  </si>
  <si>
    <t>3M</t>
  </si>
  <si>
    <t>4M</t>
  </si>
  <si>
    <t>5M</t>
  </si>
  <si>
    <t>12M</t>
  </si>
  <si>
    <t>6E</t>
  </si>
  <si>
    <t>Annual</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</si>
</sst>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 numFmtId="177" formatCode="0.E+00"/>
    <numFmt numFmtId="178" formatCode="0.0000"/>
  </numFmts>
  <fonts count="25"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10"/>
      <name val="Helv"/>
    </font>
    <font>
      <sz val="12"/>
      <name val="Helv"/>
    </font>
    <font>
      <b/>
      <sz val="12"/>
      <color indexed="16"/>
      <name val="MS Sans Serif"/>
      <family val="2"/>
    </font>
    <font>
      <sz val="11"/>
      <color theme="1"/>
      <name val="Calibri"/>
      <family val="2"/>
      <scheme val="minor"/>
    </font>
    <font>
      <sz val="8"/>
      <color theme="1"/>
      <name val="Courier New"/>
      <family val="3"/>
    </font>
    <font>
      <b/>
      <u/>
      <sz val="8"/>
      <name val="Courier New"/>
      <family val="3"/>
    </font>
    <font>
      <sz val="10"/>
      <name val="Courier New"/>
      <family val="3"/>
    </font>
    <font>
      <i/>
      <sz val="8"/>
      <name val="Courier New"/>
      <family val="3"/>
    </font>
    <font>
      <b/>
      <u/>
      <sz val="10"/>
      <name val="Courier New"/>
      <family val="3"/>
    </font>
    <font>
      <sz val="8"/>
      <color indexed="10"/>
      <name val="Courier New"/>
      <family val="3"/>
    </font>
    <font>
      <sz val="8"/>
      <name val="Microsoft Sans Serif"/>
      <family val="2"/>
    </font>
    <font>
      <sz val="10"/>
      <name val="MS Sans Serif"/>
      <family val="2"/>
    </font>
    <font>
      <sz val="8"/>
      <name val="MS Sans Serif"/>
      <family val="2"/>
    </font>
    <font>
      <sz val="8"/>
      <color rgb="FFFF0000"/>
      <name val="Arial"/>
      <family val="2"/>
    </font>
  </fonts>
  <fills count="13">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65"/>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8" tint="0.59999389629810485"/>
        <bgColor indexed="64"/>
      </patternFill>
    </fill>
    <fill>
      <patternFill patternType="gray0625">
        <fgColor indexed="22"/>
        <bgColor theme="8" tint="0.79998168889431442"/>
      </patternFill>
    </fill>
    <fill>
      <patternFill patternType="solid">
        <fgColor theme="0" tint="-0.249977111117893"/>
        <bgColor indexed="64"/>
      </patternFill>
    </fill>
    <fill>
      <patternFill patternType="solid">
        <fgColor theme="8" tint="0.79998168889431442"/>
        <bgColor indexed="64"/>
      </patternFill>
    </fill>
    <fill>
      <patternFill patternType="gray0625">
        <fgColor indexed="22"/>
        <bgColor theme="8" tint="0.59999389629810485"/>
      </patternFill>
    </fill>
  </fills>
  <borders count="46">
    <border>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s>
  <cellStyleXfs count="20">
    <xf numFmtId="0" fontId="0" fillId="0" borderId="0"/>
    <xf numFmtId="0" fontId="1" fillId="0" borderId="0"/>
    <xf numFmtId="9" fontId="1" fillId="0" borderId="0" applyFont="0" applyFill="0" applyBorder="0" applyAlignment="0" applyProtection="0"/>
    <xf numFmtId="0" fontId="5" fillId="0" borderId="0"/>
    <xf numFmtId="38" fontId="11" fillId="0" borderId="0" applyFont="0" applyFill="0" applyBorder="0" applyAlignment="0" applyProtection="0"/>
    <xf numFmtId="40" fontId="11" fillId="0" borderId="0" applyFont="0" applyFill="0" applyBorder="0" applyAlignment="0" applyProtection="0"/>
    <xf numFmtId="173" fontId="12" fillId="0" borderId="0"/>
    <xf numFmtId="174" fontId="13" fillId="5" borderId="0">
      <alignment horizontal="center" vertical="center"/>
    </xf>
    <xf numFmtId="175" fontId="11" fillId="0" borderId="0" applyFont="0" applyFill="0" applyBorder="0" applyAlignment="0" applyProtection="0"/>
    <xf numFmtId="175" fontId="11"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0" fontId="14" fillId="0" borderId="0"/>
    <xf numFmtId="9" fontId="14" fillId="0" borderId="0" applyFont="0" applyFill="0" applyBorder="0" applyAlignment="0" applyProtection="0"/>
    <xf numFmtId="9" fontId="1" fillId="0" borderId="0" applyFont="0" applyFill="0" applyBorder="0" applyAlignment="0" applyProtection="0"/>
    <xf numFmtId="176" fontId="14" fillId="0" borderId="0" applyFont="0" applyFill="0" applyBorder="0" applyAlignment="0" applyProtection="0"/>
    <xf numFmtId="0" fontId="2" fillId="0" borderId="0"/>
  </cellStyleXfs>
  <cellXfs count="251">
    <xf numFmtId="0" fontId="0" fillId="0" borderId="0" xfId="0"/>
    <xf numFmtId="0" fontId="6" fillId="0" borderId="0" xfId="1" applyFont="1"/>
    <xf numFmtId="0" fontId="6" fillId="0" borderId="0" xfId="1" applyFont="1" applyAlignment="1">
      <alignment horizontal="left"/>
    </xf>
    <xf numFmtId="167" fontId="6" fillId="2" borderId="9" xfId="1" applyNumberFormat="1" applyFont="1" applyFill="1" applyBorder="1" applyAlignment="1"/>
    <xf numFmtId="167" fontId="6" fillId="2" borderId="10" xfId="1" applyNumberFormat="1" applyFont="1" applyFill="1" applyBorder="1" applyAlignment="1"/>
    <xf numFmtId="165" fontId="6" fillId="2" borderId="10" xfId="1" applyNumberFormat="1" applyFont="1" applyFill="1" applyBorder="1" applyAlignment="1"/>
    <xf numFmtId="0" fontId="6" fillId="2" borderId="11" xfId="1" applyFont="1" applyFill="1" applyBorder="1" applyAlignment="1"/>
    <xf numFmtId="167" fontId="6" fillId="2" borderId="12"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3" xfId="1" applyFont="1" applyFill="1" applyBorder="1" applyAlignment="1"/>
    <xf numFmtId="0" fontId="7" fillId="3" borderId="15" xfId="1" applyFont="1" applyFill="1" applyBorder="1" applyAlignment="1">
      <alignment horizontal="right"/>
    </xf>
    <xf numFmtId="0" fontId="6" fillId="4" borderId="14" xfId="1" applyFont="1" applyFill="1" applyBorder="1" applyAlignment="1">
      <alignment horizontal="center"/>
    </xf>
    <xf numFmtId="3" fontId="6" fillId="4" borderId="14" xfId="1" applyNumberFormat="1" applyFont="1" applyFill="1" applyBorder="1" applyAlignment="1">
      <alignment horizontal="center"/>
    </xf>
    <xf numFmtId="3" fontId="6" fillId="4" borderId="16" xfId="1" applyNumberFormat="1" applyFont="1" applyFill="1" applyBorder="1" applyAlignment="1">
      <alignment horizontal="center"/>
    </xf>
    <xf numFmtId="0" fontId="7" fillId="3" borderId="17" xfId="1" applyFont="1" applyFill="1" applyBorder="1" applyAlignment="1">
      <alignment horizontal="right"/>
    </xf>
    <xf numFmtId="0" fontId="2" fillId="2" borderId="12" xfId="3" applyFont="1" applyFill="1" applyBorder="1"/>
    <xf numFmtId="0" fontId="2" fillId="2" borderId="0" xfId="3" applyFont="1" applyFill="1" applyBorder="1"/>
    <xf numFmtId="0" fontId="2" fillId="2" borderId="13" xfId="3" applyFont="1" applyFill="1" applyBorder="1"/>
    <xf numFmtId="0" fontId="2" fillId="2" borderId="2" xfId="1" applyFont="1" applyFill="1" applyBorder="1" applyAlignment="1">
      <alignment horizontal="center"/>
    </xf>
    <xf numFmtId="164" fontId="2" fillId="2" borderId="24" xfId="1" applyNumberFormat="1" applyFont="1" applyFill="1" applyBorder="1" applyAlignment="1">
      <alignment horizontal="right"/>
    </xf>
    <xf numFmtId="164" fontId="2" fillId="2" borderId="25" xfId="1" applyNumberFormat="1" applyFont="1" applyFill="1" applyBorder="1" applyAlignment="1">
      <alignment horizontal="right"/>
    </xf>
    <xf numFmtId="0" fontId="2" fillId="4" borderId="1" xfId="1" applyFont="1" applyFill="1" applyBorder="1" applyAlignment="1">
      <alignment horizontal="center"/>
    </xf>
    <xf numFmtId="0" fontId="3" fillId="3" borderId="23" xfId="1" applyFont="1" applyFill="1" applyBorder="1" applyAlignment="1">
      <alignment horizontal="right"/>
    </xf>
    <xf numFmtId="0" fontId="2" fillId="4" borderId="2" xfId="1" applyFont="1" applyFill="1" applyBorder="1" applyAlignment="1">
      <alignment horizontal="center"/>
    </xf>
    <xf numFmtId="0" fontId="3" fillId="3" borderId="24" xfId="1" applyFont="1" applyFill="1" applyBorder="1" applyAlignment="1">
      <alignment horizontal="right"/>
    </xf>
    <xf numFmtId="11" fontId="2" fillId="4" borderId="2" xfId="1" applyNumberFormat="1" applyFont="1" applyFill="1" applyBorder="1" applyAlignment="1">
      <alignment horizontal="center"/>
    </xf>
    <xf numFmtId="0" fontId="2" fillId="2" borderId="4" xfId="3" applyFont="1" applyFill="1" applyBorder="1" applyAlignment="1">
      <alignment horizontal="center"/>
    </xf>
    <xf numFmtId="3" fontId="2" fillId="4" borderId="2" xfId="1" applyNumberFormat="1" applyFont="1" applyFill="1" applyBorder="1" applyAlignment="1">
      <alignment horizontal="center"/>
    </xf>
    <xf numFmtId="169" fontId="2" fillId="4" borderId="4" xfId="1" applyNumberFormat="1" applyFont="1" applyFill="1" applyBorder="1" applyAlignment="1">
      <alignment horizontal="center"/>
    </xf>
    <xf numFmtId="0" fontId="3" fillId="3" borderId="25" xfId="1" applyFont="1" applyFill="1" applyBorder="1" applyAlignment="1">
      <alignment horizontal="right"/>
    </xf>
    <xf numFmtId="0" fontId="2" fillId="2" borderId="1" xfId="1" applyFont="1" applyFill="1" applyBorder="1" applyAlignment="1">
      <alignment horizontal="center"/>
    </xf>
    <xf numFmtId="0" fontId="2" fillId="3" borderId="23" xfId="1" applyFont="1" applyFill="1" applyBorder="1"/>
    <xf numFmtId="170" fontId="2" fillId="2" borderId="2" xfId="1" applyNumberFormat="1" applyFont="1" applyFill="1" applyBorder="1" applyAlignment="1">
      <alignment horizontal="center"/>
    </xf>
    <xf numFmtId="0" fontId="2" fillId="3" borderId="24" xfId="1" applyFont="1" applyFill="1" applyBorder="1"/>
    <xf numFmtId="0" fontId="2" fillId="3" borderId="24" xfId="3" applyFont="1" applyFill="1" applyBorder="1"/>
    <xf numFmtId="0" fontId="2" fillId="3" borderId="25" xfId="3" applyFont="1" applyFill="1" applyBorder="1"/>
    <xf numFmtId="0" fontId="3" fillId="2" borderId="0" xfId="3" applyFont="1" applyFill="1" applyBorder="1"/>
    <xf numFmtId="10" fontId="6" fillId="0" borderId="0" xfId="1" applyNumberFormat="1" applyFont="1"/>
    <xf numFmtId="0" fontId="2" fillId="6" borderId="0" xfId="3" applyFont="1" applyFill="1"/>
    <xf numFmtId="167" fontId="2" fillId="2" borderId="24" xfId="1" applyNumberFormat="1" applyFont="1" applyFill="1" applyBorder="1" applyAlignment="1">
      <alignment horizontal="right"/>
    </xf>
    <xf numFmtId="0" fontId="6" fillId="0" borderId="28" xfId="1" applyFont="1" applyBorder="1"/>
    <xf numFmtId="0" fontId="6" fillId="2" borderId="27" xfId="1" applyFont="1" applyFill="1" applyBorder="1" applyAlignment="1">
      <alignment horizontal="left"/>
    </xf>
    <xf numFmtId="0" fontId="6" fillId="2" borderId="28" xfId="1" applyFont="1" applyFill="1" applyBorder="1"/>
    <xf numFmtId="0" fontId="6" fillId="2" borderId="13" xfId="1" applyFont="1" applyFill="1" applyBorder="1" applyAlignment="1">
      <alignment horizontal="center"/>
    </xf>
    <xf numFmtId="0" fontId="6" fillId="2" borderId="0" xfId="1" applyFont="1" applyFill="1" applyBorder="1"/>
    <xf numFmtId="0" fontId="6" fillId="2" borderId="0" xfId="1" applyFont="1" applyFill="1" applyBorder="1" applyAlignment="1">
      <alignment horizontal="center"/>
    </xf>
    <xf numFmtId="0" fontId="18" fillId="2" borderId="7" xfId="1" applyFont="1" applyFill="1" applyBorder="1" applyAlignment="1">
      <alignment horizontal="left" vertical="center"/>
    </xf>
    <xf numFmtId="0" fontId="16" fillId="2" borderId="12" xfId="1" applyFont="1" applyFill="1" applyBorder="1"/>
    <xf numFmtId="0" fontId="19" fillId="2" borderId="12" xfId="1" applyFont="1" applyFill="1" applyBorder="1"/>
    <xf numFmtId="0" fontId="6" fillId="2" borderId="13" xfId="1" applyFont="1" applyFill="1" applyBorder="1"/>
    <xf numFmtId="0" fontId="6" fillId="2" borderId="7" xfId="1" applyFont="1" applyFill="1" applyBorder="1"/>
    <xf numFmtId="0" fontId="6" fillId="0" borderId="28" xfId="1" applyFont="1" applyBorder="1" applyAlignment="1">
      <alignment horizontal="center"/>
    </xf>
    <xf numFmtId="0" fontId="6" fillId="2" borderId="23" xfId="1" applyFont="1" applyFill="1" applyBorder="1" applyAlignment="1">
      <alignment horizontal="center"/>
    </xf>
    <xf numFmtId="0" fontId="6" fillId="0" borderId="0" xfId="1" applyFont="1" applyBorder="1" applyAlignment="1">
      <alignment horizontal="center"/>
    </xf>
    <xf numFmtId="0" fontId="6" fillId="2" borderId="11" xfId="1" applyFont="1" applyFill="1" applyBorder="1"/>
    <xf numFmtId="0" fontId="6" fillId="2" borderId="10" xfId="1" applyFont="1" applyFill="1" applyBorder="1"/>
    <xf numFmtId="0" fontId="6" fillId="2" borderId="10" xfId="1" applyFont="1" applyFill="1" applyBorder="1" applyAlignment="1">
      <alignment horizontal="left"/>
    </xf>
    <xf numFmtId="0" fontId="6" fillId="2" borderId="9" xfId="1" applyFont="1" applyFill="1" applyBorder="1" applyAlignment="1">
      <alignment horizontal="left"/>
    </xf>
    <xf numFmtId="0" fontId="6" fillId="2" borderId="28" xfId="1" applyFont="1" applyFill="1" applyBorder="1" applyAlignment="1">
      <alignment horizontal="center"/>
    </xf>
    <xf numFmtId="0" fontId="18" fillId="2" borderId="25" xfId="1" applyFont="1" applyFill="1" applyBorder="1" applyAlignment="1">
      <alignment horizontal="center" vertical="center"/>
    </xf>
    <xf numFmtId="0" fontId="6" fillId="2" borderId="26" xfId="1" applyFont="1" applyFill="1" applyBorder="1"/>
    <xf numFmtId="0" fontId="6" fillId="2" borderId="25" xfId="1" applyFont="1" applyFill="1" applyBorder="1" applyAlignment="1">
      <alignment horizontal="center"/>
    </xf>
    <xf numFmtId="0" fontId="6" fillId="2" borderId="12" xfId="1" applyFont="1" applyFill="1" applyBorder="1"/>
    <xf numFmtId="0" fontId="6" fillId="2" borderId="9" xfId="1" applyFont="1" applyFill="1" applyBorder="1"/>
    <xf numFmtId="0" fontId="6" fillId="0" borderId="0" xfId="1" applyFont="1" applyAlignment="1">
      <alignment horizontal="center"/>
    </xf>
    <xf numFmtId="0" fontId="18" fillId="2" borderId="7" xfId="1" applyFont="1" applyFill="1" applyBorder="1" applyAlignment="1">
      <alignment horizontal="center" vertical="center"/>
    </xf>
    <xf numFmtId="172" fontId="6" fillId="2" borderId="23" xfId="1" applyNumberFormat="1" applyFont="1" applyFill="1" applyBorder="1" applyAlignment="1"/>
    <xf numFmtId="0" fontId="6" fillId="2" borderId="1" xfId="1" applyNumberFormat="1" applyFont="1" applyFill="1" applyBorder="1" applyAlignment="1">
      <alignment horizontal="left"/>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164" fontId="6" fillId="2" borderId="0" xfId="1" applyNumberFormat="1" applyFont="1" applyFill="1" applyBorder="1" applyAlignment="1">
      <alignment horizontal="right"/>
    </xf>
    <xf numFmtId="164" fontId="6" fillId="2" borderId="2" xfId="1" applyNumberFormat="1" applyFont="1" applyFill="1" applyBorder="1" applyAlignment="1">
      <alignment horizontal="right"/>
    </xf>
    <xf numFmtId="0" fontId="6" fillId="2" borderId="5" xfId="1" applyFont="1" applyFill="1" applyBorder="1" applyAlignment="1">
      <alignment horizontal="left"/>
    </xf>
    <xf numFmtId="165" fontId="6" fillId="2" borderId="5" xfId="2" applyNumberFormat="1" applyFont="1" applyFill="1" applyBorder="1" applyAlignment="1">
      <alignment horizontal="right"/>
    </xf>
    <xf numFmtId="0" fontId="6" fillId="2" borderId="5" xfId="1" applyFont="1" applyFill="1" applyBorder="1" applyAlignment="1">
      <alignment horizontal="center"/>
    </xf>
    <xf numFmtId="164" fontId="6" fillId="2" borderId="5" xfId="1" applyNumberFormat="1" applyFont="1" applyFill="1" applyBorder="1" applyAlignment="1">
      <alignment horizontal="right"/>
    </xf>
    <xf numFmtId="164" fontId="6" fillId="2" borderId="4" xfId="1" applyNumberFormat="1" applyFont="1" applyFill="1" applyBorder="1" applyAlignment="1">
      <alignment horizontal="right"/>
    </xf>
    <xf numFmtId="165" fontId="6" fillId="0" borderId="0" xfId="1" applyNumberFormat="1" applyFont="1"/>
    <xf numFmtId="0" fontId="6" fillId="2" borderId="25" xfId="1" applyNumberFormat="1" applyFont="1" applyFill="1" applyBorder="1" applyAlignment="1">
      <alignment horizontal="left"/>
    </xf>
    <xf numFmtId="0" fontId="6" fillId="2" borderId="4" xfId="1" applyNumberFormat="1" applyFont="1" applyFill="1" applyBorder="1" applyAlignment="1">
      <alignment horizontal="left"/>
    </xf>
    <xf numFmtId="0" fontId="6" fillId="2" borderId="25" xfId="1" applyNumberFormat="1" applyFont="1" applyFill="1" applyBorder="1" applyAlignment="1">
      <alignment horizontal="center"/>
    </xf>
    <xf numFmtId="0" fontId="6" fillId="2" borderId="3" xfId="1" applyNumberFormat="1" applyFont="1" applyFill="1" applyBorder="1" applyAlignment="1">
      <alignment horizontal="right"/>
    </xf>
    <xf numFmtId="0" fontId="6" fillId="2" borderId="2" xfId="1" applyNumberFormat="1" applyFont="1" applyFill="1" applyBorder="1" applyAlignment="1">
      <alignment horizontal="left"/>
    </xf>
    <xf numFmtId="0" fontId="6" fillId="2" borderId="24" xfId="1" applyNumberFormat="1" applyFont="1" applyFill="1" applyBorder="1" applyAlignment="1">
      <alignment horizontal="center"/>
    </xf>
    <xf numFmtId="0" fontId="6" fillId="2" borderId="23" xfId="1" applyNumberFormat="1" applyFont="1" applyFill="1" applyBorder="1" applyAlignment="1">
      <alignment horizontal="left"/>
    </xf>
    <xf numFmtId="0" fontId="6" fillId="2" borderId="30" xfId="1" applyNumberFormat="1" applyFont="1" applyFill="1" applyBorder="1" applyAlignment="1">
      <alignment horizontal="right"/>
    </xf>
    <xf numFmtId="0" fontId="6" fillId="2" borderId="23" xfId="1" applyNumberFormat="1" applyFont="1" applyFill="1" applyBorder="1" applyAlignment="1">
      <alignment horizontal="center"/>
    </xf>
    <xf numFmtId="0" fontId="7" fillId="2" borderId="30" xfId="1" applyFont="1" applyFill="1" applyBorder="1" applyAlignment="1">
      <alignment horizontal="center"/>
    </xf>
    <xf numFmtId="165" fontId="6" fillId="2" borderId="25" xfId="1" applyNumberFormat="1" applyFont="1" applyFill="1" applyBorder="1" applyAlignment="1"/>
    <xf numFmtId="0" fontId="6" fillId="2" borderId="24" xfId="1" applyFont="1" applyFill="1" applyBorder="1" applyAlignment="1">
      <alignment horizontal="center"/>
    </xf>
    <xf numFmtId="165" fontId="6" fillId="2" borderId="24" xfId="1" applyNumberFormat="1" applyFont="1" applyFill="1" applyBorder="1" applyAlignment="1"/>
    <xf numFmtId="165" fontId="6" fillId="2" borderId="23" xfId="1" applyNumberFormat="1" applyFont="1" applyFill="1" applyBorder="1" applyAlignment="1"/>
    <xf numFmtId="0" fontId="6" fillId="0" borderId="0" xfId="1" applyNumberFormat="1" applyFont="1" applyAlignment="1">
      <alignment horizontal="center"/>
    </xf>
    <xf numFmtId="0" fontId="6" fillId="2" borderId="10" xfId="1" applyNumberFormat="1" applyFont="1" applyFill="1" applyBorder="1"/>
    <xf numFmtId="0" fontId="6" fillId="7" borderId="8" xfId="1" applyNumberFormat="1" applyFont="1" applyFill="1" applyBorder="1" applyAlignment="1">
      <alignment horizontal="left"/>
    </xf>
    <xf numFmtId="0" fontId="6" fillId="2" borderId="6" xfId="1" applyNumberFormat="1" applyFont="1" applyFill="1" applyBorder="1" applyAlignment="1">
      <alignment horizontal="left"/>
    </xf>
    <xf numFmtId="0" fontId="6" fillId="2" borderId="30" xfId="1" applyNumberFormat="1" applyFont="1" applyFill="1" applyBorder="1" applyAlignment="1">
      <alignment horizontal="left"/>
    </xf>
    <xf numFmtId="0" fontId="6" fillId="2" borderId="6" xfId="1" applyFont="1" applyFill="1" applyBorder="1" applyAlignment="1"/>
    <xf numFmtId="0" fontId="6" fillId="2" borderId="3" xfId="1" applyFont="1" applyFill="1" applyBorder="1" applyAlignment="1"/>
    <xf numFmtId="0" fontId="6" fillId="2" borderId="30" xfId="1" applyFont="1" applyFill="1" applyBorder="1" applyAlignment="1"/>
    <xf numFmtId="0" fontId="6" fillId="2" borderId="4" xfId="1" applyNumberFormat="1" applyFont="1" applyFill="1" applyBorder="1" applyAlignment="1"/>
    <xf numFmtId="0" fontId="6" fillId="2" borderId="2" xfId="1" applyNumberFormat="1" applyFont="1" applyFill="1" applyBorder="1" applyAlignment="1"/>
    <xf numFmtId="0" fontId="6" fillId="2" borderId="1" xfId="1" applyNumberFormat="1" applyFont="1" applyFill="1" applyBorder="1" applyAlignment="1"/>
    <xf numFmtId="0" fontId="6" fillId="2" borderId="4" xfId="1" applyFont="1" applyFill="1" applyBorder="1" applyAlignment="1"/>
    <xf numFmtId="0" fontId="6" fillId="2" borderId="2" xfId="1" applyFont="1" applyFill="1" applyBorder="1" applyAlignment="1"/>
    <xf numFmtId="0" fontId="6" fillId="2" borderId="1" xfId="1" applyFont="1" applyFill="1" applyBorder="1" applyAlignment="1"/>
    <xf numFmtId="0" fontId="21" fillId="2" borderId="13" xfId="15" applyFont="1" applyFill="1" applyBorder="1"/>
    <xf numFmtId="0" fontId="21" fillId="2" borderId="0" xfId="15" applyFont="1" applyFill="1" applyBorder="1"/>
    <xf numFmtId="0" fontId="21" fillId="2" borderId="12" xfId="15" applyFont="1" applyFill="1" applyBorder="1"/>
    <xf numFmtId="0" fontId="21" fillId="3" borderId="7" xfId="15" applyNumberFormat="1" applyFont="1" applyFill="1" applyBorder="1"/>
    <xf numFmtId="170" fontId="21" fillId="9" borderId="8" xfId="15" applyNumberFormat="1" applyFont="1" applyFill="1" applyBorder="1" applyAlignment="1" applyProtection="1">
      <alignment horizontal="center"/>
    </xf>
    <xf numFmtId="15" fontId="21" fillId="2" borderId="12" xfId="15" applyNumberFormat="1" applyFont="1" applyFill="1" applyBorder="1"/>
    <xf numFmtId="170" fontId="21" fillId="9" borderId="8" xfId="15" quotePrefix="1" applyNumberFormat="1" applyFont="1" applyFill="1" applyBorder="1" applyAlignment="1" applyProtection="1">
      <alignment horizontal="left"/>
    </xf>
    <xf numFmtId="170" fontId="21" fillId="9" borderId="8" xfId="15" quotePrefix="1" applyNumberFormat="1" applyFont="1" applyFill="1" applyBorder="1" applyAlignment="1" applyProtection="1">
      <alignment horizontal="center"/>
    </xf>
    <xf numFmtId="0" fontId="21" fillId="2" borderId="11" xfId="15" applyFont="1" applyFill="1" applyBorder="1"/>
    <xf numFmtId="0" fontId="21" fillId="2" borderId="10" xfId="15" applyFont="1" applyFill="1" applyBorder="1"/>
    <xf numFmtId="0" fontId="21" fillId="2" borderId="9" xfId="15" applyFont="1" applyFill="1" applyBorder="1"/>
    <xf numFmtId="0" fontId="2" fillId="2" borderId="2" xfId="1" quotePrefix="1" applyFont="1" applyFill="1" applyBorder="1" applyAlignment="1">
      <alignment horizontal="center"/>
    </xf>
    <xf numFmtId="0" fontId="2" fillId="6" borderId="0" xfId="19" applyFill="1"/>
    <xf numFmtId="0" fontId="2" fillId="6" borderId="0" xfId="19" applyFont="1" applyFill="1"/>
    <xf numFmtId="0" fontId="2" fillId="2" borderId="13" xfId="19" applyFont="1" applyFill="1" applyBorder="1"/>
    <xf numFmtId="0" fontId="2" fillId="3" borderId="24" xfId="19" applyFont="1" applyFill="1" applyBorder="1"/>
    <xf numFmtId="0" fontId="2" fillId="2" borderId="0" xfId="19" applyFont="1" applyFill="1" applyBorder="1"/>
    <xf numFmtId="0" fontId="2" fillId="2" borderId="12" xfId="19" applyFont="1" applyFill="1" applyBorder="1"/>
    <xf numFmtId="0" fontId="22" fillId="2" borderId="13" xfId="15" applyFont="1" applyFill="1" applyBorder="1"/>
    <xf numFmtId="0" fontId="22" fillId="2" borderId="0" xfId="15" applyFont="1" applyFill="1" applyBorder="1"/>
    <xf numFmtId="0" fontId="22" fillId="2" borderId="12" xfId="15" applyFont="1" applyFill="1" applyBorder="1"/>
    <xf numFmtId="0" fontId="23" fillId="3" borderId="7" xfId="15" applyFont="1" applyFill="1" applyBorder="1"/>
    <xf numFmtId="168" fontId="2" fillId="2" borderId="0" xfId="19" applyNumberFormat="1" applyFont="1" applyFill="1" applyBorder="1" applyAlignment="1">
      <alignment horizontal="center"/>
    </xf>
    <xf numFmtId="169" fontId="2" fillId="9" borderId="4" xfId="1" quotePrefix="1" applyNumberFormat="1" applyFont="1" applyFill="1" applyBorder="1" applyAlignment="1">
      <alignment horizontal="center"/>
    </xf>
    <xf numFmtId="1" fontId="9" fillId="9" borderId="1" xfId="1" applyNumberFormat="1" applyFont="1" applyFill="1" applyBorder="1" applyAlignment="1">
      <alignment horizontal="left"/>
    </xf>
    <xf numFmtId="0" fontId="2" fillId="2" borderId="2" xfId="19" applyFont="1" applyFill="1" applyBorder="1" applyAlignment="1">
      <alignment horizontal="center"/>
    </xf>
    <xf numFmtId="0" fontId="14" fillId="2" borderId="11" xfId="15" applyFill="1" applyBorder="1"/>
    <xf numFmtId="0" fontId="14" fillId="2" borderId="10" xfId="15" applyFill="1" applyBorder="1"/>
    <xf numFmtId="0" fontId="14" fillId="2" borderId="9" xfId="15" applyFill="1" applyBorder="1"/>
    <xf numFmtId="165" fontId="2" fillId="2" borderId="4" xfId="1" applyNumberFormat="1" applyFont="1" applyFill="1" applyBorder="1" applyAlignment="1">
      <alignment horizontal="center"/>
    </xf>
    <xf numFmtId="166" fontId="2" fillId="2" borderId="4" xfId="1" applyNumberFormat="1" applyFont="1" applyFill="1" applyBorder="1" applyAlignment="1">
      <alignment horizontal="center"/>
    </xf>
    <xf numFmtId="165" fontId="2" fillId="2" borderId="2" xfId="1" applyNumberFormat="1" applyFont="1" applyFill="1" applyBorder="1" applyAlignment="1">
      <alignment horizontal="center"/>
    </xf>
    <xf numFmtId="166" fontId="2" fillId="2" borderId="2" xfId="1" applyNumberFormat="1" applyFont="1" applyFill="1" applyBorder="1" applyAlignment="1">
      <alignment horizontal="center"/>
    </xf>
    <xf numFmtId="0" fontId="2" fillId="2" borderId="2" xfId="1" applyFont="1" applyFill="1" applyBorder="1" applyAlignment="1">
      <alignment horizontal="left"/>
    </xf>
    <xf numFmtId="15" fontId="2" fillId="2" borderId="32" xfId="19" applyNumberFormat="1" applyFont="1" applyFill="1" applyBorder="1" applyAlignment="1">
      <alignment horizontal="right" vertical="center"/>
    </xf>
    <xf numFmtId="0" fontId="2" fillId="2" borderId="32" xfId="19" applyFont="1" applyFill="1" applyBorder="1" applyAlignment="1">
      <alignment horizontal="center" vertical="center"/>
    </xf>
    <xf numFmtId="15" fontId="2" fillId="2" borderId="24" xfId="19" applyNumberFormat="1" applyFont="1" applyFill="1" applyBorder="1" applyAlignment="1">
      <alignment horizontal="right" vertical="center"/>
    </xf>
    <xf numFmtId="0" fontId="2" fillId="2" borderId="2" xfId="19" applyFont="1" applyFill="1" applyBorder="1" applyAlignment="1">
      <alignment horizontal="center" vertical="center"/>
    </xf>
    <xf numFmtId="15" fontId="2" fillId="2" borderId="23" xfId="19" applyNumberFormat="1" applyFont="1" applyFill="1" applyBorder="1" applyAlignment="1">
      <alignment horizontal="right" vertical="center"/>
    </xf>
    <xf numFmtId="0" fontId="2" fillId="2" borderId="11" xfId="19" applyFont="1" applyFill="1" applyBorder="1"/>
    <xf numFmtId="15" fontId="24" fillId="2" borderId="10" xfId="19" applyNumberFormat="1" applyFont="1" applyFill="1" applyBorder="1" applyAlignment="1">
      <alignment horizontal="left" vertical="center"/>
    </xf>
    <xf numFmtId="0" fontId="2" fillId="2" borderId="10" xfId="19" applyFont="1" applyFill="1" applyBorder="1" applyAlignment="1">
      <alignment horizontal="center" vertical="center"/>
    </xf>
    <xf numFmtId="0" fontId="2" fillId="2" borderId="10" xfId="19" applyFont="1" applyFill="1" applyBorder="1"/>
    <xf numFmtId="0" fontId="2" fillId="2" borderId="9" xfId="19" applyFont="1" applyFill="1" applyBorder="1"/>
    <xf numFmtId="0" fontId="7" fillId="8" borderId="7" xfId="1" applyFont="1" applyFill="1" applyBorder="1" applyAlignment="1">
      <alignment horizontal="center" vertical="center" wrapText="1"/>
    </xf>
    <xf numFmtId="0" fontId="6" fillId="9" borderId="8" xfId="1" applyNumberFormat="1" applyFont="1" applyFill="1" applyBorder="1" applyAlignment="1" applyProtection="1">
      <alignment horizontal="center" vertical="center"/>
    </xf>
    <xf numFmtId="0" fontId="20" fillId="9" borderId="7" xfId="1" applyNumberFormat="1" applyFont="1" applyFill="1" applyBorder="1" applyAlignment="1" applyProtection="1">
      <alignment horizontal="left" vertical="center"/>
    </xf>
    <xf numFmtId="0" fontId="6" fillId="9" borderId="1" xfId="1" applyNumberFormat="1" applyFont="1" applyFill="1" applyBorder="1" applyAlignment="1" applyProtection="1">
      <alignment horizontal="center" vertical="center"/>
    </xf>
    <xf numFmtId="0" fontId="20" fillId="9" borderId="1" xfId="1" applyNumberFormat="1" applyFont="1" applyFill="1" applyBorder="1" applyAlignment="1" applyProtection="1">
      <alignment horizontal="left" vertical="center"/>
    </xf>
    <xf numFmtId="171" fontId="20" fillId="9" borderId="1" xfId="1" applyNumberFormat="1" applyFont="1" applyFill="1" applyBorder="1" applyAlignment="1" applyProtection="1">
      <alignment horizontal="left"/>
    </xf>
    <xf numFmtId="0" fontId="17" fillId="10" borderId="0" xfId="1" applyFont="1" applyFill="1"/>
    <xf numFmtId="0" fontId="17" fillId="10" borderId="0" xfId="1" applyNumberFormat="1" applyFont="1" applyFill="1"/>
    <xf numFmtId="0" fontId="17" fillId="10" borderId="28" xfId="1" applyFont="1" applyFill="1" applyBorder="1"/>
    <xf numFmtId="0" fontId="7" fillId="8" borderId="7" xfId="1" applyNumberFormat="1" applyFont="1" applyFill="1" applyBorder="1" applyAlignment="1">
      <alignment vertical="center" wrapText="1"/>
    </xf>
    <xf numFmtId="0" fontId="6" fillId="7" borderId="25" xfId="1" applyFont="1" applyFill="1" applyBorder="1"/>
    <xf numFmtId="0" fontId="6" fillId="7" borderId="23" xfId="1" applyFont="1" applyFill="1" applyBorder="1"/>
    <xf numFmtId="0" fontId="6" fillId="8" borderId="7" xfId="1" applyFont="1" applyFill="1" applyBorder="1" applyAlignment="1">
      <alignment horizontal="center"/>
    </xf>
    <xf numFmtId="0" fontId="7" fillId="8" borderId="31" xfId="1" applyFont="1" applyFill="1" applyBorder="1" applyAlignment="1">
      <alignment vertical="center" wrapText="1"/>
    </xf>
    <xf numFmtId="0" fontId="6" fillId="9" borderId="7" xfId="1" applyNumberFormat="1" applyFont="1" applyFill="1" applyBorder="1" applyAlignment="1" applyProtection="1">
      <alignment horizontal="center" vertical="center"/>
    </xf>
    <xf numFmtId="0" fontId="20" fillId="9" borderId="8" xfId="1" applyNumberFormat="1" applyFont="1" applyFill="1" applyBorder="1" applyAlignment="1" applyProtection="1">
      <alignment vertical="center"/>
    </xf>
    <xf numFmtId="0" fontId="20" fillId="9" borderId="2" xfId="1" applyNumberFormat="1" applyFont="1" applyFill="1" applyBorder="1" applyAlignment="1" applyProtection="1">
      <alignment vertical="center"/>
    </xf>
    <xf numFmtId="0" fontId="20" fillId="9" borderId="25" xfId="1" applyNumberFormat="1" applyFont="1" applyFill="1" applyBorder="1" applyAlignment="1" applyProtection="1"/>
    <xf numFmtId="0" fontId="20" fillId="9" borderId="23" xfId="1" applyNumberFormat="1" applyFont="1" applyFill="1" applyBorder="1" applyAlignment="1" applyProtection="1"/>
    <xf numFmtId="0" fontId="6" fillId="10" borderId="0" xfId="1" applyFont="1" applyFill="1"/>
    <xf numFmtId="0" fontId="6" fillId="10" borderId="0" xfId="1" applyFont="1" applyFill="1" applyAlignment="1">
      <alignment horizontal="left"/>
    </xf>
    <xf numFmtId="0" fontId="7" fillId="8" borderId="6" xfId="1" applyFont="1" applyFill="1" applyBorder="1" applyAlignment="1">
      <alignment horizontal="center" vertical="center" wrapText="1"/>
    </xf>
    <xf numFmtId="0" fontId="6" fillId="8" borderId="4" xfId="1" applyFont="1" applyFill="1" applyBorder="1" applyAlignment="1">
      <alignment horizontal="center" vertical="center" wrapText="1"/>
    </xf>
    <xf numFmtId="0" fontId="20" fillId="9" borderId="31" xfId="1" applyNumberFormat="1" applyFont="1" applyFill="1" applyBorder="1" applyAlignment="1" applyProtection="1">
      <alignment vertical="center"/>
    </xf>
    <xf numFmtId="0" fontId="20" fillId="9" borderId="7" xfId="1" applyNumberFormat="1" applyFont="1" applyFill="1" applyBorder="1" applyAlignment="1" applyProtection="1">
      <alignment vertical="center"/>
    </xf>
    <xf numFmtId="0" fontId="6" fillId="7" borderId="7" xfId="1" applyNumberFormat="1" applyFont="1" applyFill="1" applyBorder="1" applyAlignment="1"/>
    <xf numFmtId="0" fontId="6" fillId="9" borderId="7" xfId="1" applyNumberFormat="1" applyFont="1" applyFill="1" applyBorder="1" applyAlignment="1" applyProtection="1">
      <alignment horizontal="left" vertical="center"/>
    </xf>
    <xf numFmtId="171" fontId="20" fillId="9" borderId="7" xfId="1" applyNumberFormat="1" applyFont="1" applyFill="1" applyBorder="1" applyAlignment="1" applyProtection="1">
      <alignment horizontal="left"/>
    </xf>
    <xf numFmtId="0" fontId="6" fillId="9" borderId="25" xfId="1" applyNumberFormat="1" applyFont="1" applyFill="1" applyBorder="1" applyAlignment="1" applyProtection="1">
      <alignment horizontal="left" vertical="center"/>
    </xf>
    <xf numFmtId="0" fontId="6" fillId="9" borderId="24" xfId="1" applyNumberFormat="1" applyFont="1" applyFill="1" applyBorder="1" applyAlignment="1" applyProtection="1">
      <alignment horizontal="left" vertical="center"/>
    </xf>
    <xf numFmtId="0" fontId="6" fillId="9" borderId="23" xfId="1" applyNumberFormat="1" applyFont="1" applyFill="1" applyBorder="1" applyAlignment="1" applyProtection="1">
      <alignment horizontal="left" vertical="center"/>
    </xf>
    <xf numFmtId="0" fontId="17" fillId="10" borderId="0" xfId="1" applyFont="1" applyFill="1" applyAlignment="1">
      <alignment horizontal="left"/>
    </xf>
    <xf numFmtId="167" fontId="6" fillId="10" borderId="0" xfId="1" applyNumberFormat="1" applyFont="1" applyFill="1"/>
    <xf numFmtId="0" fontId="6" fillId="2" borderId="33" xfId="1" applyFont="1" applyFill="1" applyBorder="1" applyAlignment="1">
      <alignment horizontal="left"/>
    </xf>
    <xf numFmtId="0" fontId="7" fillId="8" borderId="34" xfId="1" applyFont="1" applyFill="1" applyBorder="1" applyAlignment="1">
      <alignment horizontal="center" vertical="center" wrapText="1"/>
    </xf>
    <xf numFmtId="0" fontId="7" fillId="8" borderId="35" xfId="1" applyFont="1" applyFill="1" applyBorder="1" applyAlignment="1">
      <alignment horizontal="center" vertical="center" wrapText="1"/>
    </xf>
    <xf numFmtId="0" fontId="6" fillId="7" borderId="26" xfId="1" applyFont="1" applyFill="1" applyBorder="1"/>
    <xf numFmtId="0" fontId="6" fillId="2" borderId="13" xfId="1" applyFont="1" applyFill="1" applyBorder="1" applyAlignment="1">
      <alignment horizontal="left"/>
    </xf>
    <xf numFmtId="0" fontId="6" fillId="7" borderId="12" xfId="1" applyFont="1" applyFill="1" applyBorder="1"/>
    <xf numFmtId="0" fontId="6" fillId="2" borderId="36" xfId="1" applyFont="1" applyFill="1" applyBorder="1" applyAlignment="1">
      <alignment horizontal="left"/>
    </xf>
    <xf numFmtId="0" fontId="6" fillId="7" borderId="37" xfId="1" applyFont="1" applyFill="1" applyBorder="1" applyAlignment="1">
      <alignment horizontal="left"/>
    </xf>
    <xf numFmtId="0" fontId="6" fillId="7" borderId="38" xfId="1" applyFont="1" applyFill="1" applyBorder="1" applyAlignment="1">
      <alignment horizontal="left"/>
    </xf>
    <xf numFmtId="0" fontId="6" fillId="7" borderId="9" xfId="1" applyFont="1" applyFill="1" applyBorder="1"/>
    <xf numFmtId="165" fontId="6" fillId="10" borderId="0" xfId="1" applyNumberFormat="1" applyFont="1" applyFill="1"/>
    <xf numFmtId="11" fontId="6" fillId="2" borderId="0" xfId="1" applyNumberFormat="1" applyFont="1" applyFill="1" applyBorder="1" applyAlignment="1"/>
    <xf numFmtId="0" fontId="6" fillId="2" borderId="27" xfId="1" applyFont="1" applyFill="1" applyBorder="1" applyAlignment="1"/>
    <xf numFmtId="11" fontId="6" fillId="2" borderId="28" xfId="1" applyNumberFormat="1" applyFont="1" applyFill="1" applyBorder="1" applyAlignment="1"/>
    <xf numFmtId="165" fontId="6" fillId="2" borderId="28" xfId="1" applyNumberFormat="1" applyFont="1" applyFill="1" applyBorder="1" applyAlignment="1"/>
    <xf numFmtId="167" fontId="6" fillId="2" borderId="28" xfId="1" applyNumberFormat="1" applyFont="1" applyFill="1" applyBorder="1" applyAlignment="1"/>
    <xf numFmtId="167" fontId="6" fillId="2" borderId="26" xfId="1" applyNumberFormat="1" applyFont="1" applyFill="1" applyBorder="1" applyAlignment="1"/>
    <xf numFmtId="11" fontId="6" fillId="2" borderId="10" xfId="1" applyNumberFormat="1" applyFont="1" applyFill="1" applyBorder="1" applyAlignment="1"/>
    <xf numFmtId="0" fontId="7" fillId="8" borderId="22" xfId="1" applyFont="1" applyFill="1" applyBorder="1" applyAlignment="1">
      <alignment horizontal="center" vertical="center" wrapText="1"/>
    </xf>
    <xf numFmtId="0" fontId="7" fillId="8" borderId="20" xfId="1" applyFont="1" applyFill="1" applyBorder="1" applyAlignment="1">
      <alignment horizontal="center" vertical="center" wrapText="1"/>
    </xf>
    <xf numFmtId="0" fontId="7" fillId="8" borderId="39" xfId="1" applyFont="1" applyFill="1" applyBorder="1" applyAlignment="1">
      <alignment horizontal="center" vertical="center" wrapText="1"/>
    </xf>
    <xf numFmtId="0" fontId="7" fillId="8" borderId="19" xfId="1" applyFont="1" applyFill="1" applyBorder="1" applyAlignment="1">
      <alignment horizontal="center" vertical="center" wrapText="1"/>
    </xf>
    <xf numFmtId="0" fontId="7" fillId="8" borderId="18" xfId="1" applyFont="1" applyFill="1" applyBorder="1" applyAlignment="1">
      <alignment horizontal="center" vertical="center" wrapText="1"/>
    </xf>
    <xf numFmtId="0" fontId="15" fillId="7" borderId="28" xfId="0" applyFont="1" applyFill="1" applyBorder="1"/>
    <xf numFmtId="0" fontId="15" fillId="7" borderId="26" xfId="0" applyFont="1" applyFill="1" applyBorder="1"/>
    <xf numFmtId="0" fontId="15" fillId="10" borderId="0" xfId="0" applyFont="1" applyFill="1"/>
    <xf numFmtId="0" fontId="15" fillId="8" borderId="15" xfId="0" applyFont="1" applyFill="1" applyBorder="1"/>
    <xf numFmtId="0" fontId="15" fillId="8" borderId="7" xfId="0" applyFont="1" applyFill="1" applyBorder="1"/>
    <xf numFmtId="0" fontId="15" fillId="7" borderId="0" xfId="0" applyFont="1" applyFill="1" applyBorder="1"/>
    <xf numFmtId="165" fontId="15" fillId="8" borderId="7" xfId="0" applyNumberFormat="1" applyFont="1" applyFill="1" applyBorder="1"/>
    <xf numFmtId="0" fontId="15" fillId="7" borderId="12" xfId="0" applyFont="1" applyFill="1" applyBorder="1"/>
    <xf numFmtId="14" fontId="15" fillId="10" borderId="0" xfId="0" applyNumberFormat="1" applyFont="1" applyFill="1"/>
    <xf numFmtId="0" fontId="15" fillId="7" borderId="43" xfId="0" applyFont="1" applyFill="1" applyBorder="1"/>
    <xf numFmtId="167" fontId="6" fillId="7" borderId="24" xfId="1" applyNumberFormat="1" applyFont="1" applyFill="1" applyBorder="1" applyAlignment="1"/>
    <xf numFmtId="165" fontId="15" fillId="7" borderId="24" xfId="0" applyNumberFormat="1" applyFont="1" applyFill="1" applyBorder="1"/>
    <xf numFmtId="178" fontId="15" fillId="7" borderId="24" xfId="0" applyNumberFormat="1" applyFont="1" applyFill="1" applyBorder="1"/>
    <xf numFmtId="177" fontId="15" fillId="11" borderId="24" xfId="0" applyNumberFormat="1" applyFont="1" applyFill="1" applyBorder="1"/>
    <xf numFmtId="166" fontId="6" fillId="7" borderId="24" xfId="1" applyNumberFormat="1" applyFont="1" applyFill="1" applyBorder="1" applyAlignment="1"/>
    <xf numFmtId="0" fontId="15" fillId="7" borderId="37" xfId="0" applyFont="1" applyFill="1" applyBorder="1"/>
    <xf numFmtId="0" fontId="15" fillId="7" borderId="38" xfId="0" applyFont="1" applyFill="1" applyBorder="1"/>
    <xf numFmtId="0" fontId="15" fillId="7" borderId="44" xfId="0" applyFont="1" applyFill="1" applyBorder="1"/>
    <xf numFmtId="0" fontId="7" fillId="8" borderId="45" xfId="1" applyFont="1" applyFill="1" applyBorder="1" applyAlignment="1">
      <alignment horizontal="center" vertical="center" wrapText="1"/>
    </xf>
    <xf numFmtId="0" fontId="6" fillId="7" borderId="7" xfId="1" applyNumberFormat="1" applyFont="1" applyFill="1" applyBorder="1" applyAlignment="1">
      <alignment horizontal="center"/>
    </xf>
    <xf numFmtId="0" fontId="2" fillId="2" borderId="1" xfId="19" applyFont="1" applyFill="1" applyBorder="1" applyAlignment="1">
      <alignment horizontal="center" vertical="center"/>
    </xf>
    <xf numFmtId="0" fontId="6" fillId="2" borderId="24" xfId="1" applyNumberFormat="1" applyFont="1" applyFill="1" applyBorder="1" applyAlignment="1">
      <alignment horizontal="left"/>
    </xf>
    <xf numFmtId="0" fontId="6" fillId="2" borderId="3" xfId="1" applyNumberFormat="1" applyFont="1" applyFill="1" applyBorder="1" applyAlignment="1">
      <alignment horizontal="left"/>
    </xf>
    <xf numFmtId="0" fontId="6" fillId="7" borderId="24" xfId="1" applyFont="1" applyFill="1" applyBorder="1"/>
    <xf numFmtId="0" fontId="20" fillId="9" borderId="24" xfId="1" applyNumberFormat="1" applyFont="1" applyFill="1" applyBorder="1" applyAlignment="1" applyProtection="1"/>
    <xf numFmtId="0" fontId="6" fillId="2" borderId="25" xfId="1" applyFont="1" applyFill="1" applyBorder="1" applyAlignment="1"/>
    <xf numFmtId="0" fontId="6" fillId="2" borderId="24" xfId="1" applyFont="1" applyFill="1" applyBorder="1" applyAlignment="1"/>
    <xf numFmtId="0" fontId="6" fillId="2" borderId="23" xfId="1" applyFont="1" applyFill="1" applyBorder="1" applyAlignment="1"/>
    <xf numFmtId="172" fontId="6" fillId="7" borderId="7" xfId="1" applyNumberFormat="1" applyFont="1" applyFill="1" applyBorder="1" applyAlignment="1">
      <alignment horizontal="left"/>
    </xf>
    <xf numFmtId="0" fontId="10" fillId="8" borderId="22" xfId="3" applyFont="1" applyFill="1" applyBorder="1" applyAlignment="1">
      <alignment horizontal="center"/>
    </xf>
    <xf numFmtId="0" fontId="10" fillId="8" borderId="29" xfId="3" applyFont="1" applyFill="1" applyBorder="1" applyAlignment="1">
      <alignment horizontal="center"/>
    </xf>
    <xf numFmtId="0" fontId="10" fillId="8" borderId="21" xfId="1" applyFont="1" applyFill="1" applyBorder="1" applyAlignment="1"/>
    <xf numFmtId="0" fontId="10" fillId="8" borderId="21" xfId="3" applyFont="1" applyFill="1" applyBorder="1" applyAlignment="1">
      <alignment horizontal="center"/>
    </xf>
    <xf numFmtId="0" fontId="10" fillId="8" borderId="22" xfId="19" applyFont="1" applyFill="1" applyBorder="1" applyAlignment="1">
      <alignment horizontal="center"/>
    </xf>
    <xf numFmtId="0" fontId="10" fillId="8" borderId="29" xfId="19" applyFont="1" applyFill="1" applyBorder="1" applyAlignment="1">
      <alignment horizontal="center"/>
    </xf>
    <xf numFmtId="0" fontId="10" fillId="8" borderId="21" xfId="19" applyFont="1" applyFill="1" applyBorder="1" applyAlignment="1">
      <alignment horizontal="center"/>
    </xf>
    <xf numFmtId="0" fontId="7" fillId="8" borderId="22" xfId="1" applyFont="1" applyFill="1" applyBorder="1" applyAlignment="1">
      <alignment horizontal="center" vertical="center" wrapText="1"/>
    </xf>
    <xf numFmtId="0" fontId="7" fillId="8" borderId="21" xfId="1" applyFont="1" applyFill="1" applyBorder="1" applyAlignment="1">
      <alignment horizontal="center" vertical="center" wrapText="1"/>
    </xf>
    <xf numFmtId="0" fontId="6" fillId="12" borderId="40" xfId="1" applyNumberFormat="1" applyFont="1" applyFill="1" applyBorder="1" applyAlignment="1" applyProtection="1">
      <alignment horizontal="center" vertical="center"/>
    </xf>
    <xf numFmtId="0" fontId="6" fillId="12" borderId="41" xfId="1" applyNumberFormat="1" applyFont="1" applyFill="1" applyBorder="1" applyAlignment="1" applyProtection="1">
      <alignment horizontal="center" vertical="center"/>
    </xf>
    <xf numFmtId="0" fontId="6" fillId="12" borderId="42" xfId="1" applyNumberFormat="1" applyFont="1" applyFill="1" applyBorder="1" applyAlignment="1" applyProtection="1">
      <alignment horizontal="center" vertical="center"/>
    </xf>
    <xf numFmtId="0" fontId="6" fillId="12" borderId="31" xfId="1" applyNumberFormat="1" applyFont="1" applyFill="1" applyBorder="1" applyAlignment="1" applyProtection="1">
      <alignment horizontal="center" vertical="center"/>
    </xf>
    <xf numFmtId="0" fontId="6" fillId="12" borderId="32" xfId="1" applyNumberFormat="1" applyFont="1" applyFill="1" applyBorder="1" applyAlignment="1" applyProtection="1">
      <alignment horizontal="center" vertical="center"/>
    </xf>
    <xf numFmtId="0" fontId="6" fillId="12" borderId="8" xfId="1" applyNumberFormat="1" applyFont="1" applyFill="1" applyBorder="1" applyAlignment="1" applyProtection="1">
      <alignment horizontal="center" vertical="center"/>
    </xf>
  </cellXfs>
  <cellStyles count="20">
    <cellStyle name="Comma 2" xfId="18"/>
    <cellStyle name="Migliaia (0)_AZIONI" xfId="4"/>
    <cellStyle name="Migliaia_AZIONI" xfId="5"/>
    <cellStyle name="Normal" xfId="0" builtinId="0"/>
    <cellStyle name="Normal 2" xfId="1"/>
    <cellStyle name="Normal 2 2" xfId="10"/>
    <cellStyle name="Normal 3" xfId="11"/>
    <cellStyle name="Normal 3 2" xfId="15"/>
    <cellStyle name="Normal_SwaptionATMVols" xfId="3"/>
    <cellStyle name="Normal_SwaptionATMVols 2" xfId="19"/>
    <cellStyle name="Normale_AZIONI" xfId="6"/>
    <cellStyle name="Percent 2" xfId="2"/>
    <cellStyle name="Percent 2 2" xfId="12"/>
    <cellStyle name="Percent 2 2 2" xfId="17"/>
    <cellStyle name="Percent 2 2 3" xfId="16"/>
    <cellStyle name="Percent 3" xfId="13"/>
    <cellStyle name="Percent 4" xfId="14"/>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_LCH.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VM"/>
      <sheetName val="IM"/>
      <sheetName val="REP00078"/>
      <sheetName val="REP00099"/>
      <sheetName val="REP00079"/>
      <sheetName val="REP00100"/>
      <sheetName val="REP00101"/>
    </sheetNames>
    <sheetDataSet>
      <sheetData sheetId="0"/>
      <sheetData sheetId="1"/>
      <sheetData sheetId="2">
        <row r="57">
          <cell r="C57" t="str">
            <v>EUR6MD</v>
          </cell>
          <cell r="D57">
            <v>42432</v>
          </cell>
          <cell r="F57">
            <v>3.8999999999999999E-4</v>
          </cell>
        </row>
        <row r="58">
          <cell r="C58" t="str">
            <v>EUR1X7F</v>
          </cell>
          <cell r="D58">
            <v>42464</v>
          </cell>
          <cell r="F58">
            <v>3.6499999999999998E-4</v>
          </cell>
        </row>
        <row r="59">
          <cell r="C59" t="str">
            <v>EUR2X8F</v>
          </cell>
          <cell r="D59">
            <v>42493</v>
          </cell>
          <cell r="F59">
            <v>4.2000000000000002E-4</v>
          </cell>
        </row>
        <row r="60">
          <cell r="C60" t="str">
            <v>EUR3X9F</v>
          </cell>
          <cell r="D60">
            <v>42524</v>
          </cell>
          <cell r="F60">
            <v>4.3333329999999999E-4</v>
          </cell>
        </row>
        <row r="61">
          <cell r="C61" t="str">
            <v>EUR4X10F</v>
          </cell>
          <cell r="D61">
            <v>42555</v>
          </cell>
          <cell r="F61">
            <v>4.4000000000000002E-4</v>
          </cell>
        </row>
        <row r="62">
          <cell r="C62" t="str">
            <v>EUR5X11F</v>
          </cell>
          <cell r="D62">
            <v>42585</v>
          </cell>
          <cell r="F62">
            <v>4.6833330000000002E-4</v>
          </cell>
        </row>
        <row r="63">
          <cell r="C63" t="str">
            <v>EUR6X12F</v>
          </cell>
          <cell r="D63">
            <v>42618</v>
          </cell>
          <cell r="F63">
            <v>5.0250000000000002E-4</v>
          </cell>
        </row>
        <row r="64">
          <cell r="C64" t="str">
            <v>EUR12X18F</v>
          </cell>
          <cell r="D64">
            <v>42797</v>
          </cell>
          <cell r="F64">
            <v>9.6500000000000004E-4</v>
          </cell>
        </row>
        <row r="65">
          <cell r="C65" t="str">
            <v>EURAB6E2Y</v>
          </cell>
          <cell r="D65">
            <v>42982</v>
          </cell>
          <cell r="F65">
            <v>9.3924999999999998E-4</v>
          </cell>
        </row>
        <row r="66">
          <cell r="C66" t="str">
            <v>EURAB6E3Y</v>
          </cell>
          <cell r="D66">
            <v>43346</v>
          </cell>
          <cell r="F66">
            <v>1.8450000000000001E-3</v>
          </cell>
        </row>
        <row r="67">
          <cell r="C67" t="str">
            <v>EURAB6E4Y</v>
          </cell>
          <cell r="D67">
            <v>43711</v>
          </cell>
          <cell r="F67">
            <v>3.1212499999999999E-3</v>
          </cell>
        </row>
        <row r="68">
          <cell r="C68" t="str">
            <v>EURAB6E5Y</v>
          </cell>
          <cell r="D68">
            <v>44077</v>
          </cell>
          <cell r="F68">
            <v>4.5490000000000001E-3</v>
          </cell>
        </row>
        <row r="69">
          <cell r="C69" t="str">
            <v>EURAB6E6Y</v>
          </cell>
          <cell r="D69">
            <v>44442</v>
          </cell>
          <cell r="F69">
            <v>6.0192500000000003E-3</v>
          </cell>
        </row>
        <row r="70">
          <cell r="C70" t="str">
            <v>EURAB6E7Y</v>
          </cell>
          <cell r="D70">
            <v>44809</v>
          </cell>
          <cell r="F70">
            <v>7.4780000000000003E-3</v>
          </cell>
        </row>
        <row r="71">
          <cell r="C71" t="str">
            <v>EURAB6E8Y</v>
          </cell>
          <cell r="D71">
            <v>45173</v>
          </cell>
          <cell r="F71">
            <v>8.8542499999999993E-3</v>
          </cell>
        </row>
        <row r="72">
          <cell r="C72" t="str">
            <v>EURAB6E9Y</v>
          </cell>
          <cell r="D72">
            <v>45538</v>
          </cell>
          <cell r="F72">
            <v>1.0107E-2</v>
          </cell>
        </row>
        <row r="73">
          <cell r="C73" t="str">
            <v>EURAB6E10Y</v>
          </cell>
          <cell r="D73">
            <v>45903</v>
          </cell>
          <cell r="F73">
            <v>1.1193E-2</v>
          </cell>
        </row>
        <row r="74">
          <cell r="C74" t="str">
            <v>EURAB6E12Y</v>
          </cell>
          <cell r="D74">
            <v>46633</v>
          </cell>
          <cell r="F74">
            <v>1.29455E-2</v>
          </cell>
        </row>
        <row r="75">
          <cell r="C75" t="str">
            <v>EURAB6E15Y</v>
          </cell>
          <cell r="D75">
            <v>47729</v>
          </cell>
          <cell r="F75">
            <v>1.4725500000000001E-2</v>
          </cell>
        </row>
        <row r="76">
          <cell r="C76" t="str">
            <v>EURAB6E20Y</v>
          </cell>
          <cell r="D76">
            <v>49555</v>
          </cell>
          <cell r="F76">
            <v>1.6125500000000001E-2</v>
          </cell>
        </row>
        <row r="77">
          <cell r="C77" t="str">
            <v>EURAB6E25Y</v>
          </cell>
          <cell r="D77">
            <v>51382</v>
          </cell>
          <cell r="F77">
            <v>1.6433E-2</v>
          </cell>
        </row>
        <row r="78">
          <cell r="C78" t="str">
            <v>EURAB6E30Y</v>
          </cell>
          <cell r="D78">
            <v>53209</v>
          </cell>
          <cell r="F78">
            <v>1.6500500000000001E-2</v>
          </cell>
        </row>
        <row r="79">
          <cell r="C79" t="str">
            <v>EURAB6E40Y</v>
          </cell>
          <cell r="D79">
            <v>56860</v>
          </cell>
          <cell r="F79">
            <v>1.6621E-2</v>
          </cell>
        </row>
        <row r="80">
          <cell r="C80" t="str">
            <v>EURAB6E50Y</v>
          </cell>
          <cell r="D80">
            <v>60513</v>
          </cell>
          <cell r="F80">
            <v>1.6251000000000002E-2</v>
          </cell>
        </row>
        <row r="81">
          <cell r="C81" t="str">
            <v>EURAB6E60Y</v>
          </cell>
          <cell r="D81">
            <v>64165</v>
          </cell>
          <cell r="F81">
            <v>1.6047499999999999E-2</v>
          </cell>
        </row>
      </sheetData>
      <sheetData sheetId="3"/>
      <sheetData sheetId="4"/>
      <sheetData sheetId="5"/>
      <sheetData sheetId="6"/>
      <sheetData sheetId="7">
        <row r="2">
          <cell r="A2" t="str">
            <v>AUD_AONIA_EOD</v>
          </cell>
          <cell r="C2">
            <v>42249</v>
          </cell>
          <cell r="E2">
            <v>1.99994520748366E-2</v>
          </cell>
          <cell r="F2">
            <v>0.99994520848172697</v>
          </cell>
        </row>
        <row r="3">
          <cell r="A3" t="str">
            <v>AUD_AONIA_EOD</v>
          </cell>
          <cell r="C3">
            <v>42256</v>
          </cell>
          <cell r="E3">
            <v>2.0007509508007101E-2</v>
          </cell>
          <cell r="F3">
            <v>0.99956157537983403</v>
          </cell>
        </row>
        <row r="4">
          <cell r="A4" t="str">
            <v>AUD_AONIA_EOD</v>
          </cell>
          <cell r="C4">
            <v>42279</v>
          </cell>
          <cell r="E4">
            <v>1.99744301090993E-2</v>
          </cell>
          <cell r="F4">
            <v>0.99830497972462895</v>
          </cell>
        </row>
        <row r="5">
          <cell r="A5" t="str">
            <v>AUD_AONIA_EOD</v>
          </cell>
          <cell r="C5">
            <v>42310</v>
          </cell>
          <cell r="E5">
            <v>1.9701758788571399E-2</v>
          </cell>
          <cell r="F5">
            <v>0.99665899350158704</v>
          </cell>
        </row>
        <row r="6">
          <cell r="A6" t="str">
            <v>AUD_AONIA_EOD</v>
          </cell>
          <cell r="C6">
            <v>42340</v>
          </cell>
          <cell r="E6">
            <v>1.9303164894726301E-2</v>
          </cell>
          <cell r="F6">
            <v>0.995146361893266</v>
          </cell>
        </row>
        <row r="7">
          <cell r="A7" t="str">
            <v>AUD_AONIA_EOD</v>
          </cell>
          <cell r="C7">
            <v>42373</v>
          </cell>
          <cell r="E7">
            <v>1.8893215547433301E-2</v>
          </cell>
          <cell r="F7">
            <v>0.99355060788710703</v>
          </cell>
        </row>
        <row r="8">
          <cell r="A8" t="str">
            <v>AUD_AONIA_EOD</v>
          </cell>
          <cell r="C8">
            <v>42402</v>
          </cell>
          <cell r="E8">
            <v>1.8664259854573699E-2</v>
          </cell>
          <cell r="F8">
            <v>0.99215614126975604</v>
          </cell>
        </row>
        <row r="9">
          <cell r="A9" t="str">
            <v>AUD_AONIA_EOD</v>
          </cell>
          <cell r="C9">
            <v>42431</v>
          </cell>
          <cell r="E9">
            <v>1.8418183897708398E-2</v>
          </cell>
          <cell r="F9">
            <v>0.99080818307990104</v>
          </cell>
        </row>
        <row r="10">
          <cell r="A10" t="str">
            <v>AUD_AONIA_EOD</v>
          </cell>
          <cell r="C10">
            <v>42523</v>
          </cell>
          <cell r="E10">
            <v>1.7787887780964198E-2</v>
          </cell>
          <cell r="F10">
            <v>0.98668757146633201</v>
          </cell>
        </row>
        <row r="11">
          <cell r="A11" t="str">
            <v>AUD_AONIA_EOD</v>
          </cell>
          <cell r="C11">
            <v>42615</v>
          </cell>
          <cell r="E11">
            <v>1.7379954089144299E-2</v>
          </cell>
          <cell r="F11">
            <v>0.98267661879826196</v>
          </cell>
        </row>
        <row r="12">
          <cell r="A12" t="str">
            <v>AUD_AONIA_EOD</v>
          </cell>
          <cell r="C12">
            <v>42796</v>
          </cell>
          <cell r="E12">
            <v>1.7311551717138701E-2</v>
          </cell>
          <cell r="F12">
            <v>0.974343817712233</v>
          </cell>
        </row>
        <row r="13">
          <cell r="A13" t="str">
            <v>AUD_AONIA_EOD</v>
          </cell>
          <cell r="C13">
            <v>42982</v>
          </cell>
          <cell r="E13">
            <v>1.7585716039167702E-2</v>
          </cell>
          <cell r="F13">
            <v>0.96525385288384102</v>
          </cell>
        </row>
        <row r="14">
          <cell r="A14" t="str">
            <v>AUD_AONIA_EOD</v>
          </cell>
          <cell r="C14">
            <v>43346</v>
          </cell>
          <cell r="E14">
            <v>1.8425486122635601E-2</v>
          </cell>
          <cell r="F14">
            <v>0.94608023291548105</v>
          </cell>
        </row>
        <row r="15">
          <cell r="A15" t="str">
            <v>AUD_AONIA_EOD</v>
          </cell>
          <cell r="C15">
            <v>43710</v>
          </cell>
          <cell r="E15">
            <v>1.98323075815654E-2</v>
          </cell>
          <cell r="F15">
            <v>0.923635375478288</v>
          </cell>
        </row>
        <row r="16">
          <cell r="A16" t="str">
            <v>AUD_AONIA_EOD</v>
          </cell>
          <cell r="C16">
            <v>44076</v>
          </cell>
          <cell r="E16">
            <v>2.13948139287908E-2</v>
          </cell>
          <cell r="F16">
            <v>0.89839097842770199</v>
          </cell>
        </row>
        <row r="17">
          <cell r="A17" t="str">
            <v>AUD_AONIA_EOD</v>
          </cell>
          <cell r="C17">
            <v>44806</v>
          </cell>
          <cell r="E17">
            <v>2.4533441293031501E-2</v>
          </cell>
          <cell r="F17">
            <v>0.84203328573096703</v>
          </cell>
        </row>
        <row r="18">
          <cell r="A18" t="str">
            <v>AUD_AONIA_EOD</v>
          </cell>
          <cell r="C18">
            <v>45902</v>
          </cell>
          <cell r="E18">
            <v>2.7699392690162802E-2</v>
          </cell>
          <cell r="F18">
            <v>0.75782902316484502</v>
          </cell>
        </row>
        <row r="19">
          <cell r="A19" t="str">
            <v>AUD_AONIA_EOD</v>
          </cell>
          <cell r="C19">
            <v>46632</v>
          </cell>
          <cell r="E19">
            <v>2.9342039259888202E-2</v>
          </cell>
          <cell r="F19">
            <v>0.70298056896764705</v>
          </cell>
        </row>
        <row r="20">
          <cell r="A20" t="str">
            <v>AUD_AONIA_EOD</v>
          </cell>
          <cell r="C20">
            <v>47728</v>
          </cell>
          <cell r="E20">
            <v>3.10967124298938E-2</v>
          </cell>
          <cell r="F20">
            <v>0.62695740904742803</v>
          </cell>
        </row>
        <row r="21">
          <cell r="A21" t="str">
            <v>AUD_AONIA_EOD</v>
          </cell>
          <cell r="C21">
            <v>49555</v>
          </cell>
          <cell r="E21">
            <v>3.26778453214812E-2</v>
          </cell>
          <cell r="F21">
            <v>0.51986630572791603</v>
          </cell>
        </row>
        <row r="22">
          <cell r="A22" t="str">
            <v>AUD_AONIA_EOD</v>
          </cell>
          <cell r="C22">
            <v>51382</v>
          </cell>
          <cell r="E22">
            <v>3.29010602554951E-2</v>
          </cell>
          <cell r="F22">
            <v>0.43896404759158197</v>
          </cell>
        </row>
        <row r="23">
          <cell r="A23" t="str">
            <v>AUD_AONIA_EOD</v>
          </cell>
          <cell r="C23">
            <v>53209</v>
          </cell>
          <cell r="E23">
            <v>3.2617397180446102E-2</v>
          </cell>
          <cell r="F23">
            <v>0.37549695933067401</v>
          </cell>
        </row>
        <row r="24">
          <cell r="A24" t="str">
            <v>AUD_AONIA_EOD</v>
          </cell>
          <cell r="C24">
            <v>56859</v>
          </cell>
          <cell r="E24">
            <v>3.1495503093566898E-2</v>
          </cell>
          <cell r="F24">
            <v>0.28343589444015399</v>
          </cell>
        </row>
        <row r="25">
          <cell r="A25" t="str">
            <v>AUD_BBSW_3M_EOD</v>
          </cell>
          <cell r="C25">
            <v>42339</v>
          </cell>
          <cell r="E25">
            <v>2.1243643552508601E-2</v>
          </cell>
          <cell r="F25">
            <v>0.99471764054065703</v>
          </cell>
        </row>
        <row r="26">
          <cell r="A26" t="str">
            <v>AUD_BBSW_3M_EOD</v>
          </cell>
          <cell r="C26">
            <v>42348</v>
          </cell>
          <cell r="E26">
            <v>2.1062246301071501E-2</v>
          </cell>
          <cell r="F26">
            <v>0.99424613879356505</v>
          </cell>
        </row>
        <row r="27">
          <cell r="A27" t="str">
            <v>AUD_BBSW_3M_EOD</v>
          </cell>
          <cell r="C27">
            <v>42439</v>
          </cell>
          <cell r="E27">
            <v>2.0242084962392298E-2</v>
          </cell>
          <cell r="F27">
            <v>0.98946346876840496</v>
          </cell>
        </row>
        <row r="28">
          <cell r="A28" t="str">
            <v>AUD_BBSW_3M_EOD</v>
          </cell>
          <cell r="C28">
            <v>42530</v>
          </cell>
          <cell r="E28">
            <v>1.9656389718633E-2</v>
          </cell>
          <cell r="F28">
            <v>0.98492815402175804</v>
          </cell>
        </row>
        <row r="29">
          <cell r="A29" t="str">
            <v>AUD_BBSW_3M_EOD</v>
          </cell>
          <cell r="C29">
            <v>42621</v>
          </cell>
          <cell r="E29">
            <v>1.93018306463551E-2</v>
          </cell>
          <cell r="F29">
            <v>0.98046837828381395</v>
          </cell>
        </row>
        <row r="30">
          <cell r="A30" t="str">
            <v>AUD_BBSW_3M_EOD</v>
          </cell>
          <cell r="C30">
            <v>42712</v>
          </cell>
          <cell r="E30">
            <v>1.9138862782150799E-2</v>
          </cell>
          <cell r="F30">
            <v>0.97596363587147905</v>
          </cell>
        </row>
        <row r="31">
          <cell r="A31" t="str">
            <v>AUD_BBSW_3M_EOD</v>
          </cell>
          <cell r="C31">
            <v>42803</v>
          </cell>
          <cell r="E31">
            <v>1.91373787622439E-2</v>
          </cell>
          <cell r="F31">
            <v>0.971320005703325</v>
          </cell>
        </row>
        <row r="32">
          <cell r="A32" t="str">
            <v>AUD_BBSW_3M_EOD</v>
          </cell>
          <cell r="C32">
            <v>42979</v>
          </cell>
          <cell r="E32">
            <v>1.9456458166378601E-2</v>
          </cell>
          <cell r="F32">
            <v>0.961783196001329</v>
          </cell>
        </row>
        <row r="33">
          <cell r="A33" t="str">
            <v>AUD_BBSW_3M_EOD</v>
          </cell>
          <cell r="C33">
            <v>43346</v>
          </cell>
          <cell r="E33">
            <v>2.04672770779009E-2</v>
          </cell>
          <cell r="F33">
            <v>0.94028707121799304</v>
          </cell>
        </row>
        <row r="34">
          <cell r="A34" t="str">
            <v>AUD_BBSW_3M_EOD</v>
          </cell>
          <cell r="C34">
            <v>43710</v>
          </cell>
          <cell r="E34">
            <v>2.18723657523636E-2</v>
          </cell>
          <cell r="F34">
            <v>0.91611872378397996</v>
          </cell>
        </row>
        <row r="35">
          <cell r="A35" t="str">
            <v>AUD_BBSW_3M_EOD</v>
          </cell>
          <cell r="C35">
            <v>44075</v>
          </cell>
          <cell r="E35">
            <v>2.3434601666727398E-2</v>
          </cell>
          <cell r="F35">
            <v>0.88931709737184295</v>
          </cell>
        </row>
        <row r="36">
          <cell r="A36" t="str">
            <v>AUD_BBSW_3M_EOD</v>
          </cell>
          <cell r="C36">
            <v>44805</v>
          </cell>
          <cell r="E36">
            <v>2.6519285317043301E-2</v>
          </cell>
          <cell r="F36">
            <v>0.83045601917772804</v>
          </cell>
        </row>
        <row r="37">
          <cell r="A37" t="str">
            <v>AUD_BBSW_3M_EOD</v>
          </cell>
          <cell r="C37">
            <v>45901</v>
          </cell>
          <cell r="E37">
            <v>2.9712859608413099E-2</v>
          </cell>
          <cell r="F37">
            <v>0.74276704873757504</v>
          </cell>
        </row>
        <row r="38">
          <cell r="A38" t="str">
            <v>AUD_BBSW_3M_EOD</v>
          </cell>
          <cell r="C38">
            <v>46631</v>
          </cell>
          <cell r="E38">
            <v>3.13838109641656E-2</v>
          </cell>
          <cell r="F38">
            <v>0.68600958386771105</v>
          </cell>
        </row>
        <row r="39">
          <cell r="A39" t="str">
            <v>AUD_BBSW_3M_EOD</v>
          </cell>
          <cell r="C39">
            <v>47728</v>
          </cell>
          <cell r="E39">
            <v>3.31367264034216E-2</v>
          </cell>
          <cell r="F39">
            <v>0.60804595024534402</v>
          </cell>
        </row>
        <row r="40">
          <cell r="A40" t="str">
            <v>AUD_BBSW_3M_EOD</v>
          </cell>
          <cell r="C40">
            <v>49555</v>
          </cell>
          <cell r="E40">
            <v>3.4748896629857098E-2</v>
          </cell>
          <cell r="F40">
            <v>0.498752973050269</v>
          </cell>
        </row>
        <row r="41">
          <cell r="A41" t="str">
            <v>AUD_BBSW_3M_EOD</v>
          </cell>
          <cell r="C41">
            <v>51382</v>
          </cell>
          <cell r="E41">
            <v>3.5006018497453502E-2</v>
          </cell>
          <cell r="F41">
            <v>0.41643969218403598</v>
          </cell>
        </row>
        <row r="42">
          <cell r="A42" t="str">
            <v>AUD_BBSW_3M_EOD</v>
          </cell>
          <cell r="C42">
            <v>53206</v>
          </cell>
          <cell r="E42">
            <v>3.4678758548633302E-2</v>
          </cell>
          <cell r="F42">
            <v>0.35305803204299102</v>
          </cell>
        </row>
        <row r="43">
          <cell r="A43" t="str">
            <v>AUD_BBSW_3M_EOD</v>
          </cell>
          <cell r="C43">
            <v>56858</v>
          </cell>
          <cell r="E43">
            <v>3.3556272440172903E-2</v>
          </cell>
          <cell r="F43">
            <v>0.26101686744102998</v>
          </cell>
        </row>
        <row r="44">
          <cell r="A44" t="str">
            <v>AUD_BBSW_6M_EOD</v>
          </cell>
          <cell r="C44">
            <v>42430</v>
          </cell>
          <cell r="E44">
            <v>2.1731828923236701E-2</v>
          </cell>
          <cell r="F44">
            <v>0.98922235469068898</v>
          </cell>
        </row>
        <row r="45">
          <cell r="A45" t="str">
            <v>AUD_BBSW_6M_EOD</v>
          </cell>
          <cell r="C45">
            <v>42614</v>
          </cell>
          <cell r="E45">
            <v>2.0644301713864398E-2</v>
          </cell>
          <cell r="F45">
            <v>0.97951193053247598</v>
          </cell>
        </row>
        <row r="46">
          <cell r="A46" t="str">
            <v>AUD_BBSW_6M_EOD</v>
          </cell>
          <cell r="C46">
            <v>42979</v>
          </cell>
          <cell r="E46">
            <v>2.0619054123177501E-2</v>
          </cell>
          <cell r="F46">
            <v>0.95954640707949401</v>
          </cell>
        </row>
        <row r="47">
          <cell r="A47" t="str">
            <v>AUD_BBSW_6M_EOD</v>
          </cell>
          <cell r="C47">
            <v>43346</v>
          </cell>
          <cell r="E47">
            <v>2.1549348779971202E-2</v>
          </cell>
          <cell r="F47">
            <v>0.93723131056940501</v>
          </cell>
        </row>
        <row r="48">
          <cell r="A48" t="str">
            <v>AUD_BBSW_6M_EOD</v>
          </cell>
          <cell r="C48">
            <v>43710</v>
          </cell>
          <cell r="E48">
            <v>2.2857802396551101E-2</v>
          </cell>
          <cell r="F48">
            <v>0.91250979638520102</v>
          </cell>
        </row>
        <row r="49">
          <cell r="A49" t="str">
            <v>AUD_BBSW_6M_EOD</v>
          </cell>
          <cell r="C49">
            <v>44075</v>
          </cell>
          <cell r="E49">
            <v>2.4359583326777599E-2</v>
          </cell>
          <cell r="F49">
            <v>0.88520909724930597</v>
          </cell>
        </row>
        <row r="50">
          <cell r="A50" t="str">
            <v>AUD_BBSW_6M_EOD</v>
          </cell>
          <cell r="C50">
            <v>44805</v>
          </cell>
          <cell r="E50">
            <v>2.73201665745849E-2</v>
          </cell>
          <cell r="F50">
            <v>0.82580974446873601</v>
          </cell>
        </row>
        <row r="51">
          <cell r="A51" t="str">
            <v>AUD_BBSW_6M_EOD</v>
          </cell>
          <cell r="C51">
            <v>45901</v>
          </cell>
          <cell r="E51">
            <v>3.0384207366950002E-2</v>
          </cell>
          <cell r="F51">
            <v>0.737793128855462</v>
          </cell>
        </row>
        <row r="52">
          <cell r="A52" t="str">
            <v>AUD_BBSW_6M_EOD</v>
          </cell>
          <cell r="C52">
            <v>46631</v>
          </cell>
          <cell r="E52">
            <v>3.1965077625240403E-2</v>
          </cell>
          <cell r="F52">
            <v>0.68123792483930501</v>
          </cell>
        </row>
        <row r="53">
          <cell r="A53" t="str">
            <v>AUD_BBSW_6M_EOD</v>
          </cell>
          <cell r="C53">
            <v>47728</v>
          </cell>
          <cell r="E53">
            <v>3.3593963069068297E-2</v>
          </cell>
          <cell r="F53">
            <v>0.60388612275324405</v>
          </cell>
        </row>
        <row r="54">
          <cell r="A54" t="str">
            <v>AUD_BBSW_6M_EOD</v>
          </cell>
          <cell r="C54">
            <v>49555</v>
          </cell>
          <cell r="E54">
            <v>3.5105167093918498E-2</v>
          </cell>
          <cell r="F54">
            <v>0.49520840161144197</v>
          </cell>
        </row>
        <row r="55">
          <cell r="A55" t="str">
            <v>AUD_BBSW_6M_EOD</v>
          </cell>
          <cell r="C55">
            <v>51382</v>
          </cell>
          <cell r="E55">
            <v>3.5262703094437901E-2</v>
          </cell>
          <cell r="F55">
            <v>0.41377328800344199</v>
          </cell>
        </row>
        <row r="56">
          <cell r="A56" t="str">
            <v>AUD_BBSW_6M_EOD</v>
          </cell>
          <cell r="C56">
            <v>53206</v>
          </cell>
          <cell r="E56">
            <v>3.4872481037897599E-2</v>
          </cell>
          <cell r="F56">
            <v>0.35101063406685101</v>
          </cell>
        </row>
        <row r="57">
          <cell r="A57" t="str">
            <v>AUD_BBSW_6M_EOD</v>
          </cell>
          <cell r="C57">
            <v>56858</v>
          </cell>
          <cell r="E57">
            <v>3.3784737535503602E-2</v>
          </cell>
          <cell r="F57">
            <v>0.25864078494701997</v>
          </cell>
        </row>
        <row r="58">
          <cell r="A58" t="str">
            <v>AUD_BBSW_EOD</v>
          </cell>
          <cell r="C58">
            <v>42249</v>
          </cell>
          <cell r="E58">
            <v>1.99994520748366E-2</v>
          </cell>
          <cell r="F58">
            <v>0.99994520848172697</v>
          </cell>
        </row>
        <row r="59">
          <cell r="A59" t="str">
            <v>AUD_BBSW_EOD</v>
          </cell>
          <cell r="C59">
            <v>42255</v>
          </cell>
          <cell r="E59">
            <v>2.0099573877958601E-2</v>
          </cell>
          <cell r="F59">
            <v>0.99961460300465699</v>
          </cell>
        </row>
        <row r="60">
          <cell r="A60" t="str">
            <v>AUD_BBSW_EOD</v>
          </cell>
          <cell r="C60">
            <v>42348</v>
          </cell>
          <cell r="E60">
            <v>2.0960947204541499E-2</v>
          </cell>
          <cell r="F60">
            <v>0.99427373266567398</v>
          </cell>
        </row>
        <row r="61">
          <cell r="A61" t="str">
            <v>AUD_BBSW_EOD</v>
          </cell>
          <cell r="C61">
            <v>42439</v>
          </cell>
          <cell r="E61">
            <v>2.0189048786207999E-2</v>
          </cell>
          <cell r="F61">
            <v>0.98949092990437904</v>
          </cell>
        </row>
        <row r="62">
          <cell r="A62" t="str">
            <v>AUD_BBSW_EOD</v>
          </cell>
          <cell r="C62">
            <v>42530</v>
          </cell>
          <cell r="E62">
            <v>1.9620468053299998E-2</v>
          </cell>
          <cell r="F62">
            <v>0.98495548928651899</v>
          </cell>
        </row>
        <row r="63">
          <cell r="A63" t="str">
            <v>AUD_BBSW_EOD</v>
          </cell>
          <cell r="C63">
            <v>42621</v>
          </cell>
          <cell r="E63">
            <v>1.9274672711763099E-2</v>
          </cell>
          <cell r="F63">
            <v>0.98049558977385498</v>
          </cell>
        </row>
        <row r="64">
          <cell r="A64" t="str">
            <v>AUD_BBSW_EOD</v>
          </cell>
          <cell r="C64">
            <v>42712</v>
          </cell>
          <cell r="E64">
            <v>1.9117031080334201E-2</v>
          </cell>
          <cell r="F64">
            <v>0.97599072233897799</v>
          </cell>
        </row>
        <row r="65">
          <cell r="A65" t="str">
            <v>AUD_BBSW_EOD</v>
          </cell>
          <cell r="C65">
            <v>42803</v>
          </cell>
          <cell r="E65">
            <v>1.9119126672779499E-2</v>
          </cell>
          <cell r="F65">
            <v>0.97134696329357095</v>
          </cell>
        </row>
        <row r="66">
          <cell r="A66" t="str">
            <v>AUD_BBSW_EOD</v>
          </cell>
          <cell r="C66">
            <v>42979</v>
          </cell>
          <cell r="E66">
            <v>1.9457110767313102E-2</v>
          </cell>
          <cell r="F66">
            <v>0.96178193896130804</v>
          </cell>
        </row>
        <row r="67">
          <cell r="A67" t="str">
            <v>AUD_BBSW_EOD</v>
          </cell>
          <cell r="C67">
            <v>43346</v>
          </cell>
          <cell r="E67">
            <v>2.0469994109628901E-2</v>
          </cell>
          <cell r="F67">
            <v>0.94027938588171001</v>
          </cell>
        </row>
        <row r="68">
          <cell r="A68" t="str">
            <v>AUD_BBSW_EOD</v>
          </cell>
          <cell r="C68">
            <v>43710</v>
          </cell>
          <cell r="E68">
            <v>2.29107792438977E-2</v>
          </cell>
          <cell r="F68">
            <v>0.91231618447210505</v>
          </cell>
        </row>
        <row r="69">
          <cell r="A69" t="str">
            <v>AUD_BBSW_EOD</v>
          </cell>
          <cell r="C69">
            <v>44075</v>
          </cell>
          <cell r="E69">
            <v>2.4413990093074499E-2</v>
          </cell>
          <cell r="F69">
            <v>0.88496805935167999</v>
          </cell>
        </row>
        <row r="70">
          <cell r="A70" t="str">
            <v>AUD_BBSW_EOD</v>
          </cell>
          <cell r="C70">
            <v>44805</v>
          </cell>
          <cell r="E70">
            <v>2.7384525573044698E-2</v>
          </cell>
          <cell r="F70">
            <v>0.82543749915135101</v>
          </cell>
        </row>
        <row r="71">
          <cell r="A71" t="str">
            <v>AUD_BBSW_EOD</v>
          </cell>
          <cell r="C71">
            <v>45901</v>
          </cell>
          <cell r="E71">
            <v>3.04632339569815E-2</v>
          </cell>
          <cell r="F71">
            <v>0.73720982758419695</v>
          </cell>
        </row>
        <row r="72">
          <cell r="A72" t="str">
            <v>AUD_BBSW_EOD</v>
          </cell>
          <cell r="C72">
            <v>46631</v>
          </cell>
          <cell r="E72">
            <v>3.2055777117508899E-2</v>
          </cell>
          <cell r="F72">
            <v>0.68049636569045102</v>
          </cell>
        </row>
        <row r="73">
          <cell r="A73" t="str">
            <v>AUD_BBSW_EOD</v>
          </cell>
          <cell r="C73">
            <v>47728</v>
          </cell>
          <cell r="E73">
            <v>3.3697372585873499E-2</v>
          </cell>
          <cell r="F73">
            <v>0.602949281163915</v>
          </cell>
        </row>
        <row r="74">
          <cell r="A74" t="str">
            <v>AUD_BBSW_EOD</v>
          </cell>
          <cell r="C74">
            <v>49555</v>
          </cell>
          <cell r="E74">
            <v>3.5220649084988197E-2</v>
          </cell>
          <cell r="F74">
            <v>0.49406487416157702</v>
          </cell>
        </row>
        <row r="75">
          <cell r="A75" t="str">
            <v>AUD_BBSW_EOD</v>
          </cell>
          <cell r="C75">
            <v>51382</v>
          </cell>
          <cell r="E75">
            <v>3.5366065299947597E-2</v>
          </cell>
          <cell r="F75">
            <v>0.41270440343287002</v>
          </cell>
        </row>
        <row r="76">
          <cell r="A76" t="str">
            <v>AUD_BBSW_EOD</v>
          </cell>
          <cell r="C76">
            <v>53206</v>
          </cell>
          <cell r="E76">
            <v>3.4951028746883897E-2</v>
          </cell>
          <cell r="F76">
            <v>0.35018387253327599</v>
          </cell>
        </row>
        <row r="77">
          <cell r="A77" t="str">
            <v>AUD_BBSW_EOD</v>
          </cell>
          <cell r="C77">
            <v>56858</v>
          </cell>
          <cell r="E77">
            <v>3.3804004151686502E-2</v>
          </cell>
          <cell r="F77">
            <v>0.25844140000549098</v>
          </cell>
        </row>
        <row r="78">
          <cell r="A78" t="str">
            <v>CAD_CDOR_1M_EOD</v>
          </cell>
          <cell r="C78">
            <v>42278</v>
          </cell>
          <cell r="E78">
            <v>7.4377261214683098E-3</v>
          </cell>
          <cell r="F78">
            <v>0.99938886686278405</v>
          </cell>
        </row>
        <row r="79">
          <cell r="A79" t="str">
            <v>CAD_CDOR_1M_EOD</v>
          </cell>
          <cell r="C79">
            <v>42310</v>
          </cell>
          <cell r="E79">
            <v>7.1456616014023196E-3</v>
          </cell>
          <cell r="F79">
            <v>0.99878695272289797</v>
          </cell>
        </row>
        <row r="80">
          <cell r="A80" t="str">
            <v>CAD_CDOR_1M_EOD</v>
          </cell>
          <cell r="C80">
            <v>42339</v>
          </cell>
          <cell r="E80">
            <v>6.8945956554461703E-3</v>
          </cell>
          <cell r="F80">
            <v>0.998282549920113</v>
          </cell>
        </row>
        <row r="81">
          <cell r="A81" t="str">
            <v>CAD_CDOR_1M_EOD</v>
          </cell>
          <cell r="C81">
            <v>42430</v>
          </cell>
          <cell r="E81">
            <v>6.3132526157385497E-3</v>
          </cell>
          <cell r="F81">
            <v>0.99685697167098397</v>
          </cell>
        </row>
        <row r="82">
          <cell r="A82" t="str">
            <v>CAD_CDOR_1M_EOD</v>
          </cell>
          <cell r="C82">
            <v>42522</v>
          </cell>
          <cell r="E82">
            <v>6.17640149280985E-3</v>
          </cell>
          <cell r="F82">
            <v>0.99537420058772297</v>
          </cell>
        </row>
        <row r="83">
          <cell r="A83" t="str">
            <v>CAD_CDOR_1M_EOD</v>
          </cell>
          <cell r="C83">
            <v>42614</v>
          </cell>
          <cell r="E83">
            <v>6.7788533528777301E-3</v>
          </cell>
          <cell r="F83">
            <v>0.99322562468623399</v>
          </cell>
        </row>
        <row r="84">
          <cell r="A84" t="str">
            <v>CAD_CDOR_1M_EOD</v>
          </cell>
          <cell r="C84">
            <v>42979</v>
          </cell>
          <cell r="E84">
            <v>6.68298429599025E-3</v>
          </cell>
          <cell r="F84">
            <v>0.98670489303870401</v>
          </cell>
        </row>
        <row r="85">
          <cell r="A85" t="str">
            <v>CAD_CDOR_1M_EOD</v>
          </cell>
          <cell r="C85">
            <v>43347</v>
          </cell>
          <cell r="E85">
            <v>7.8017980621845799E-3</v>
          </cell>
          <cell r="F85">
            <v>0.97678286985451002</v>
          </cell>
        </row>
        <row r="86">
          <cell r="A86" t="str">
            <v>CAD_CDOR_1M_EOD</v>
          </cell>
          <cell r="C86">
            <v>43711</v>
          </cell>
          <cell r="E86">
            <v>9.0496935773774507E-3</v>
          </cell>
          <cell r="F86">
            <v>0.96437683280809805</v>
          </cell>
        </row>
        <row r="87">
          <cell r="A87" t="str">
            <v>CAD_CDOR_1M_EOD</v>
          </cell>
          <cell r="C87">
            <v>44075</v>
          </cell>
          <cell r="E87">
            <v>1.05350100653234E-2</v>
          </cell>
          <cell r="F87">
            <v>0.94863347585889701</v>
          </cell>
        </row>
        <row r="88">
          <cell r="A88" t="str">
            <v>CAD_CDOR_1M_EOD</v>
          </cell>
          <cell r="C88">
            <v>44440</v>
          </cell>
          <cell r="E88">
            <v>1.2320705227900901E-2</v>
          </cell>
          <cell r="F88">
            <v>0.92867936276859298</v>
          </cell>
        </row>
        <row r="89">
          <cell r="A89" t="str">
            <v>CAD_CDOR_1M_EOD</v>
          </cell>
          <cell r="C89">
            <v>44805</v>
          </cell>
          <cell r="E89">
            <v>1.41711548862757E-2</v>
          </cell>
          <cell r="F89">
            <v>0.90549299805905303</v>
          </cell>
        </row>
        <row r="90">
          <cell r="A90" t="str">
            <v>CAD_CDOR_1M_EOD</v>
          </cell>
          <cell r="C90">
            <v>45170</v>
          </cell>
          <cell r="E90">
            <v>1.5908851149422601E-2</v>
          </cell>
          <cell r="F90">
            <v>0.88041844311816497</v>
          </cell>
        </row>
        <row r="91">
          <cell r="A91" t="str">
            <v>CAD_CDOR_1M_EOD</v>
          </cell>
          <cell r="C91">
            <v>45538</v>
          </cell>
          <cell r="E91">
            <v>1.7531385223262402E-2</v>
          </cell>
          <cell r="F91">
            <v>0.85383046556784703</v>
          </cell>
        </row>
        <row r="92">
          <cell r="A92" t="str">
            <v>CAD_CDOR_1M_EOD</v>
          </cell>
          <cell r="C92">
            <v>45902</v>
          </cell>
          <cell r="E92">
            <v>1.89679877257302E-2</v>
          </cell>
          <cell r="F92">
            <v>0.82705196894205601</v>
          </cell>
        </row>
        <row r="93">
          <cell r="A93" t="str">
            <v>CAD_CDOR_1M_EOD</v>
          </cell>
          <cell r="C93">
            <v>46631</v>
          </cell>
          <cell r="E93">
            <v>2.1382796124105301E-2</v>
          </cell>
          <cell r="F93">
            <v>0.77354664846152998</v>
          </cell>
        </row>
        <row r="94">
          <cell r="A94" t="str">
            <v>CAD_CDOR_1M_EOD</v>
          </cell>
          <cell r="C94">
            <v>47729</v>
          </cell>
          <cell r="E94">
            <v>2.3937959883821198E-2</v>
          </cell>
          <cell r="F94">
            <v>0.69805114939593604</v>
          </cell>
        </row>
        <row r="95">
          <cell r="A95" t="str">
            <v>CAD_CDOR_1M_EOD</v>
          </cell>
          <cell r="C95">
            <v>49556</v>
          </cell>
          <cell r="E95">
            <v>2.5637415665012198E-2</v>
          </cell>
          <cell r="F95">
            <v>0.59851108715005696</v>
          </cell>
        </row>
        <row r="96">
          <cell r="A96" t="str">
            <v>CAD_CDOR_1M_EOD</v>
          </cell>
          <cell r="C96">
            <v>51383</v>
          </cell>
          <cell r="E96">
            <v>2.5930227189564201E-2</v>
          </cell>
          <cell r="F96">
            <v>0.52258580061432502</v>
          </cell>
        </row>
        <row r="97">
          <cell r="A97" t="str">
            <v>CAD_CDOR_1M_EOD</v>
          </cell>
          <cell r="C97">
            <v>53206</v>
          </cell>
          <cell r="E97">
            <v>2.6162851470992801E-2</v>
          </cell>
          <cell r="F97">
            <v>0.45591040160113899</v>
          </cell>
        </row>
        <row r="98">
          <cell r="A98" t="str">
            <v>CAD_CDOR_3M_EOD</v>
          </cell>
          <cell r="C98">
            <v>42339</v>
          </cell>
          <cell r="E98">
            <v>7.4331082777186596E-3</v>
          </cell>
          <cell r="F98">
            <v>0.998148530189372</v>
          </cell>
        </row>
        <row r="99">
          <cell r="A99" t="str">
            <v>CAD_CDOR_3M_EOD</v>
          </cell>
          <cell r="C99">
            <v>42352</v>
          </cell>
          <cell r="E99">
            <v>7.0924735617384996E-3</v>
          </cell>
          <cell r="F99">
            <v>0.99798117140207099</v>
          </cell>
        </row>
        <row r="100">
          <cell r="A100" t="str">
            <v>CAD_CDOR_3M_EOD</v>
          </cell>
          <cell r="C100">
            <v>42443</v>
          </cell>
          <cell r="E100">
            <v>6.6956513653953203E-3</v>
          </cell>
          <cell r="F100">
            <v>0.99642926149170097</v>
          </cell>
        </row>
        <row r="101">
          <cell r="A101" t="str">
            <v>CAD_CDOR_3M_EOD</v>
          </cell>
          <cell r="C101">
            <v>42534</v>
          </cell>
          <cell r="E101">
            <v>6.5182960918305803E-3</v>
          </cell>
          <cell r="F101">
            <v>0.99490553423230399</v>
          </cell>
        </row>
        <row r="102">
          <cell r="A102" t="str">
            <v>CAD_CDOR_3M_EOD</v>
          </cell>
          <cell r="C102">
            <v>42632</v>
          </cell>
          <cell r="E102">
            <v>6.4832227834941102E-3</v>
          </cell>
          <cell r="F102">
            <v>0.99320250260376197</v>
          </cell>
        </row>
        <row r="103">
          <cell r="A103" t="str">
            <v>CAD_CDOR_3M_EOD</v>
          </cell>
          <cell r="C103">
            <v>42979</v>
          </cell>
          <cell r="E103">
            <v>7.1637015380994198E-3</v>
          </cell>
          <cell r="F103">
            <v>0.98575539854232497</v>
          </cell>
        </row>
        <row r="104">
          <cell r="A104" t="str">
            <v>CAD_CDOR_3M_EOD</v>
          </cell>
          <cell r="C104">
            <v>43347</v>
          </cell>
          <cell r="E104">
            <v>8.3031475702910508E-3</v>
          </cell>
          <cell r="F104">
            <v>0.97530948668708894</v>
          </cell>
        </row>
        <row r="105">
          <cell r="A105" t="str">
            <v>CAD_CDOR_3M_EOD</v>
          </cell>
          <cell r="C105">
            <v>43711</v>
          </cell>
          <cell r="E105">
            <v>9.6297541934498403E-3</v>
          </cell>
          <cell r="F105">
            <v>0.96213725147877505</v>
          </cell>
        </row>
        <row r="106">
          <cell r="A106" t="str">
            <v>CAD_CDOR_3M_EOD</v>
          </cell>
          <cell r="C106">
            <v>44075</v>
          </cell>
          <cell r="E106">
            <v>1.11798419327419E-2</v>
          </cell>
          <cell r="F106">
            <v>0.94557651466911796</v>
          </cell>
        </row>
        <row r="107">
          <cell r="A107" t="str">
            <v>CAD_CDOR_3M_EOD</v>
          </cell>
          <cell r="C107">
            <v>44440</v>
          </cell>
          <cell r="E107">
            <v>1.2937434542096799E-2</v>
          </cell>
          <cell r="F107">
            <v>0.92524612359090297</v>
          </cell>
        </row>
        <row r="108">
          <cell r="A108" t="str">
            <v>CAD_CDOR_3M_EOD</v>
          </cell>
          <cell r="C108">
            <v>44805</v>
          </cell>
          <cell r="E108">
            <v>1.47696851481007E-2</v>
          </cell>
          <cell r="F108">
            <v>0.90170422236254799</v>
          </cell>
        </row>
        <row r="109">
          <cell r="A109" t="str">
            <v>CAD_CDOR_3M_EOD</v>
          </cell>
          <cell r="C109">
            <v>45170</v>
          </cell>
          <cell r="E109">
            <v>1.64982752341181E-2</v>
          </cell>
          <cell r="F109">
            <v>0.87627386696732701</v>
          </cell>
        </row>
        <row r="110">
          <cell r="A110" t="str">
            <v>CAD_CDOR_3M_EOD</v>
          </cell>
          <cell r="C110">
            <v>45538</v>
          </cell>
          <cell r="E110">
            <v>1.80935800440119E-2</v>
          </cell>
          <cell r="F110">
            <v>0.84951466267762499</v>
          </cell>
        </row>
        <row r="111">
          <cell r="A111" t="str">
            <v>CAD_CDOR_3M_EOD</v>
          </cell>
          <cell r="C111">
            <v>45902</v>
          </cell>
          <cell r="E111">
            <v>1.94953772471449E-2</v>
          </cell>
          <cell r="F111">
            <v>0.82269691024568703</v>
          </cell>
        </row>
        <row r="112">
          <cell r="A112" t="str">
            <v>CAD_CDOR_3M_EOD</v>
          </cell>
          <cell r="C112">
            <v>46631</v>
          </cell>
          <cell r="E112">
            <v>2.1865978688637398E-2</v>
          </cell>
          <cell r="F112">
            <v>0.76907140099656301</v>
          </cell>
        </row>
        <row r="113">
          <cell r="A113" t="str">
            <v>CAD_CDOR_3M_EOD</v>
          </cell>
          <cell r="C113">
            <v>47729</v>
          </cell>
          <cell r="E113">
            <v>2.4353431730515102E-2</v>
          </cell>
          <cell r="F113">
            <v>0.69370963018265897</v>
          </cell>
        </row>
        <row r="114">
          <cell r="A114" t="str">
            <v>CAD_CDOR_3M_EOD</v>
          </cell>
          <cell r="C114">
            <v>49556</v>
          </cell>
          <cell r="E114">
            <v>2.59186055432786E-2</v>
          </cell>
          <cell r="F114">
            <v>0.59515096085680397</v>
          </cell>
        </row>
        <row r="115">
          <cell r="A115" t="str">
            <v>CAD_CDOR_3M_EOD</v>
          </cell>
          <cell r="C115">
            <v>51383</v>
          </cell>
          <cell r="E115">
            <v>2.6186435350294301E-2</v>
          </cell>
          <cell r="F115">
            <v>0.51924558425634504</v>
          </cell>
        </row>
        <row r="116">
          <cell r="A116" t="str">
            <v>CAD_CDOR_3M_EOD</v>
          </cell>
          <cell r="C116">
            <v>53206</v>
          </cell>
          <cell r="E116">
            <v>2.62996111796958E-2</v>
          </cell>
          <cell r="F116">
            <v>0.45404236731172798</v>
          </cell>
        </row>
        <row r="117">
          <cell r="A117" t="str">
            <v>CAD_CDOR_EOD</v>
          </cell>
          <cell r="C117">
            <v>42249</v>
          </cell>
          <cell r="E117">
            <v>5.9559514060638502E-3</v>
          </cell>
          <cell r="F117">
            <v>0.99998368245804703</v>
          </cell>
        </row>
        <row r="118">
          <cell r="A118" t="str">
            <v>CAD_CDOR_EOD</v>
          </cell>
          <cell r="C118">
            <v>42255</v>
          </cell>
          <cell r="E118">
            <v>6.2626583742204497E-3</v>
          </cell>
          <cell r="F118">
            <v>0.99987990143536998</v>
          </cell>
        </row>
        <row r="119">
          <cell r="A119" t="str">
            <v>CAD_CDOR_EOD</v>
          </cell>
          <cell r="C119">
            <v>42352</v>
          </cell>
          <cell r="E119">
            <v>6.9514933675636397E-3</v>
          </cell>
          <cell r="F119">
            <v>0.99802126081067999</v>
          </cell>
        </row>
        <row r="120">
          <cell r="A120" t="str">
            <v>CAD_CDOR_EOD</v>
          </cell>
          <cell r="C120">
            <v>42443</v>
          </cell>
          <cell r="E120">
            <v>6.6204619285027003E-3</v>
          </cell>
          <cell r="F120">
            <v>0.99646928855930295</v>
          </cell>
        </row>
        <row r="121">
          <cell r="A121" t="str">
            <v>CAD_CDOR_EOD</v>
          </cell>
          <cell r="C121">
            <v>42534</v>
          </cell>
          <cell r="E121">
            <v>6.4670305666772497E-3</v>
          </cell>
          <cell r="F121">
            <v>0.99494550009101101</v>
          </cell>
        </row>
        <row r="122">
          <cell r="A122" t="str">
            <v>CAD_CDOR_EOD</v>
          </cell>
          <cell r="C122">
            <v>42632</v>
          </cell>
          <cell r="E122">
            <v>6.4450406475717297E-3</v>
          </cell>
          <cell r="F122">
            <v>0.99324240005082698</v>
          </cell>
        </row>
        <row r="123">
          <cell r="A123" t="str">
            <v>CAD_CDOR_EOD</v>
          </cell>
          <cell r="C123">
            <v>42979</v>
          </cell>
          <cell r="E123">
            <v>7.1648916747094797E-3</v>
          </cell>
          <cell r="F123">
            <v>0.98575304896374705</v>
          </cell>
        </row>
        <row r="124">
          <cell r="A124" t="str">
            <v>CAD_CDOR_EOD</v>
          </cell>
          <cell r="C124">
            <v>43347</v>
          </cell>
          <cell r="E124">
            <v>8.3072008414432404E-3</v>
          </cell>
          <cell r="F124">
            <v>0.97529758385562904</v>
          </cell>
        </row>
        <row r="125">
          <cell r="A125" t="str">
            <v>CAD_CDOR_EOD</v>
          </cell>
          <cell r="C125">
            <v>43711</v>
          </cell>
          <cell r="E125">
            <v>9.6394675043626008E-3</v>
          </cell>
          <cell r="F125">
            <v>0.96209979324226103</v>
          </cell>
        </row>
        <row r="126">
          <cell r="A126" t="str">
            <v>CAD_CDOR_EOD</v>
          </cell>
          <cell r="C126">
            <v>44075</v>
          </cell>
          <cell r="E126">
            <v>1.11971927763819E-2</v>
          </cell>
          <cell r="F126">
            <v>0.94549439558497805</v>
          </cell>
        </row>
        <row r="127">
          <cell r="A127" t="str">
            <v>CAD_CDOR_EOD</v>
          </cell>
          <cell r="C127">
            <v>44440</v>
          </cell>
          <cell r="E127">
            <v>1.2964584264948099E-2</v>
          </cell>
          <cell r="F127">
            <v>0.92509527718902396</v>
          </cell>
        </row>
        <row r="128">
          <cell r="A128" t="str">
            <v>CAD_CDOR_EOD</v>
          </cell>
          <cell r="C128">
            <v>44805</v>
          </cell>
          <cell r="E128">
            <v>1.48091311371221E-2</v>
          </cell>
          <cell r="F128">
            <v>0.90145508158716303</v>
          </cell>
        </row>
        <row r="129">
          <cell r="A129" t="str">
            <v>CAD_CDOR_EOD</v>
          </cell>
          <cell r="C129">
            <v>45170</v>
          </cell>
          <cell r="E129">
            <v>1.65523467637014E-2</v>
          </cell>
          <cell r="F129">
            <v>0.87589463768040798</v>
          </cell>
        </row>
        <row r="130">
          <cell r="A130" t="str">
            <v>CAD_CDOR_EOD</v>
          </cell>
          <cell r="C130">
            <v>45538</v>
          </cell>
          <cell r="E130">
            <v>1.8162926725520299E-2</v>
          </cell>
          <cell r="F130">
            <v>0.84898382239604298</v>
          </cell>
        </row>
        <row r="131">
          <cell r="A131" t="str">
            <v>CAD_CDOR_EOD</v>
          </cell>
          <cell r="C131">
            <v>45902</v>
          </cell>
          <cell r="E131">
            <v>1.9577705941070601E-2</v>
          </cell>
          <cell r="F131">
            <v>0.82201913170805296</v>
          </cell>
        </row>
        <row r="132">
          <cell r="A132" t="str">
            <v>CAD_CDOR_EOD</v>
          </cell>
          <cell r="C132">
            <v>46631</v>
          </cell>
          <cell r="E132">
            <v>2.1970757949708899E-2</v>
          </cell>
          <cell r="F132">
            <v>0.76810435437800595</v>
          </cell>
        </row>
        <row r="133">
          <cell r="A133" t="str">
            <v>CAD_CDOR_EOD</v>
          </cell>
          <cell r="C133">
            <v>47729</v>
          </cell>
          <cell r="E133">
            <v>2.4485966812743499E-2</v>
          </cell>
          <cell r="F133">
            <v>0.69233037883447401</v>
          </cell>
        </row>
        <row r="134">
          <cell r="A134" t="str">
            <v>CAD_CDOR_EOD</v>
          </cell>
          <cell r="C134">
            <v>49556</v>
          </cell>
          <cell r="E134">
            <v>2.6062016213940099E-2</v>
          </cell>
          <cell r="F134">
            <v>0.59344452125194702</v>
          </cell>
        </row>
        <row r="135">
          <cell r="A135" t="str">
            <v>CAD_CDOR_EOD</v>
          </cell>
          <cell r="C135">
            <v>51383</v>
          </cell>
          <cell r="E135">
            <v>2.6317091240113302E-2</v>
          </cell>
          <cell r="F135">
            <v>0.51755043626956998</v>
          </cell>
        </row>
        <row r="136">
          <cell r="A136" t="str">
            <v>CAD_CDOR_EOD</v>
          </cell>
          <cell r="C136">
            <v>53206</v>
          </cell>
          <cell r="E136">
            <v>2.6419834888289698E-2</v>
          </cell>
          <cell r="F136">
            <v>0.45240652511052598</v>
          </cell>
        </row>
        <row r="137">
          <cell r="A137" t="str">
            <v>CAD_CORRA_EOD</v>
          </cell>
          <cell r="C137">
            <v>42249</v>
          </cell>
          <cell r="E137">
            <v>5.9559514060638502E-3</v>
          </cell>
          <cell r="F137">
            <v>0.99998368245804703</v>
          </cell>
        </row>
        <row r="138">
          <cell r="A138" t="str">
            <v>CAD_CORRA_EOD</v>
          </cell>
          <cell r="C138">
            <v>42256</v>
          </cell>
          <cell r="E138">
            <v>5.2417722690230196E-3</v>
          </cell>
          <cell r="F138">
            <v>0.999885118440071</v>
          </cell>
        </row>
        <row r="139">
          <cell r="A139" t="str">
            <v>CAD_CORRA_EOD</v>
          </cell>
          <cell r="C139">
            <v>42279</v>
          </cell>
          <cell r="E139">
            <v>4.6428990422103999E-3</v>
          </cell>
          <cell r="F139">
            <v>0.99960574932542601</v>
          </cell>
        </row>
        <row r="140">
          <cell r="A140" t="str">
            <v>CAD_CORRA_EOD</v>
          </cell>
          <cell r="C140">
            <v>42310</v>
          </cell>
          <cell r="E140">
            <v>4.4759394337750003E-3</v>
          </cell>
          <cell r="F140">
            <v>0.99923999239084305</v>
          </cell>
        </row>
        <row r="141">
          <cell r="A141" t="str">
            <v>CAD_CORRA_EOD</v>
          </cell>
          <cell r="C141">
            <v>42340</v>
          </cell>
          <cell r="E141">
            <v>4.3239551550740603E-3</v>
          </cell>
          <cell r="F141">
            <v>0.99891072006842996</v>
          </cell>
        </row>
        <row r="142">
          <cell r="A142" t="str">
            <v>CAD_CORRA_EOD</v>
          </cell>
          <cell r="C142">
            <v>42373</v>
          </cell>
          <cell r="E142">
            <v>4.1615482740139402E-3</v>
          </cell>
          <cell r="F142">
            <v>0.99857582733271699</v>
          </cell>
        </row>
        <row r="143">
          <cell r="A143" t="str">
            <v>CAD_CORRA_EOD</v>
          </cell>
          <cell r="C143">
            <v>42402</v>
          </cell>
          <cell r="E143">
            <v>4.0490464596986903E-3</v>
          </cell>
          <cell r="F143">
            <v>0.99829309361687901</v>
          </cell>
        </row>
        <row r="144">
          <cell r="A144" t="str">
            <v>CAD_CORRA_EOD</v>
          </cell>
          <cell r="C144">
            <v>42431</v>
          </cell>
          <cell r="E144">
            <v>3.9339375297102203E-3</v>
          </cell>
          <cell r="F144">
            <v>0.998029586098934</v>
          </cell>
        </row>
        <row r="145">
          <cell r="A145" t="str">
            <v>CAD_CORRA_EOD</v>
          </cell>
          <cell r="C145">
            <v>42464</v>
          </cell>
          <cell r="E145">
            <v>3.8454798025403599E-3</v>
          </cell>
          <cell r="F145">
            <v>0.99772690620117199</v>
          </cell>
        </row>
        <row r="146">
          <cell r="A146" t="str">
            <v>CAD_CORRA_EOD</v>
          </cell>
          <cell r="C146">
            <v>42492</v>
          </cell>
          <cell r="E146">
            <v>3.7891559831078202E-3</v>
          </cell>
          <cell r="F146">
            <v>0.99747018057876502</v>
          </cell>
        </row>
        <row r="147">
          <cell r="A147" t="str">
            <v>CAD_CORRA_EOD</v>
          </cell>
          <cell r="C147">
            <v>42523</v>
          </cell>
          <cell r="E147">
            <v>3.74614863295754E-3</v>
          </cell>
          <cell r="F147">
            <v>0.99718153859033898</v>
          </cell>
        </row>
        <row r="148">
          <cell r="A148" t="str">
            <v>CAD_CORRA_EOD</v>
          </cell>
          <cell r="C148">
            <v>42555</v>
          </cell>
          <cell r="E148">
            <v>3.72151336347711E-3</v>
          </cell>
          <cell r="F148">
            <v>0.99687474421466504</v>
          </cell>
        </row>
        <row r="149">
          <cell r="A149" t="str">
            <v>CAD_CORRA_EOD</v>
          </cell>
          <cell r="C149">
            <v>42584</v>
          </cell>
          <cell r="E149">
            <v>3.7104010353827301E-3</v>
          </cell>
          <cell r="F149">
            <v>0.99659022448407497</v>
          </cell>
        </row>
        <row r="150">
          <cell r="A150" t="str">
            <v>CAD_CORRA_EOD</v>
          </cell>
          <cell r="C150">
            <v>42615</v>
          </cell>
          <cell r="E150">
            <v>3.70428677106304E-3</v>
          </cell>
          <cell r="F150">
            <v>0.99628234342747801</v>
          </cell>
        </row>
        <row r="151">
          <cell r="A151" t="str">
            <v>CAD_CORRA_EOD</v>
          </cell>
          <cell r="C151">
            <v>42796</v>
          </cell>
          <cell r="E151">
            <v>3.9467929464496003E-3</v>
          </cell>
          <cell r="F151">
            <v>0.99409192573257898</v>
          </cell>
        </row>
        <row r="152">
          <cell r="A152" t="str">
            <v>CAD_CORRA_EOD</v>
          </cell>
          <cell r="C152">
            <v>42983</v>
          </cell>
          <cell r="E152">
            <v>4.4090284637123599E-3</v>
          </cell>
          <cell r="F152">
            <v>0.99116084251508496</v>
          </cell>
        </row>
        <row r="153">
          <cell r="A153" t="str">
            <v>CAD_CORRA_EOD</v>
          </cell>
          <cell r="C153">
            <v>43347</v>
          </cell>
          <cell r="E153">
            <v>5.5633617762407498E-3</v>
          </cell>
          <cell r="F153">
            <v>0.98338846510755995</v>
          </cell>
        </row>
        <row r="154">
          <cell r="A154" t="str">
            <v>CAD_CORRA_EOD</v>
          </cell>
          <cell r="C154">
            <v>43711</v>
          </cell>
          <cell r="E154">
            <v>6.8580891188661803E-3</v>
          </cell>
          <cell r="F154">
            <v>0.97288565242796898</v>
          </cell>
        </row>
        <row r="155">
          <cell r="A155" t="str">
            <v>CAD_CORRA_EOD</v>
          </cell>
          <cell r="C155">
            <v>44076</v>
          </cell>
          <cell r="E155">
            <v>8.3760862719767393E-3</v>
          </cell>
          <cell r="F155">
            <v>0.95891841960830004</v>
          </cell>
        </row>
        <row r="156">
          <cell r="A156" t="str">
            <v>CAD_CORRA_EOD</v>
          </cell>
          <cell r="C156">
            <v>44806</v>
          </cell>
          <cell r="E156">
            <v>1.1986349509806E-2</v>
          </cell>
          <cell r="F156">
            <v>0.919428530436178</v>
          </cell>
        </row>
        <row r="157">
          <cell r="A157" t="str">
            <v>CAD_CORRA_EOD</v>
          </cell>
          <cell r="C157">
            <v>45902</v>
          </cell>
          <cell r="E157">
            <v>1.6721487377680901E-2</v>
          </cell>
          <cell r="F157">
            <v>0.84586278690184802</v>
          </cell>
        </row>
        <row r="158">
          <cell r="A158" t="str">
            <v>CAD_CORRA_EOD</v>
          </cell>
          <cell r="C158">
            <v>46632</v>
          </cell>
          <cell r="E158">
            <v>1.9182328704847401E-2</v>
          </cell>
          <cell r="F158">
            <v>0.79421731257799699</v>
          </cell>
        </row>
        <row r="159">
          <cell r="A159" t="str">
            <v>CAD_CORRA_EOD</v>
          </cell>
          <cell r="C159">
            <v>47729</v>
          </cell>
          <cell r="E159">
            <v>2.16195168539631E-2</v>
          </cell>
          <cell r="F159">
            <v>0.72278162531060097</v>
          </cell>
        </row>
        <row r="160">
          <cell r="A160" t="str">
            <v>CAD_CORRA_EOD</v>
          </cell>
          <cell r="C160">
            <v>49556</v>
          </cell>
          <cell r="E160">
            <v>2.3214048280118801E-2</v>
          </cell>
          <cell r="F160">
            <v>0.62826717401256604</v>
          </cell>
        </row>
        <row r="161">
          <cell r="A161" t="str">
            <v>CAD_CORRA_EOD</v>
          </cell>
          <cell r="C161">
            <v>53210</v>
          </cell>
          <cell r="E161">
            <v>2.3639637179275801E-2</v>
          </cell>
          <cell r="F161">
            <v>0.49166076175937701</v>
          </cell>
        </row>
        <row r="162">
          <cell r="A162" t="str">
            <v>CHF_LIBOR_12M_EOD</v>
          </cell>
          <cell r="C162">
            <v>42618</v>
          </cell>
          <cell r="E162">
            <v>-5.7042884408374803E-3</v>
          </cell>
          <cell r="F162">
            <v>1.0057991798938</v>
          </cell>
        </row>
        <row r="163">
          <cell r="A163" t="str">
            <v>CHF_LIBOR_12M_EOD</v>
          </cell>
          <cell r="C163">
            <v>42982</v>
          </cell>
          <cell r="E163">
            <v>-5.0737568442869498E-3</v>
          </cell>
          <cell r="F163">
            <v>1.0102553457791501</v>
          </cell>
        </row>
        <row r="164">
          <cell r="A164" t="str">
            <v>CHF_LIBOR_12M_EOD</v>
          </cell>
          <cell r="C164">
            <v>43346</v>
          </cell>
          <cell r="E164">
            <v>-4.2112398192286401E-3</v>
          </cell>
          <cell r="F164">
            <v>1.0127489156360301</v>
          </cell>
        </row>
        <row r="165">
          <cell r="A165" t="str">
            <v>CHF_LIBOR_12M_EOD</v>
          </cell>
          <cell r="C165">
            <v>43711</v>
          </cell>
          <cell r="E165">
            <v>-3.0692403518600801E-3</v>
          </cell>
          <cell r="F165">
            <v>1.0123781712225299</v>
          </cell>
        </row>
        <row r="166">
          <cell r="A166" t="str">
            <v>CHF_LIBOR_12M_EOD</v>
          </cell>
          <cell r="C166">
            <v>44077</v>
          </cell>
          <cell r="E166">
            <v>-1.7110398941126001E-3</v>
          </cell>
          <cell r="F166">
            <v>1.00861081218157</v>
          </cell>
        </row>
        <row r="167">
          <cell r="A167" t="str">
            <v>CHF_LIBOR_12M_EOD</v>
          </cell>
          <cell r="C167">
            <v>44442</v>
          </cell>
          <cell r="E167">
            <v>-3.0696937788254002E-4</v>
          </cell>
          <cell r="F167">
            <v>1.0018468837079999</v>
          </cell>
        </row>
        <row r="168">
          <cell r="A168" t="str">
            <v>CHF_LIBOR_12M_EOD</v>
          </cell>
          <cell r="C168">
            <v>44809</v>
          </cell>
          <cell r="E168">
            <v>1.0518549611893901E-3</v>
          </cell>
          <cell r="F168">
            <v>0.99264689186309896</v>
          </cell>
        </row>
        <row r="169">
          <cell r="A169" t="str">
            <v>CHF_LIBOR_12M_EOD</v>
          </cell>
          <cell r="C169">
            <v>45173</v>
          </cell>
          <cell r="E169">
            <v>2.2433977643007801E-3</v>
          </cell>
          <cell r="F169">
            <v>0.98218272500848502</v>
          </cell>
        </row>
        <row r="170">
          <cell r="A170" t="str">
            <v>CHF_LIBOR_12M_EOD</v>
          </cell>
          <cell r="C170">
            <v>45538</v>
          </cell>
          <cell r="E170">
            <v>3.2638803286616199E-3</v>
          </cell>
          <cell r="F170">
            <v>0.97100891095005304</v>
          </cell>
        </row>
        <row r="171">
          <cell r="A171" t="str">
            <v>CHF_LIBOR_12M_EOD</v>
          </cell>
          <cell r="C171">
            <v>45903</v>
          </cell>
          <cell r="E171">
            <v>4.0982958700199103E-3</v>
          </cell>
          <cell r="F171">
            <v>0.95979160161251798</v>
          </cell>
        </row>
        <row r="172">
          <cell r="A172" t="str">
            <v>CHF_LIBOR_12M_EOD</v>
          </cell>
          <cell r="C172">
            <v>46633</v>
          </cell>
          <cell r="E172">
            <v>5.5259856518664599E-3</v>
          </cell>
          <cell r="F172">
            <v>0.93576815928606405</v>
          </cell>
        </row>
        <row r="173">
          <cell r="A173" t="str">
            <v>CHF_LIBOR_12M_EOD</v>
          </cell>
          <cell r="C173">
            <v>47729</v>
          </cell>
          <cell r="E173">
            <v>6.9740206785813899E-3</v>
          </cell>
          <cell r="F173">
            <v>0.90057218945122397</v>
          </cell>
        </row>
        <row r="174">
          <cell r="A174" t="str">
            <v>CHF_LIBOR_12M_EOD</v>
          </cell>
          <cell r="C174">
            <v>49555</v>
          </cell>
          <cell r="E174">
            <v>8.4232409530464302E-3</v>
          </cell>
          <cell r="F174">
            <v>0.84482450408510001</v>
          </cell>
        </row>
        <row r="175">
          <cell r="A175" t="str">
            <v>CHF_LIBOR_12M_EOD</v>
          </cell>
          <cell r="C175">
            <v>51382</v>
          </cell>
          <cell r="E175">
            <v>9.0401561047358508E-3</v>
          </cell>
          <cell r="F175">
            <v>0.79753719127960798</v>
          </cell>
        </row>
        <row r="176">
          <cell r="A176" t="str">
            <v>CHF_LIBOR_12M_EOD</v>
          </cell>
          <cell r="C176">
            <v>53209</v>
          </cell>
          <cell r="E176">
            <v>9.2965224574546902E-3</v>
          </cell>
          <cell r="F176">
            <v>0.75640688274504397</v>
          </cell>
        </row>
        <row r="177">
          <cell r="A177" t="str">
            <v>CHF_LIBOR_12M_EOD</v>
          </cell>
          <cell r="C177">
            <v>56860</v>
          </cell>
          <cell r="E177">
            <v>9.9121605411053894E-3</v>
          </cell>
          <cell r="F177">
            <v>0.67246023397183396</v>
          </cell>
        </row>
        <row r="178">
          <cell r="A178" t="str">
            <v>CHF_LIBOR_3M_EOD</v>
          </cell>
          <cell r="C178">
            <v>42341</v>
          </cell>
          <cell r="E178">
            <v>-7.3472807782197103E-3</v>
          </cell>
          <cell r="F178">
            <v>1.0018738002569501</v>
          </cell>
        </row>
        <row r="179">
          <cell r="A179" t="str">
            <v>CHF_LIBOR_3M_EOD</v>
          </cell>
          <cell r="C179">
            <v>42354</v>
          </cell>
          <cell r="E179">
            <v>-7.3996017709860099E-3</v>
          </cell>
          <cell r="F179">
            <v>1.0021512360409099</v>
          </cell>
        </row>
        <row r="180">
          <cell r="A180" t="str">
            <v>CHF_LIBOR_3M_EOD</v>
          </cell>
          <cell r="C180">
            <v>42445</v>
          </cell>
          <cell r="E180">
            <v>-7.4514456856607401E-3</v>
          </cell>
          <cell r="F180">
            <v>1.00402983722373</v>
          </cell>
        </row>
        <row r="181">
          <cell r="A181" t="str">
            <v>CHF_LIBOR_3M_EOD</v>
          </cell>
          <cell r="C181">
            <v>42536</v>
          </cell>
          <cell r="E181">
            <v>-7.5036116932333903E-3</v>
          </cell>
          <cell r="F181">
            <v>1.0059382197310101</v>
          </cell>
        </row>
        <row r="182">
          <cell r="A182" t="str">
            <v>CHF_LIBOR_3M_EOD</v>
          </cell>
          <cell r="C182">
            <v>42634</v>
          </cell>
          <cell r="E182">
            <v>-7.5072665910552701E-3</v>
          </cell>
          <cell r="F182">
            <v>1.0079707904672099</v>
          </cell>
        </row>
        <row r="183">
          <cell r="A183" t="str">
            <v>CHF_LIBOR_3M_EOD</v>
          </cell>
          <cell r="C183">
            <v>42982</v>
          </cell>
          <cell r="E183">
            <v>-7.2538393043682396E-3</v>
          </cell>
          <cell r="F183">
            <v>1.0146940847578401</v>
          </cell>
        </row>
        <row r="184">
          <cell r="A184" t="str">
            <v>CHF_LIBOR_3M_EOD</v>
          </cell>
          <cell r="C184">
            <v>43346</v>
          </cell>
          <cell r="E184">
            <v>-6.5657174209110504E-3</v>
          </cell>
          <cell r="F184">
            <v>1.0199474609157799</v>
          </cell>
        </row>
        <row r="185">
          <cell r="A185" t="str">
            <v>CHF_LIBOR_3M_EOD</v>
          </cell>
          <cell r="C185">
            <v>43711</v>
          </cell>
          <cell r="E185">
            <v>-5.5228113365364496E-3</v>
          </cell>
          <cell r="F185">
            <v>1.02238347168282</v>
          </cell>
        </row>
        <row r="186">
          <cell r="A186" t="str">
            <v>CHF_LIBOR_3M_EOD</v>
          </cell>
          <cell r="C186">
            <v>44077</v>
          </cell>
          <cell r="E186">
            <v>-4.2357390256022196E-3</v>
          </cell>
          <cell r="F186">
            <v>1.0214519690860999</v>
          </cell>
        </row>
        <row r="187">
          <cell r="A187" t="str">
            <v>CHF_LIBOR_3M_EOD</v>
          </cell>
          <cell r="C187">
            <v>44442</v>
          </cell>
          <cell r="E187">
            <v>-2.85403318272389E-3</v>
          </cell>
          <cell r="F187">
            <v>1.0173034764809299</v>
          </cell>
        </row>
        <row r="188">
          <cell r="A188" t="str">
            <v>CHF_LIBOR_3M_EOD</v>
          </cell>
          <cell r="C188">
            <v>44809</v>
          </cell>
          <cell r="E188">
            <v>-1.4923674606741699E-3</v>
          </cell>
          <cell r="F188">
            <v>1.0105261181560801</v>
          </cell>
        </row>
        <row r="189">
          <cell r="A189" t="str">
            <v>CHF_LIBOR_3M_EOD</v>
          </cell>
          <cell r="C189">
            <v>45173</v>
          </cell>
          <cell r="E189">
            <v>-2.7312118975850001E-4</v>
          </cell>
          <cell r="F189">
            <v>1.00219110788038</v>
          </cell>
        </row>
        <row r="190">
          <cell r="A190" t="str">
            <v>CHF_LIBOR_3M_EOD</v>
          </cell>
          <cell r="C190">
            <v>45538</v>
          </cell>
          <cell r="E190">
            <v>7.5009123178469998E-4</v>
          </cell>
          <cell r="F190">
            <v>0.99326170847916395</v>
          </cell>
        </row>
        <row r="191">
          <cell r="A191" t="str">
            <v>CHF_LIBOR_3M_EOD</v>
          </cell>
          <cell r="C191">
            <v>45903</v>
          </cell>
          <cell r="E191">
            <v>1.6368255029875101E-3</v>
          </cell>
          <cell r="F191">
            <v>0.98374291894722599</v>
          </cell>
        </row>
        <row r="192">
          <cell r="A192" t="str">
            <v>CHF_LIBOR_3M_EOD</v>
          </cell>
          <cell r="C192">
            <v>46633</v>
          </cell>
          <cell r="E192">
            <v>3.1436867370956299E-3</v>
          </cell>
          <cell r="F192">
            <v>0.96293698539970995</v>
          </cell>
        </row>
        <row r="193">
          <cell r="A193" t="str">
            <v>CHF_LIBOR_3M_EOD</v>
          </cell>
          <cell r="C193">
            <v>47729</v>
          </cell>
          <cell r="E193">
            <v>4.7499298964727996E-3</v>
          </cell>
          <cell r="F193">
            <v>0.93115732642702498</v>
          </cell>
        </row>
        <row r="194">
          <cell r="A194" t="str">
            <v>CHF_LIBOR_3M_EOD</v>
          </cell>
          <cell r="C194">
            <v>49555</v>
          </cell>
          <cell r="E194">
            <v>6.4120977268286904E-3</v>
          </cell>
          <cell r="F194">
            <v>0.87953235610793501</v>
          </cell>
        </row>
        <row r="195">
          <cell r="A195" t="str">
            <v>CHF_LIBOR_3M_EOD</v>
          </cell>
          <cell r="C195">
            <v>51382</v>
          </cell>
          <cell r="E195">
            <v>7.1350869443452302E-3</v>
          </cell>
          <cell r="F195">
            <v>0.83647963255701996</v>
          </cell>
        </row>
        <row r="196">
          <cell r="A196" t="str">
            <v>CHF_LIBOR_3M_EOD</v>
          </cell>
          <cell r="C196">
            <v>53209</v>
          </cell>
          <cell r="E196">
            <v>7.4717039055048097E-3</v>
          </cell>
          <cell r="F196">
            <v>0.79901441521859895</v>
          </cell>
        </row>
        <row r="197">
          <cell r="A197" t="str">
            <v>CHF_LIBOR_3M_EOD</v>
          </cell>
          <cell r="C197">
            <v>56860</v>
          </cell>
          <cell r="E197">
            <v>7.4297897421056903E-3</v>
          </cell>
          <cell r="F197">
            <v>0.74272022218607503</v>
          </cell>
        </row>
        <row r="198">
          <cell r="A198" t="str">
            <v>CHF_LIBOR_6M_EOD</v>
          </cell>
          <cell r="C198">
            <v>42432</v>
          </cell>
          <cell r="E198">
            <v>-6.8452802016115604E-3</v>
          </cell>
          <cell r="F198">
            <v>1.00345673215534</v>
          </cell>
        </row>
        <row r="199">
          <cell r="A199" t="str">
            <v>CHF_LIBOR_6M_EOD</v>
          </cell>
          <cell r="C199">
            <v>42618</v>
          </cell>
          <cell r="E199">
            <v>-6.7078347256213098E-3</v>
          </cell>
          <cell r="F199">
            <v>1.00682289347624</v>
          </cell>
        </row>
        <row r="200">
          <cell r="A200" t="str">
            <v>CHF_LIBOR_6M_EOD</v>
          </cell>
          <cell r="C200">
            <v>42797</v>
          </cell>
          <cell r="E200">
            <v>-6.5473405258792703E-3</v>
          </cell>
          <cell r="F200">
            <v>1.0098965679791601</v>
          </cell>
        </row>
        <row r="201">
          <cell r="A201" t="str">
            <v>CHF_LIBOR_6M_EOD</v>
          </cell>
          <cell r="C201">
            <v>42982</v>
          </cell>
          <cell r="E201">
            <v>-6.30262680479436E-3</v>
          </cell>
          <cell r="F201">
            <v>1.0127549831389699</v>
          </cell>
        </row>
        <row r="202">
          <cell r="A202" t="str">
            <v>CHF_LIBOR_6M_EOD</v>
          </cell>
          <cell r="C202">
            <v>43346</v>
          </cell>
          <cell r="E202">
            <v>-5.4908220483768201E-3</v>
          </cell>
          <cell r="F202">
            <v>1.0166547658784399</v>
          </cell>
        </row>
        <row r="203">
          <cell r="A203" t="str">
            <v>CHF_LIBOR_6M_EOD</v>
          </cell>
          <cell r="C203">
            <v>43711</v>
          </cell>
          <cell r="E203">
            <v>-4.3737453098460803E-3</v>
          </cell>
          <cell r="F203">
            <v>1.0176854985044299</v>
          </cell>
        </row>
        <row r="204">
          <cell r="A204" t="str">
            <v>CHF_LIBOR_6M_EOD</v>
          </cell>
          <cell r="C204">
            <v>44077</v>
          </cell>
          <cell r="E204">
            <v>-3.03770577017007E-3</v>
          </cell>
          <cell r="F204">
            <v>1.0153382607297701</v>
          </cell>
        </row>
        <row r="205">
          <cell r="A205" t="str">
            <v>CHF_LIBOR_6M_EOD</v>
          </cell>
          <cell r="C205">
            <v>44442</v>
          </cell>
          <cell r="E205">
            <v>-1.6067141831758299E-3</v>
          </cell>
          <cell r="F205">
            <v>1.0097046808766399</v>
          </cell>
        </row>
        <row r="206">
          <cell r="A206" t="str">
            <v>CHF_LIBOR_6M_EOD</v>
          </cell>
          <cell r="C206">
            <v>44809</v>
          </cell>
          <cell r="E206">
            <v>-2.2078731611553001E-4</v>
          </cell>
          <cell r="F206">
            <v>1.0015503411314901</v>
          </cell>
        </row>
        <row r="207">
          <cell r="A207" t="str">
            <v>CHF_LIBOR_6M_EOD</v>
          </cell>
          <cell r="C207">
            <v>45173</v>
          </cell>
          <cell r="E207">
            <v>9.969785756344799E-4</v>
          </cell>
          <cell r="F207">
            <v>0.99204234526837998</v>
          </cell>
        </row>
        <row r="208">
          <cell r="A208" t="str">
            <v>CHF_LIBOR_6M_EOD</v>
          </cell>
          <cell r="C208">
            <v>45538</v>
          </cell>
          <cell r="E208">
            <v>1.9943660721131202E-3</v>
          </cell>
          <cell r="F208">
            <v>0.98218400072562695</v>
          </cell>
        </row>
        <row r="209">
          <cell r="A209" t="str">
            <v>CHF_LIBOR_6M_EOD</v>
          </cell>
          <cell r="C209">
            <v>45903</v>
          </cell>
          <cell r="E209">
            <v>2.8553206297904001E-3</v>
          </cell>
          <cell r="F209">
            <v>0.97181257199670101</v>
          </cell>
        </row>
        <row r="210">
          <cell r="A210" t="str">
            <v>CHF_LIBOR_6M_EOD</v>
          </cell>
          <cell r="C210">
            <v>46633</v>
          </cell>
          <cell r="E210">
            <v>4.2592386943655003E-3</v>
          </cell>
          <cell r="F210">
            <v>0.95011788741748304</v>
          </cell>
        </row>
        <row r="211">
          <cell r="A211" t="str">
            <v>CHF_LIBOR_6M_EOD</v>
          </cell>
          <cell r="C211">
            <v>47729</v>
          </cell>
          <cell r="E211">
            <v>5.6838492205581702E-3</v>
          </cell>
          <cell r="F211">
            <v>0.91818978574362498</v>
          </cell>
        </row>
        <row r="212">
          <cell r="A212" t="str">
            <v>CHF_LIBOR_6M_EOD</v>
          </cell>
          <cell r="C212">
            <v>49555</v>
          </cell>
          <cell r="E212">
            <v>7.1356121181913304E-3</v>
          </cell>
          <cell r="F212">
            <v>0.86688488086532201</v>
          </cell>
        </row>
        <row r="213">
          <cell r="A213" t="str">
            <v>CHF_LIBOR_6M_EOD</v>
          </cell>
          <cell r="C213">
            <v>51382</v>
          </cell>
          <cell r="E213">
            <v>7.7533761176277402E-3</v>
          </cell>
          <cell r="F213">
            <v>0.82363683365747198</v>
          </cell>
        </row>
        <row r="214">
          <cell r="A214" t="str">
            <v>CHF_LIBOR_6M_EOD</v>
          </cell>
          <cell r="C214">
            <v>53209</v>
          </cell>
          <cell r="E214">
            <v>8.0101946181043993E-3</v>
          </cell>
          <cell r="F214">
            <v>0.78619750328888305</v>
          </cell>
        </row>
        <row r="215">
          <cell r="A215" t="str">
            <v>CHF_LIBOR_6M_EOD</v>
          </cell>
          <cell r="C215">
            <v>56860</v>
          </cell>
          <cell r="E215">
            <v>7.9763457538514094E-3</v>
          </cell>
          <cell r="F215">
            <v>0.72664584483179595</v>
          </cell>
        </row>
        <row r="216">
          <cell r="A216" t="str">
            <v>CHF_LIBOR_EOD</v>
          </cell>
          <cell r="C216">
            <v>42249</v>
          </cell>
          <cell r="E216">
            <v>-7.86786257617598E-3</v>
          </cell>
          <cell r="F216">
            <v>1.0000215560202099</v>
          </cell>
        </row>
        <row r="217">
          <cell r="A217" t="str">
            <v>CHF_LIBOR_EOD</v>
          </cell>
          <cell r="C217">
            <v>42250</v>
          </cell>
          <cell r="E217">
            <v>-7.8678625761991802E-3</v>
          </cell>
          <cell r="F217">
            <v>1.0000431125050799</v>
          </cell>
        </row>
        <row r="218">
          <cell r="A218" t="str">
            <v>CHF_LIBOR_EOD</v>
          </cell>
          <cell r="C218">
            <v>42257</v>
          </cell>
          <cell r="E218">
            <v>-8.0654336342850207E-3</v>
          </cell>
          <cell r="F218">
            <v>1.0001988934827399</v>
          </cell>
        </row>
        <row r="219">
          <cell r="A219" t="str">
            <v>CHF_LIBOR_EOD</v>
          </cell>
          <cell r="C219">
            <v>42354</v>
          </cell>
          <cell r="E219">
            <v>-7.4962449752523303E-3</v>
          </cell>
          <cell r="F219">
            <v>1.00217936305836</v>
          </cell>
        </row>
        <row r="220">
          <cell r="A220" t="str">
            <v>CHF_LIBOR_EOD</v>
          </cell>
          <cell r="C220">
            <v>42445</v>
          </cell>
          <cell r="E220">
            <v>-7.5034465976009596E-3</v>
          </cell>
          <cell r="F220">
            <v>1.00405801696721</v>
          </cell>
        </row>
        <row r="221">
          <cell r="A221" t="str">
            <v>CHF_LIBOR_EOD</v>
          </cell>
          <cell r="C221">
            <v>42536</v>
          </cell>
          <cell r="E221">
            <v>-7.5391817614702799E-3</v>
          </cell>
          <cell r="F221">
            <v>1.0059664530363699</v>
          </cell>
        </row>
        <row r="222">
          <cell r="A222" t="str">
            <v>CHF_LIBOR_EOD</v>
          </cell>
          <cell r="C222">
            <v>42634</v>
          </cell>
          <cell r="E222">
            <v>-7.5338059165790698E-3</v>
          </cell>
          <cell r="F222">
            <v>1.0079990808199899</v>
          </cell>
        </row>
        <row r="223">
          <cell r="A223" t="str">
            <v>CHF_LIBOR_EOD</v>
          </cell>
          <cell r="C223">
            <v>42982</v>
          </cell>
          <cell r="E223">
            <v>-6.3070954213902504E-3</v>
          </cell>
          <cell r="F223">
            <v>1.01276408400308</v>
          </cell>
        </row>
        <row r="224">
          <cell r="A224" t="str">
            <v>CHF_LIBOR_EOD</v>
          </cell>
          <cell r="C224">
            <v>43346</v>
          </cell>
          <cell r="E224">
            <v>-5.49114851472345E-3</v>
          </cell>
          <cell r="F224">
            <v>1.01665576431761</v>
          </cell>
        </row>
        <row r="225">
          <cell r="A225" t="str">
            <v>CHF_LIBOR_EOD</v>
          </cell>
          <cell r="C225">
            <v>43711</v>
          </cell>
          <cell r="E225">
            <v>-4.3714395999554703E-3</v>
          </cell>
          <cell r="F225">
            <v>1.01767609331162</v>
          </cell>
        </row>
        <row r="226">
          <cell r="A226" t="str">
            <v>CHF_LIBOR_EOD</v>
          </cell>
          <cell r="C226">
            <v>44077</v>
          </cell>
          <cell r="E226">
            <v>-3.0322008375166598E-3</v>
          </cell>
          <cell r="F226">
            <v>1.0153102530189799</v>
          </cell>
        </row>
        <row r="227">
          <cell r="A227" t="str">
            <v>CHF_LIBOR_EOD</v>
          </cell>
          <cell r="C227">
            <v>44442</v>
          </cell>
          <cell r="E227">
            <v>-1.5962875187080199E-3</v>
          </cell>
          <cell r="F227">
            <v>1.00964140037445</v>
          </cell>
        </row>
        <row r="228">
          <cell r="A228" t="str">
            <v>CHF_LIBOR_EOD</v>
          </cell>
          <cell r="C228">
            <v>44809</v>
          </cell>
          <cell r="E228">
            <v>-2.0421259282221E-4</v>
          </cell>
          <cell r="F228">
            <v>1.0014338720820399</v>
          </cell>
        </row>
        <row r="229">
          <cell r="A229" t="str">
            <v>CHF_LIBOR_EOD</v>
          </cell>
          <cell r="C229">
            <v>45173</v>
          </cell>
          <cell r="E229">
            <v>1.02038334617255E-3</v>
          </cell>
          <cell r="F229">
            <v>0.99185629646686302</v>
          </cell>
        </row>
        <row r="230">
          <cell r="A230" t="str">
            <v>CHF_LIBOR_EOD</v>
          </cell>
          <cell r="C230">
            <v>45538</v>
          </cell>
          <cell r="E230">
            <v>2.02270409705179E-3</v>
          </cell>
          <cell r="F230">
            <v>0.98193315309559404</v>
          </cell>
        </row>
        <row r="231">
          <cell r="A231" t="str">
            <v>CHF_LIBOR_EOD</v>
          </cell>
          <cell r="C231">
            <v>45903</v>
          </cell>
          <cell r="E231">
            <v>2.8881926876016002E-3</v>
          </cell>
          <cell r="F231">
            <v>0.97149273224077004</v>
          </cell>
        </row>
        <row r="232">
          <cell r="A232" t="str">
            <v>CHF_LIBOR_EOD</v>
          </cell>
          <cell r="C232">
            <v>46633</v>
          </cell>
          <cell r="E232">
            <v>4.2987009130817299E-3</v>
          </cell>
          <cell r="F232">
            <v>0.94966755544252801</v>
          </cell>
        </row>
        <row r="233">
          <cell r="A233" t="str">
            <v>CHF_LIBOR_EOD</v>
          </cell>
          <cell r="C233">
            <v>47729</v>
          </cell>
          <cell r="E233">
            <v>5.7273326076173097E-3</v>
          </cell>
          <cell r="F233">
            <v>0.91759043509705096</v>
          </cell>
        </row>
        <row r="234">
          <cell r="A234" t="str">
            <v>CHF_LIBOR_EOD</v>
          </cell>
          <cell r="C234">
            <v>49555</v>
          </cell>
          <cell r="E234">
            <v>7.1804811813592096E-3</v>
          </cell>
          <cell r="F234">
            <v>0.86610655827232996</v>
          </cell>
        </row>
        <row r="235">
          <cell r="A235" t="str">
            <v>CHF_LIBOR_EOD</v>
          </cell>
          <cell r="C235">
            <v>51382</v>
          </cell>
          <cell r="E235">
            <v>7.7951099091956499E-3</v>
          </cell>
          <cell r="F235">
            <v>0.82277709791433296</v>
          </cell>
        </row>
        <row r="236">
          <cell r="A236" t="str">
            <v>CHF_LIBOR_EOD</v>
          </cell>
          <cell r="C236">
            <v>53209</v>
          </cell>
          <cell r="E236">
            <v>8.0479975814426192E-3</v>
          </cell>
          <cell r="F236">
            <v>0.78530549614951695</v>
          </cell>
        </row>
        <row r="237">
          <cell r="A237" t="str">
            <v>CHF_LIBOR_EOD</v>
          </cell>
          <cell r="C237">
            <v>56860</v>
          </cell>
          <cell r="E237">
            <v>8.0041458152344206E-3</v>
          </cell>
          <cell r="F237">
            <v>0.72583759857102903</v>
          </cell>
        </row>
        <row r="238">
          <cell r="A238" t="str">
            <v>CHF_TOIS_EOD</v>
          </cell>
          <cell r="C238">
            <v>42249</v>
          </cell>
          <cell r="E238">
            <v>-5.3229554799926601E-3</v>
          </cell>
          <cell r="F238">
            <v>1.0000145835460099</v>
          </cell>
        </row>
        <row r="239">
          <cell r="A239" t="str">
            <v>CHF_TOIS_EOD</v>
          </cell>
          <cell r="C239">
            <v>42250</v>
          </cell>
          <cell r="E239">
            <v>-5.3356292763885298E-3</v>
          </cell>
          <cell r="F239">
            <v>1.0000292367521899</v>
          </cell>
        </row>
        <row r="240">
          <cell r="A240" t="str">
            <v>CHF_TOIS_EOD</v>
          </cell>
          <cell r="C240">
            <v>42282</v>
          </cell>
          <cell r="E240">
            <v>-5.3964360658115803E-3</v>
          </cell>
          <cell r="F240">
            <v>1.0005028080813501</v>
          </cell>
        </row>
        <row r="241">
          <cell r="A241" t="str">
            <v>CHF_TOIS_EOD</v>
          </cell>
          <cell r="C241">
            <v>42311</v>
          </cell>
          <cell r="E241">
            <v>-5.5565239963930096E-3</v>
          </cell>
          <cell r="F241">
            <v>1.00095953132104</v>
          </cell>
        </row>
        <row r="242">
          <cell r="A242" t="str">
            <v>CHF_TOIS_EOD</v>
          </cell>
          <cell r="C242">
            <v>42341</v>
          </cell>
          <cell r="E242">
            <v>-5.5948771548317497E-3</v>
          </cell>
          <cell r="F242">
            <v>1.0014265606131001</v>
          </cell>
        </row>
        <row r="243">
          <cell r="A243" t="str">
            <v>CHF_TOIS_EOD</v>
          </cell>
          <cell r="C243">
            <v>42373</v>
          </cell>
          <cell r="E243">
            <v>-5.6709912100449001E-3</v>
          </cell>
          <cell r="F243">
            <v>1.0019440074144801</v>
          </cell>
        </row>
        <row r="244">
          <cell r="A244" t="str">
            <v>CHF_TOIS_EOD</v>
          </cell>
          <cell r="C244">
            <v>42403</v>
          </cell>
          <cell r="E244">
            <v>-5.7364732752351703E-3</v>
          </cell>
          <cell r="F244">
            <v>1.0024390061443</v>
          </cell>
        </row>
        <row r="245">
          <cell r="A245" t="str">
            <v>CHF_TOIS_EOD</v>
          </cell>
          <cell r="C245">
            <v>42432</v>
          </cell>
          <cell r="E245">
            <v>-5.7134525208048098E-3</v>
          </cell>
          <cell r="F245">
            <v>1.0028843579811899</v>
          </cell>
        </row>
        <row r="246">
          <cell r="A246" t="str">
            <v>CHF_TOIS_EOD</v>
          </cell>
          <cell r="C246">
            <v>42464</v>
          </cell>
          <cell r="E246">
            <v>-5.7209485341313199E-3</v>
          </cell>
          <cell r="F246">
            <v>1.003391285065</v>
          </cell>
        </row>
        <row r="247">
          <cell r="A247" t="str">
            <v>CHF_TOIS_EOD</v>
          </cell>
          <cell r="C247">
            <v>42493</v>
          </cell>
          <cell r="E247">
            <v>-5.7293975451705396E-3</v>
          </cell>
          <cell r="F247">
            <v>1.00385316441988</v>
          </cell>
        </row>
        <row r="248">
          <cell r="A248" t="str">
            <v>CHF_TOIS_EOD</v>
          </cell>
          <cell r="C248">
            <v>42524</v>
          </cell>
          <cell r="E248">
            <v>-5.7442065311878801E-3</v>
          </cell>
          <cell r="F248">
            <v>1.0043530113393699</v>
          </cell>
        </row>
        <row r="249">
          <cell r="A249" t="str">
            <v>CHF_TOIS_EOD</v>
          </cell>
          <cell r="C249">
            <v>42555</v>
          </cell>
          <cell r="E249">
            <v>-5.7762680597046503E-3</v>
          </cell>
          <cell r="F249">
            <v>1.00487021646567</v>
          </cell>
        </row>
        <row r="250">
          <cell r="A250" t="str">
            <v>CHF_TOIS_EOD</v>
          </cell>
          <cell r="C250">
            <v>42585</v>
          </cell>
          <cell r="E250">
            <v>-5.7445405719587297E-3</v>
          </cell>
          <cell r="F250">
            <v>1.0053179538710699</v>
          </cell>
        </row>
        <row r="251">
          <cell r="A251" t="str">
            <v>CHF_TOIS_EOD</v>
          </cell>
          <cell r="C251">
            <v>42618</v>
          </cell>
          <cell r="E251">
            <v>-5.8679662884228096E-3</v>
          </cell>
          <cell r="F251">
            <v>1.0059660759489799</v>
          </cell>
        </row>
        <row r="252">
          <cell r="A252" t="str">
            <v>CHF_TOIS_EOD</v>
          </cell>
          <cell r="C252">
            <v>42709</v>
          </cell>
          <cell r="E252">
            <v>-5.7965767450901496E-3</v>
          </cell>
          <cell r="F252">
            <v>1.0073480210169601</v>
          </cell>
        </row>
        <row r="253">
          <cell r="A253" t="str">
            <v>CHF_TOIS_EOD</v>
          </cell>
          <cell r="C253">
            <v>42797</v>
          </cell>
          <cell r="E253">
            <v>-5.7761838354643304E-3</v>
          </cell>
          <cell r="F253">
            <v>1.00872586381953</v>
          </cell>
        </row>
        <row r="254">
          <cell r="A254" t="str">
            <v>CHF_TOIS_EOD</v>
          </cell>
          <cell r="C254">
            <v>42892</v>
          </cell>
          <cell r="E254">
            <v>-5.6913037886813199E-3</v>
          </cell>
          <cell r="F254">
            <v>1.0100922293266199</v>
          </cell>
        </row>
        <row r="255">
          <cell r="A255" t="str">
            <v>CHF_TOIS_EOD</v>
          </cell>
          <cell r="C255">
            <v>42982</v>
          </cell>
          <cell r="E255">
            <v>-5.6783223026969703E-3</v>
          </cell>
          <cell r="F255">
            <v>1.01148431698538</v>
          </cell>
        </row>
        <row r="256">
          <cell r="A256" t="str">
            <v>CHF_TOIS_EOD</v>
          </cell>
          <cell r="C256">
            <v>43346</v>
          </cell>
          <cell r="E256">
            <v>-5.1114854587406104E-3</v>
          </cell>
          <cell r="F256">
            <v>1.0154952947395499</v>
          </cell>
        </row>
        <row r="257">
          <cell r="A257" t="str">
            <v>CHF_TOIS_EOD</v>
          </cell>
          <cell r="C257">
            <v>43711</v>
          </cell>
          <cell r="E257">
            <v>-4.4533738722714296E-3</v>
          </cell>
          <cell r="F257">
            <v>1.0180103637342399</v>
          </cell>
        </row>
        <row r="258">
          <cell r="A258" t="str">
            <v>CHF_TOIS_EOD</v>
          </cell>
          <cell r="C258">
            <v>44077</v>
          </cell>
          <cell r="E258">
            <v>-3.5724261554921002E-3</v>
          </cell>
          <cell r="F258">
            <v>1.01806246896686</v>
          </cell>
        </row>
        <row r="259">
          <cell r="A259" t="str">
            <v>CHF_TOIS_EOD</v>
          </cell>
          <cell r="C259">
            <v>44442</v>
          </cell>
          <cell r="E259">
            <v>-2.4517832862455298E-3</v>
          </cell>
          <cell r="F259">
            <v>1.0148467020005401</v>
          </cell>
        </row>
        <row r="260">
          <cell r="A260" t="str">
            <v>CHF_TOIS_EOD</v>
          </cell>
          <cell r="C260">
            <v>44809</v>
          </cell>
          <cell r="E260">
            <v>-1.3070167868156899E-3</v>
          </cell>
          <cell r="F260">
            <v>1.0092127815287</v>
          </cell>
        </row>
        <row r="261">
          <cell r="A261" t="str">
            <v>CHF_TOIS_EOD</v>
          </cell>
          <cell r="C261">
            <v>45173</v>
          </cell>
          <cell r="E261">
            <v>-2.3410272109846E-4</v>
          </cell>
          <cell r="F261">
            <v>1.0018777894980899</v>
          </cell>
        </row>
        <row r="262">
          <cell r="A262" t="str">
            <v>CHF_TOIS_EOD</v>
          </cell>
          <cell r="C262">
            <v>45538</v>
          </cell>
          <cell r="E262">
            <v>6.8959861039494003E-4</v>
          </cell>
          <cell r="F262">
            <v>0.99380344428228695</v>
          </cell>
        </row>
        <row r="263">
          <cell r="A263" t="str">
            <v>CHF_TOIS_EOD</v>
          </cell>
          <cell r="C263">
            <v>45903</v>
          </cell>
          <cell r="E263">
            <v>1.5141885913556E-3</v>
          </cell>
          <cell r="F263">
            <v>0.98495174562522703</v>
          </cell>
        </row>
        <row r="264">
          <cell r="A264" t="str">
            <v>CHF_TOIS_EOD</v>
          </cell>
          <cell r="C264">
            <v>46633</v>
          </cell>
          <cell r="E264">
            <v>2.9930899985206299E-3</v>
          </cell>
          <cell r="F264">
            <v>0.96468073087962503</v>
          </cell>
        </row>
        <row r="265">
          <cell r="A265" t="str">
            <v>CHF_TOIS_EOD</v>
          </cell>
          <cell r="C265">
            <v>47729</v>
          </cell>
          <cell r="E265">
            <v>4.53864093588216E-3</v>
          </cell>
          <cell r="F265">
            <v>0.93411640132296403</v>
          </cell>
        </row>
        <row r="266">
          <cell r="A266" t="str">
            <v>CHF_TOIS_EOD</v>
          </cell>
          <cell r="C266">
            <v>49555</v>
          </cell>
          <cell r="E266">
            <v>6.10121350513196E-3</v>
          </cell>
          <cell r="F266">
            <v>0.88502332386062599</v>
          </cell>
        </row>
        <row r="267">
          <cell r="A267" t="str">
            <v>CHF_TOIS_EOD</v>
          </cell>
          <cell r="C267">
            <v>51382</v>
          </cell>
          <cell r="E267">
            <v>6.8401731879962199E-3</v>
          </cell>
          <cell r="F267">
            <v>0.84267578511000296</v>
          </cell>
        </row>
        <row r="268">
          <cell r="A268" t="str">
            <v>CHF_TOIS_EOD</v>
          </cell>
          <cell r="C268">
            <v>53209</v>
          </cell>
          <cell r="E268">
            <v>7.0869758500447296E-3</v>
          </cell>
          <cell r="F268">
            <v>0.80829931023497203</v>
          </cell>
        </row>
        <row r="269">
          <cell r="A269" t="str">
            <v>CHF_TOIS_EOD</v>
          </cell>
          <cell r="C269">
            <v>56860</v>
          </cell>
          <cell r="E269">
            <v>6.8946908563918899E-3</v>
          </cell>
          <cell r="F269">
            <v>0.75880207296682201</v>
          </cell>
        </row>
        <row r="270">
          <cell r="A270" t="str">
            <v>CZK_PRIBOR_3M_EOD</v>
          </cell>
          <cell r="C270">
            <v>42341</v>
          </cell>
          <cell r="E270">
            <v>3.1418247318771202E-3</v>
          </cell>
          <cell r="F270">
            <v>0.99919980060422897</v>
          </cell>
        </row>
        <row r="271">
          <cell r="A271" t="str">
            <v>CZK_PRIBOR_3M_EOD</v>
          </cell>
          <cell r="C271">
            <v>42432</v>
          </cell>
          <cell r="E271">
            <v>3.1509937711797702E-3</v>
          </cell>
          <cell r="F271">
            <v>0.99841281473784604</v>
          </cell>
        </row>
        <row r="272">
          <cell r="A272" t="str">
            <v>CZK_PRIBOR_3M_EOD</v>
          </cell>
          <cell r="C272">
            <v>42524</v>
          </cell>
          <cell r="E272">
            <v>2.9953870937442801E-3</v>
          </cell>
          <cell r="F272">
            <v>0.99773755815305798</v>
          </cell>
        </row>
        <row r="273">
          <cell r="A273" t="str">
            <v>CZK_PRIBOR_3M_EOD</v>
          </cell>
          <cell r="C273">
            <v>42618</v>
          </cell>
          <cell r="E273">
            <v>2.86287842595986E-3</v>
          </cell>
          <cell r="F273">
            <v>0.99710211107107505</v>
          </cell>
        </row>
        <row r="274">
          <cell r="A274" t="str">
            <v>CZK_PRIBOR_3M_EOD</v>
          </cell>
          <cell r="C274">
            <v>42982</v>
          </cell>
          <cell r="E274">
            <v>2.66365321728262E-3</v>
          </cell>
          <cell r="F274">
            <v>0.99465782329556995</v>
          </cell>
        </row>
        <row r="275">
          <cell r="A275" t="str">
            <v>CZK_PRIBOR_3M_EOD</v>
          </cell>
          <cell r="C275">
            <v>43346</v>
          </cell>
          <cell r="E275">
            <v>3.4704392071134701E-3</v>
          </cell>
          <cell r="F275">
            <v>0.98961446422266097</v>
          </cell>
        </row>
        <row r="276">
          <cell r="A276" t="str">
            <v>CZK_PRIBOR_3M_EOD</v>
          </cell>
          <cell r="C276">
            <v>43711</v>
          </cell>
          <cell r="E276">
            <v>4.5532608320663897E-3</v>
          </cell>
          <cell r="F276">
            <v>0.98191506385289595</v>
          </cell>
        </row>
        <row r="277">
          <cell r="A277" t="str">
            <v>CZK_PRIBOR_3M_EOD</v>
          </cell>
          <cell r="C277">
            <v>44077</v>
          </cell>
          <cell r="E277">
            <v>5.6832723333570196E-3</v>
          </cell>
          <cell r="F277">
            <v>0.97192305021274905</v>
          </cell>
        </row>
        <row r="278">
          <cell r="A278" t="str">
            <v>CZK_PRIBOR_3M_EOD</v>
          </cell>
          <cell r="C278">
            <v>44442</v>
          </cell>
          <cell r="E278">
            <v>6.7271764228667404E-3</v>
          </cell>
          <cell r="F278">
            <v>0.96036987619771896</v>
          </cell>
        </row>
        <row r="279">
          <cell r="A279" t="str">
            <v>CZK_PRIBOR_3M_EOD</v>
          </cell>
          <cell r="C279">
            <v>44809</v>
          </cell>
          <cell r="E279">
            <v>7.6828314962268896E-3</v>
          </cell>
          <cell r="F279">
            <v>0.94752106167291195</v>
          </cell>
        </row>
        <row r="280">
          <cell r="A280" t="str">
            <v>CZK_PRIBOR_3M_EOD</v>
          </cell>
          <cell r="C280">
            <v>45173</v>
          </cell>
          <cell r="E280">
            <v>8.7067506914450601E-3</v>
          </cell>
          <cell r="F280">
            <v>0.93260523984548305</v>
          </cell>
        </row>
        <row r="281">
          <cell r="A281" t="str">
            <v>CZK_PRIBOR_3M_EOD</v>
          </cell>
          <cell r="C281">
            <v>45538</v>
          </cell>
          <cell r="E281">
            <v>9.7608635409761595E-3</v>
          </cell>
          <cell r="F281">
            <v>0.91577783463965201</v>
          </cell>
        </row>
        <row r="282">
          <cell r="A282" t="str">
            <v>CZK_PRIBOR_3M_EOD</v>
          </cell>
          <cell r="C282">
            <v>45903</v>
          </cell>
          <cell r="E282">
            <v>1.07031897902306E-2</v>
          </cell>
          <cell r="F282">
            <v>0.89836528525256698</v>
          </cell>
        </row>
        <row r="283">
          <cell r="A283" t="str">
            <v>CZK_PRIBOR_3M_EOD</v>
          </cell>
          <cell r="C283">
            <v>46633</v>
          </cell>
          <cell r="E283">
            <v>1.2142546444215301E-2</v>
          </cell>
          <cell r="F283">
            <v>0.86426409309149899</v>
          </cell>
        </row>
        <row r="284">
          <cell r="A284" t="str">
            <v>CZK_PRIBOR_3M_EOD</v>
          </cell>
          <cell r="C284">
            <v>47729</v>
          </cell>
          <cell r="E284">
            <v>1.4003846523039E-2</v>
          </cell>
          <cell r="F284">
            <v>0.81035091392589198</v>
          </cell>
        </row>
        <row r="285">
          <cell r="A285" t="str">
            <v>CZK_PRIBOR_3M_EOD</v>
          </cell>
          <cell r="C285">
            <v>49555</v>
          </cell>
          <cell r="E285">
            <v>1.5866109552213299E-2</v>
          </cell>
          <cell r="F285">
            <v>0.727874618759214</v>
          </cell>
        </row>
        <row r="286">
          <cell r="A286" t="str">
            <v>CZK_PRIBOR_3M_EOD</v>
          </cell>
          <cell r="C286">
            <v>51382</v>
          </cell>
          <cell r="E286">
            <v>1.5874741349681299E-2</v>
          </cell>
          <cell r="F286">
            <v>0.67215926455018504</v>
          </cell>
        </row>
        <row r="287">
          <cell r="A287" t="str">
            <v>CZK_PRIBOR_3M_EOD</v>
          </cell>
          <cell r="C287">
            <v>53209</v>
          </cell>
          <cell r="E287">
            <v>1.59054818343877E-2</v>
          </cell>
          <cell r="F287">
            <v>0.620243089269093</v>
          </cell>
        </row>
        <row r="288">
          <cell r="A288" t="str">
            <v>CZK_PRIBOR_6M_EOD</v>
          </cell>
          <cell r="C288">
            <v>42432</v>
          </cell>
          <cell r="E288">
            <v>3.9502736336967702E-3</v>
          </cell>
          <cell r="F288">
            <v>0.99801061064528995</v>
          </cell>
        </row>
        <row r="289">
          <cell r="A289" t="str">
            <v>CZK_PRIBOR_6M_EOD</v>
          </cell>
          <cell r="C289">
            <v>42618</v>
          </cell>
          <cell r="E289">
            <v>3.6704281479188298E-3</v>
          </cell>
          <cell r="F289">
            <v>0.996286205271667</v>
          </cell>
        </row>
        <row r="290">
          <cell r="A290" t="str">
            <v>CZK_PRIBOR_6M_EOD</v>
          </cell>
          <cell r="C290">
            <v>42797</v>
          </cell>
          <cell r="E290">
            <v>3.5178214566577099E-3</v>
          </cell>
          <cell r="F290">
            <v>0.99472278469828301</v>
          </cell>
        </row>
        <row r="291">
          <cell r="A291" t="str">
            <v>CZK_PRIBOR_6M_EOD</v>
          </cell>
          <cell r="C291">
            <v>42982</v>
          </cell>
          <cell r="E291">
            <v>3.5915245330606399E-3</v>
          </cell>
          <cell r="F291">
            <v>0.99280361067388001</v>
          </cell>
        </row>
        <row r="292">
          <cell r="A292" t="str">
            <v>CZK_PRIBOR_6M_EOD</v>
          </cell>
          <cell r="C292">
            <v>43346</v>
          </cell>
          <cell r="E292">
            <v>4.3995552858431498E-3</v>
          </cell>
          <cell r="F292">
            <v>0.98685236863637804</v>
          </cell>
        </row>
        <row r="293">
          <cell r="A293" t="str">
            <v>CZK_PRIBOR_6M_EOD</v>
          </cell>
          <cell r="C293">
            <v>43711</v>
          </cell>
          <cell r="E293">
            <v>5.5494894562016896E-3</v>
          </cell>
          <cell r="F293">
            <v>0.978001994027071</v>
          </cell>
        </row>
        <row r="294">
          <cell r="A294" t="str">
            <v>CZK_PRIBOR_6M_EOD</v>
          </cell>
          <cell r="C294">
            <v>44077</v>
          </cell>
          <cell r="E294">
            <v>6.7556850800713697E-3</v>
          </cell>
          <cell r="F294">
            <v>0.96671412282282698</v>
          </cell>
        </row>
        <row r="295">
          <cell r="A295" t="str">
            <v>CZK_PRIBOR_6M_EOD</v>
          </cell>
          <cell r="C295">
            <v>44442</v>
          </cell>
          <cell r="E295">
            <v>7.85206437404346E-3</v>
          </cell>
          <cell r="F295">
            <v>0.95389809083418597</v>
          </cell>
        </row>
        <row r="296">
          <cell r="A296" t="str">
            <v>CZK_PRIBOR_6M_EOD</v>
          </cell>
          <cell r="C296">
            <v>44809</v>
          </cell>
          <cell r="E296">
            <v>8.8899788743183293E-3</v>
          </cell>
          <cell r="F296">
            <v>0.93952956781677999</v>
          </cell>
        </row>
        <row r="297">
          <cell r="A297" t="str">
            <v>CZK_PRIBOR_6M_EOD</v>
          </cell>
          <cell r="C297">
            <v>45173</v>
          </cell>
          <cell r="E297">
            <v>9.9544733922398605E-3</v>
          </cell>
          <cell r="F297">
            <v>0.92332670260661098</v>
          </cell>
        </row>
        <row r="298">
          <cell r="A298" t="str">
            <v>CZK_PRIBOR_6M_EOD</v>
          </cell>
          <cell r="C298">
            <v>45538</v>
          </cell>
          <cell r="E298">
            <v>1.10820434913195E-2</v>
          </cell>
          <cell r="F298">
            <v>0.90493677442472598</v>
          </cell>
        </row>
        <row r="299">
          <cell r="A299" t="str">
            <v>CZK_PRIBOR_6M_EOD</v>
          </cell>
          <cell r="C299">
            <v>45903</v>
          </cell>
          <cell r="E299">
            <v>1.19779309864606E-2</v>
          </cell>
          <cell r="F299">
            <v>0.88697064571883999</v>
          </cell>
        </row>
        <row r="300">
          <cell r="A300" t="str">
            <v>CZK_PRIBOR_6M_EOD</v>
          </cell>
          <cell r="C300">
            <v>46633</v>
          </cell>
          <cell r="E300">
            <v>1.34680448318477E-2</v>
          </cell>
          <cell r="F300">
            <v>0.85061043217589205</v>
          </cell>
        </row>
        <row r="301">
          <cell r="A301" t="str">
            <v>CZK_PRIBOR_6M_EOD</v>
          </cell>
          <cell r="C301">
            <v>47729</v>
          </cell>
          <cell r="E301">
            <v>1.5214508150977E-2</v>
          </cell>
          <cell r="F301">
            <v>0.79575198066513897</v>
          </cell>
        </row>
        <row r="302">
          <cell r="A302" t="str">
            <v>CZK_PRIBOR_6M_EOD</v>
          </cell>
          <cell r="C302">
            <v>49555</v>
          </cell>
          <cell r="E302">
            <v>1.6889916896716501E-2</v>
          </cell>
          <cell r="F302">
            <v>0.71310810214496001</v>
          </cell>
        </row>
        <row r="303">
          <cell r="A303" t="str">
            <v>CZK_PRIBOR_6M_EOD</v>
          </cell>
          <cell r="C303">
            <v>51382</v>
          </cell>
          <cell r="E303">
            <v>1.6744166716958199E-2</v>
          </cell>
          <cell r="F303">
            <v>0.65769298953849398</v>
          </cell>
        </row>
        <row r="304">
          <cell r="A304" t="str">
            <v>CZK_PRIBOR_6M_EOD</v>
          </cell>
          <cell r="C304">
            <v>53209</v>
          </cell>
          <cell r="E304">
            <v>1.6668517426351202E-2</v>
          </cell>
          <cell r="F304">
            <v>0.60619239386630797</v>
          </cell>
        </row>
        <row r="305">
          <cell r="A305" t="str">
            <v>CZK_PRIBOR_EOD</v>
          </cell>
          <cell r="C305">
            <v>42249</v>
          </cell>
          <cell r="E305">
            <v>1.4194416844029499E-3</v>
          </cell>
          <cell r="F305">
            <v>0.99999611112623399</v>
          </cell>
        </row>
        <row r="306">
          <cell r="A306" t="str">
            <v>CZK_PRIBOR_EOD</v>
          </cell>
          <cell r="C306">
            <v>42250</v>
          </cell>
          <cell r="E306">
            <v>1.4194416844152901E-3</v>
          </cell>
          <cell r="F306">
            <v>0.99999222226759199</v>
          </cell>
        </row>
        <row r="307">
          <cell r="A307" t="str">
            <v>CZK_PRIBOR_EOD</v>
          </cell>
          <cell r="C307">
            <v>42257</v>
          </cell>
          <cell r="E307">
            <v>1.4982846059457999E-3</v>
          </cell>
          <cell r="F307">
            <v>0.99996305667843899</v>
          </cell>
        </row>
        <row r="308">
          <cell r="A308" t="str">
            <v>CZK_PRIBOR_EOD</v>
          </cell>
          <cell r="C308">
            <v>42282</v>
          </cell>
          <cell r="E308">
            <v>2.1826377322307902E-3</v>
          </cell>
          <cell r="F308">
            <v>0.99979670646721697</v>
          </cell>
        </row>
        <row r="309">
          <cell r="A309" t="str">
            <v>CZK_PRIBOR_EOD</v>
          </cell>
          <cell r="C309">
            <v>42311</v>
          </cell>
          <cell r="E309">
            <v>2.4006673561561601E-3</v>
          </cell>
          <cell r="F309">
            <v>0.99958572407313595</v>
          </cell>
        </row>
        <row r="310">
          <cell r="A310" t="str">
            <v>CZK_PRIBOR_EOD</v>
          </cell>
          <cell r="C310">
            <v>42341</v>
          </cell>
          <cell r="E310">
            <v>3.1047842362323498E-3</v>
          </cell>
          <cell r="F310">
            <v>0.99920923081200297</v>
          </cell>
        </row>
        <row r="311">
          <cell r="A311" t="str">
            <v>CZK_PRIBOR_EOD</v>
          </cell>
          <cell r="C311">
            <v>42432</v>
          </cell>
          <cell r="E311">
            <v>3.13227221631599E-3</v>
          </cell>
          <cell r="F311">
            <v>0.998422237518237</v>
          </cell>
        </row>
        <row r="312">
          <cell r="A312" t="str">
            <v>CZK_PRIBOR_EOD</v>
          </cell>
          <cell r="C312">
            <v>42524</v>
          </cell>
          <cell r="E312">
            <v>2.9829060571693001E-3</v>
          </cell>
          <cell r="F312">
            <v>0.99774697456053896</v>
          </cell>
        </row>
        <row r="313">
          <cell r="A313" t="str">
            <v>CZK_PRIBOR_EOD</v>
          </cell>
          <cell r="C313">
            <v>42618</v>
          </cell>
          <cell r="E313">
            <v>2.8535682473259101E-3</v>
          </cell>
          <cell r="F313">
            <v>0.99711152148135795</v>
          </cell>
        </row>
        <row r="314">
          <cell r="A314" t="str">
            <v>CZK_PRIBOR_EOD</v>
          </cell>
          <cell r="C314">
            <v>42982</v>
          </cell>
          <cell r="E314">
            <v>3.5882349194965601E-3</v>
          </cell>
          <cell r="F314">
            <v>0.992810178367178</v>
          </cell>
        </row>
        <row r="315">
          <cell r="A315" t="str">
            <v>CZK_PRIBOR_EOD</v>
          </cell>
          <cell r="C315">
            <v>43346</v>
          </cell>
          <cell r="E315">
            <v>4.3999526075568897E-3</v>
          </cell>
          <cell r="F315">
            <v>0.98685118912073799</v>
          </cell>
        </row>
        <row r="316">
          <cell r="A316" t="str">
            <v>CZK_PRIBOR_EOD</v>
          </cell>
          <cell r="C316">
            <v>43711</v>
          </cell>
          <cell r="E316">
            <v>5.5503408344006102E-3</v>
          </cell>
          <cell r="F316">
            <v>0.97799865659076601</v>
          </cell>
        </row>
        <row r="317">
          <cell r="A317" t="str">
            <v>CZK_PRIBOR_EOD</v>
          </cell>
          <cell r="C317">
            <v>44077</v>
          </cell>
          <cell r="E317">
            <v>6.75636604289645E-3</v>
          </cell>
          <cell r="F317">
            <v>0.96671082413234799</v>
          </cell>
        </row>
        <row r="318">
          <cell r="A318" t="str">
            <v>CZK_PRIBOR_EOD</v>
          </cell>
          <cell r="C318">
            <v>44442</v>
          </cell>
          <cell r="E318">
            <v>7.8526320200833204E-3</v>
          </cell>
          <cell r="F318">
            <v>0.95389483604690795</v>
          </cell>
        </row>
        <row r="319">
          <cell r="A319" t="str">
            <v>CZK_PRIBOR_EOD</v>
          </cell>
          <cell r="C319">
            <v>44809</v>
          </cell>
          <cell r="E319">
            <v>8.8904651536955304E-3</v>
          </cell>
          <cell r="F319">
            <v>0.93952636219502195</v>
          </cell>
        </row>
        <row r="320">
          <cell r="A320" t="str">
            <v>CZK_PRIBOR_EOD</v>
          </cell>
          <cell r="C320">
            <v>45173</v>
          </cell>
          <cell r="E320">
            <v>9.9555104944149507E-3</v>
          </cell>
          <cell r="F320">
            <v>0.92331902884785499</v>
          </cell>
        </row>
        <row r="321">
          <cell r="A321" t="str">
            <v>CZK_PRIBOR_EOD</v>
          </cell>
          <cell r="C321">
            <v>45538</v>
          </cell>
          <cell r="E321">
            <v>1.10825402589403E-2</v>
          </cell>
          <cell r="F321">
            <v>0.90493272238607503</v>
          </cell>
        </row>
        <row r="322">
          <cell r="A322" t="str">
            <v>CZK_PRIBOR_EOD</v>
          </cell>
          <cell r="C322">
            <v>45903</v>
          </cell>
          <cell r="E322">
            <v>1.1978378133235001E-2</v>
          </cell>
          <cell r="F322">
            <v>0.886966674234139</v>
          </cell>
        </row>
        <row r="323">
          <cell r="A323" t="str">
            <v>CZK_PRIBOR_EOD</v>
          </cell>
          <cell r="C323">
            <v>46633</v>
          </cell>
          <cell r="E323">
            <v>1.3468417459590799E-2</v>
          </cell>
          <cell r="F323">
            <v>0.85060662430993506</v>
          </cell>
        </row>
        <row r="324">
          <cell r="A324" t="str">
            <v>CZK_PRIBOR_EOD</v>
          </cell>
          <cell r="C324">
            <v>47729</v>
          </cell>
          <cell r="E324">
            <v>1.52143787727149E-2</v>
          </cell>
          <cell r="F324">
            <v>0.79575352665414401</v>
          </cell>
        </row>
        <row r="325">
          <cell r="A325" t="str">
            <v>CZK_PRIBOR_EOD</v>
          </cell>
          <cell r="C325">
            <v>49555</v>
          </cell>
          <cell r="E325">
            <v>1.6888130789041899E-2</v>
          </cell>
          <cell r="F325">
            <v>0.71313360078479804</v>
          </cell>
        </row>
        <row r="326">
          <cell r="A326" t="str">
            <v>CZK_PRIBOR_EOD</v>
          </cell>
          <cell r="C326">
            <v>51382</v>
          </cell>
          <cell r="E326">
            <v>1.6742822668920101E-2</v>
          </cell>
          <cell r="F326">
            <v>0.65771511098136304</v>
          </cell>
        </row>
        <row r="327">
          <cell r="A327" t="str">
            <v>CZK_PRIBOR_EOD</v>
          </cell>
          <cell r="C327">
            <v>53209</v>
          </cell>
          <cell r="E327">
            <v>1.6667418687833401E-2</v>
          </cell>
          <cell r="F327">
            <v>0.60621239567690699</v>
          </cell>
        </row>
        <row r="328">
          <cell r="A328" t="str">
            <v>DKK_CIBOR_3M_EOD</v>
          </cell>
          <cell r="C328">
            <v>42341</v>
          </cell>
          <cell r="E328">
            <v>-6.5908192467168997E-4</v>
          </cell>
          <cell r="F328">
            <v>1.0001679445641101</v>
          </cell>
        </row>
        <row r="329">
          <cell r="A329" t="str">
            <v>DKK_CIBOR_3M_EOD</v>
          </cell>
          <cell r="C329">
            <v>42354</v>
          </cell>
          <cell r="E329">
            <v>-2.7823426274375002E-4</v>
          </cell>
          <cell r="F329">
            <v>1.0000808055436401</v>
          </cell>
        </row>
        <row r="330">
          <cell r="A330" t="str">
            <v>DKK_CIBOR_3M_EOD</v>
          </cell>
          <cell r="C330">
            <v>42445</v>
          </cell>
          <cell r="E330">
            <v>1.1254461594626001E-4</v>
          </cell>
          <cell r="F330">
            <v>0.99993925858636501</v>
          </cell>
        </row>
        <row r="331">
          <cell r="A331" t="str">
            <v>DKK_CIBOR_3M_EOD</v>
          </cell>
          <cell r="C331">
            <v>42536</v>
          </cell>
          <cell r="E331">
            <v>4.1331777274341002E-4</v>
          </cell>
          <cell r="F331">
            <v>0.99967392846452596</v>
          </cell>
        </row>
        <row r="332">
          <cell r="A332" t="str">
            <v>DKK_CIBOR_3M_EOD</v>
          </cell>
          <cell r="C332">
            <v>42634</v>
          </cell>
          <cell r="E332">
            <v>6.9184859386966005E-4</v>
          </cell>
          <cell r="F332">
            <v>0.99926861401175404</v>
          </cell>
        </row>
        <row r="333">
          <cell r="A333" t="str">
            <v>DKK_CIBOR_3M_EOD</v>
          </cell>
          <cell r="C333">
            <v>42725</v>
          </cell>
          <cell r="E333">
            <v>9.4178043416529998E-4</v>
          </cell>
          <cell r="F333">
            <v>0.99876999196542304</v>
          </cell>
        </row>
        <row r="334">
          <cell r="A334" t="str">
            <v>DKK_CIBOR_3M_EOD</v>
          </cell>
          <cell r="C334">
            <v>42809</v>
          </cell>
          <cell r="E334">
            <v>1.18018512760609E-3</v>
          </cell>
          <cell r="F334">
            <v>0.99818771579957399</v>
          </cell>
        </row>
        <row r="335">
          <cell r="A335" t="str">
            <v>DKK_CIBOR_3M_EOD</v>
          </cell>
          <cell r="C335">
            <v>42982</v>
          </cell>
          <cell r="E335">
            <v>1.61522782879961E-3</v>
          </cell>
          <cell r="F335">
            <v>0.99675711276976797</v>
          </cell>
        </row>
        <row r="336">
          <cell r="A336" t="str">
            <v>DKK_CIBOR_3M_EOD</v>
          </cell>
          <cell r="C336">
            <v>43346</v>
          </cell>
          <cell r="E336">
            <v>2.95746456983118E-3</v>
          </cell>
          <cell r="F336">
            <v>0.99114275690887299</v>
          </cell>
        </row>
        <row r="337">
          <cell r="A337" t="str">
            <v>DKK_CIBOR_3M_EOD</v>
          </cell>
          <cell r="C337">
            <v>43711</v>
          </cell>
          <cell r="E337">
            <v>4.67488301901362E-3</v>
          </cell>
          <cell r="F337">
            <v>0.98143650832156704</v>
          </cell>
        </row>
        <row r="338">
          <cell r="A338" t="str">
            <v>DKK_CIBOR_3M_EOD</v>
          </cell>
          <cell r="C338">
            <v>44077</v>
          </cell>
          <cell r="E338">
            <v>6.3871588351163099E-3</v>
          </cell>
          <cell r="F338">
            <v>0.96850097401929203</v>
          </cell>
        </row>
        <row r="339">
          <cell r="A339" t="str">
            <v>DKK_CIBOR_3M_EOD</v>
          </cell>
          <cell r="C339">
            <v>44442</v>
          </cell>
          <cell r="E339">
            <v>7.9891689376848998E-3</v>
          </cell>
          <cell r="F339">
            <v>0.95311227874834503</v>
          </cell>
        </row>
        <row r="340">
          <cell r="A340" t="str">
            <v>DKK_CIBOR_3M_EOD</v>
          </cell>
          <cell r="C340">
            <v>44809</v>
          </cell>
          <cell r="E340">
            <v>9.5617915292545604E-3</v>
          </cell>
          <cell r="F340">
            <v>0.93511129860217601</v>
          </cell>
        </row>
        <row r="341">
          <cell r="A341" t="str">
            <v>DKK_CIBOR_3M_EOD</v>
          </cell>
          <cell r="C341">
            <v>45173</v>
          </cell>
          <cell r="E341">
            <v>1.1063034410472799E-2</v>
          </cell>
          <cell r="F341">
            <v>0.91516049593000004</v>
          </cell>
        </row>
        <row r="342">
          <cell r="A342" t="str">
            <v>DKK_CIBOR_3M_EOD</v>
          </cell>
          <cell r="C342">
            <v>45538</v>
          </cell>
          <cell r="E342">
            <v>1.2449543062090399E-2</v>
          </cell>
          <cell r="F342">
            <v>0.89385078111480099</v>
          </cell>
        </row>
        <row r="343">
          <cell r="A343" t="str">
            <v>DKK_CIBOR_3M_EOD</v>
          </cell>
          <cell r="C343">
            <v>45903</v>
          </cell>
          <cell r="E343">
            <v>1.366715211358E-2</v>
          </cell>
          <cell r="F343">
            <v>0.87209340725552198</v>
          </cell>
        </row>
        <row r="344">
          <cell r="A344" t="str">
            <v>DKK_CIBOR_3M_EOD</v>
          </cell>
          <cell r="C344">
            <v>46633</v>
          </cell>
          <cell r="E344">
            <v>1.5617354976036101E-2</v>
          </cell>
          <cell r="F344">
            <v>0.82892782025955203</v>
          </cell>
        </row>
        <row r="345">
          <cell r="A345" t="str">
            <v>DKK_CIBOR_3M_EOD</v>
          </cell>
          <cell r="C345">
            <v>47729</v>
          </cell>
          <cell r="E345">
            <v>1.7669903956354201E-2</v>
          </cell>
          <cell r="F345">
            <v>0.76694589319935003</v>
          </cell>
        </row>
        <row r="346">
          <cell r="A346" t="str">
            <v>DKK_CIBOR_3M_EOD</v>
          </cell>
          <cell r="C346">
            <v>49555</v>
          </cell>
          <cell r="E346">
            <v>1.9286176849041398E-2</v>
          </cell>
          <cell r="F346">
            <v>0.67970703205212601</v>
          </cell>
        </row>
        <row r="347">
          <cell r="A347" t="str">
            <v>DKK_CIBOR_3M_EOD</v>
          </cell>
          <cell r="C347">
            <v>51382</v>
          </cell>
          <cell r="E347">
            <v>1.9527693150872501E-2</v>
          </cell>
          <cell r="F347">
            <v>0.61343937772090396</v>
          </cell>
        </row>
        <row r="348">
          <cell r="A348" t="str">
            <v>DKK_CIBOR_3M_EOD</v>
          </cell>
          <cell r="C348">
            <v>53209</v>
          </cell>
          <cell r="E348">
            <v>1.9510867950166599E-2</v>
          </cell>
          <cell r="F348">
            <v>0.55659687894394005</v>
          </cell>
        </row>
        <row r="349">
          <cell r="A349" t="str">
            <v>DKK_CIBOR_6M_EOD</v>
          </cell>
          <cell r="C349">
            <v>42432</v>
          </cell>
          <cell r="E349">
            <v>1.5962395814196301E-3</v>
          </cell>
          <cell r="F349">
            <v>0.99919564398847105</v>
          </cell>
        </row>
        <row r="350">
          <cell r="A350" t="str">
            <v>DKK_CIBOR_6M_EOD</v>
          </cell>
          <cell r="C350">
            <v>42618</v>
          </cell>
          <cell r="E350">
            <v>2.2139580195172301E-3</v>
          </cell>
          <cell r="F350">
            <v>0.99775823031578004</v>
          </cell>
        </row>
        <row r="351">
          <cell r="A351" t="str">
            <v>DKK_CIBOR_6M_EOD</v>
          </cell>
          <cell r="C351">
            <v>42982</v>
          </cell>
          <cell r="E351">
            <v>3.2244846492742799E-3</v>
          </cell>
          <cell r="F351">
            <v>0.99353667162975101</v>
          </cell>
        </row>
        <row r="352">
          <cell r="A352" t="str">
            <v>DKK_CIBOR_6M_EOD</v>
          </cell>
          <cell r="C352">
            <v>43346</v>
          </cell>
          <cell r="E352">
            <v>4.4756293942276497E-3</v>
          </cell>
          <cell r="F352">
            <v>0.98662655568771596</v>
          </cell>
        </row>
        <row r="353">
          <cell r="A353" t="str">
            <v>DKK_CIBOR_6M_EOD</v>
          </cell>
          <cell r="C353">
            <v>43711</v>
          </cell>
          <cell r="E353">
            <v>6.1149213300975098E-3</v>
          </cell>
          <cell r="F353">
            <v>0.97578798470962003</v>
          </cell>
        </row>
        <row r="354">
          <cell r="A354" t="str">
            <v>DKK_CIBOR_6M_EOD</v>
          </cell>
          <cell r="C354">
            <v>44077</v>
          </cell>
          <cell r="E354">
            <v>7.7725749126425501E-3</v>
          </cell>
          <cell r="F354">
            <v>0.96180067005956504</v>
          </cell>
        </row>
        <row r="355">
          <cell r="A355" t="str">
            <v>DKK_CIBOR_6M_EOD</v>
          </cell>
          <cell r="C355">
            <v>44442</v>
          </cell>
          <cell r="E355">
            <v>9.3195794537702208E-3</v>
          </cell>
          <cell r="F355">
            <v>0.94552059490052698</v>
          </cell>
        </row>
        <row r="356">
          <cell r="A356" t="str">
            <v>DKK_CIBOR_6M_EOD</v>
          </cell>
          <cell r="C356">
            <v>44809</v>
          </cell>
          <cell r="E356">
            <v>1.0837783573792E-2</v>
          </cell>
          <cell r="F356">
            <v>0.92677668762249199</v>
          </cell>
        </row>
        <row r="357">
          <cell r="A357" t="str">
            <v>DKK_CIBOR_6M_EOD</v>
          </cell>
          <cell r="C357">
            <v>45173</v>
          </cell>
          <cell r="E357">
            <v>1.22833772369012E-2</v>
          </cell>
          <cell r="F357">
            <v>0.90625434047341902</v>
          </cell>
        </row>
        <row r="358">
          <cell r="A358" t="str">
            <v>DKK_CIBOR_6M_EOD</v>
          </cell>
          <cell r="C358">
            <v>45538</v>
          </cell>
          <cell r="E358">
            <v>1.3610350590918901E-2</v>
          </cell>
          <cell r="F358">
            <v>0.88454702737782998</v>
          </cell>
        </row>
        <row r="359">
          <cell r="A359" t="str">
            <v>DKK_CIBOR_6M_EOD</v>
          </cell>
          <cell r="C359">
            <v>45903</v>
          </cell>
          <cell r="E359">
            <v>1.47657805807481E-2</v>
          </cell>
          <cell r="F359">
            <v>0.86255179752850897</v>
          </cell>
        </row>
        <row r="360">
          <cell r="A360" t="str">
            <v>DKK_CIBOR_6M_EOD</v>
          </cell>
          <cell r="C360">
            <v>46633</v>
          </cell>
          <cell r="E360">
            <v>1.6580122515148499E-2</v>
          </cell>
          <cell r="F360">
            <v>0.819395344773722</v>
          </cell>
        </row>
        <row r="361">
          <cell r="A361" t="str">
            <v>DKK_CIBOR_6M_EOD</v>
          </cell>
          <cell r="C361">
            <v>47729</v>
          </cell>
          <cell r="E361">
            <v>1.8474151039282599E-2</v>
          </cell>
          <cell r="F361">
            <v>0.75773924971058104</v>
          </cell>
        </row>
        <row r="362">
          <cell r="A362" t="str">
            <v>DKK_CIBOR_6M_EOD</v>
          </cell>
          <cell r="C362">
            <v>49555</v>
          </cell>
          <cell r="E362">
            <v>1.9924476290331498E-2</v>
          </cell>
          <cell r="F362">
            <v>0.67107683588497802</v>
          </cell>
        </row>
        <row r="363">
          <cell r="A363" t="str">
            <v>DKK_CIBOR_6M_EOD</v>
          </cell>
          <cell r="C363">
            <v>51382</v>
          </cell>
          <cell r="E363">
            <v>2.0060556688824099E-2</v>
          </cell>
          <cell r="F363">
            <v>0.60531362848312398</v>
          </cell>
        </row>
        <row r="364">
          <cell r="A364" t="str">
            <v>DKK_CIBOR_6M_EOD</v>
          </cell>
          <cell r="C364">
            <v>53209</v>
          </cell>
          <cell r="E364">
            <v>1.9971046615762201E-2</v>
          </cell>
          <cell r="F364">
            <v>0.54895804254434599</v>
          </cell>
        </row>
        <row r="365">
          <cell r="A365" t="str">
            <v>DKK_CIBOR_EOD</v>
          </cell>
          <cell r="C365">
            <v>42249</v>
          </cell>
          <cell r="E365">
            <v>-4.1397318091262597E-3</v>
          </cell>
          <cell r="F365">
            <v>1.0000113417953</v>
          </cell>
        </row>
        <row r="366">
          <cell r="A366" t="str">
            <v>DKK_CIBOR_EOD</v>
          </cell>
          <cell r="C366">
            <v>42250</v>
          </cell>
          <cell r="E366">
            <v>-1.7570814504426801E-3</v>
          </cell>
          <cell r="F366">
            <v>1.00000962788991</v>
          </cell>
        </row>
        <row r="367">
          <cell r="A367" t="str">
            <v>DKK_CIBOR_EOD</v>
          </cell>
          <cell r="C367">
            <v>42257</v>
          </cell>
          <cell r="E367">
            <v>-3.2491666902585798E-3</v>
          </cell>
          <cell r="F367">
            <v>1.00008011964835</v>
          </cell>
        </row>
        <row r="368">
          <cell r="A368" t="str">
            <v>DKK_CIBOR_EOD</v>
          </cell>
          <cell r="C368">
            <v>42354</v>
          </cell>
          <cell r="E368">
            <v>-6.2175755703819998E-4</v>
          </cell>
          <cell r="F368">
            <v>1.0001805815112199</v>
          </cell>
        </row>
        <row r="369">
          <cell r="A369" t="str">
            <v>DKK_CIBOR_EOD</v>
          </cell>
          <cell r="C369">
            <v>42445</v>
          </cell>
          <cell r="E369">
            <v>-7.2295329206549999E-5</v>
          </cell>
          <cell r="F369">
            <v>1.0000390204321099</v>
          </cell>
        </row>
        <row r="370">
          <cell r="A370" t="str">
            <v>DKK_CIBOR_EOD</v>
          </cell>
          <cell r="C370">
            <v>42536</v>
          </cell>
          <cell r="E370">
            <v>2.8688211582564998E-4</v>
          </cell>
          <cell r="F370">
            <v>0.99977366383883204</v>
          </cell>
        </row>
        <row r="371">
          <cell r="A371" t="str">
            <v>DKK_CIBOR_EOD</v>
          </cell>
          <cell r="C371">
            <v>42634</v>
          </cell>
          <cell r="E371">
            <v>5.9751318150673004E-4</v>
          </cell>
          <cell r="F371">
            <v>0.99936830894863005</v>
          </cell>
        </row>
        <row r="372">
          <cell r="A372" t="str">
            <v>DKK_CIBOR_EOD</v>
          </cell>
          <cell r="C372">
            <v>42725</v>
          </cell>
          <cell r="E372">
            <v>8.6544192464042997E-4</v>
          </cell>
          <cell r="F372">
            <v>0.99886963715546995</v>
          </cell>
        </row>
        <row r="373">
          <cell r="A373" t="str">
            <v>DKK_CIBOR_EOD</v>
          </cell>
          <cell r="C373">
            <v>42809</v>
          </cell>
          <cell r="E373">
            <v>1.1152769842521499E-3</v>
          </cell>
          <cell r="F373">
            <v>0.99828730289544798</v>
          </cell>
        </row>
        <row r="374">
          <cell r="A374" t="str">
            <v>DKK_CIBOR_EOD</v>
          </cell>
          <cell r="C374">
            <v>42982</v>
          </cell>
          <cell r="E374">
            <v>3.22116965873618E-3</v>
          </cell>
          <cell r="F374">
            <v>0.99354329487501802</v>
          </cell>
        </row>
        <row r="375">
          <cell r="A375" t="str">
            <v>DKK_CIBOR_EOD</v>
          </cell>
          <cell r="C375">
            <v>43346</v>
          </cell>
          <cell r="E375">
            <v>4.4766641959957396E-3</v>
          </cell>
          <cell r="F375">
            <v>0.98662348441230696</v>
          </cell>
        </row>
        <row r="376">
          <cell r="A376" t="str">
            <v>DKK_CIBOR_EOD</v>
          </cell>
          <cell r="C376">
            <v>43711</v>
          </cell>
          <cell r="E376">
            <v>6.1163200835236903E-3</v>
          </cell>
          <cell r="F376">
            <v>0.97578251395956095</v>
          </cell>
        </row>
        <row r="377">
          <cell r="A377" t="str">
            <v>DKK_CIBOR_EOD</v>
          </cell>
          <cell r="C377">
            <v>44077</v>
          </cell>
          <cell r="E377">
            <v>7.7736936676839896E-3</v>
          </cell>
          <cell r="F377">
            <v>0.96179527818594301</v>
          </cell>
        </row>
        <row r="378">
          <cell r="A378" t="str">
            <v>DKK_CIBOR_EOD</v>
          </cell>
          <cell r="C378">
            <v>44442</v>
          </cell>
          <cell r="E378">
            <v>9.3205120270259591E-3</v>
          </cell>
          <cell r="F378">
            <v>0.94551529464886297</v>
          </cell>
        </row>
        <row r="379">
          <cell r="A379" t="str">
            <v>DKK_CIBOR_EOD</v>
          </cell>
          <cell r="C379">
            <v>44809</v>
          </cell>
          <cell r="E379">
            <v>1.08385824606692E-2</v>
          </cell>
          <cell r="F379">
            <v>0.92677149273812398</v>
          </cell>
        </row>
        <row r="380">
          <cell r="A380" t="str">
            <v>DKK_CIBOR_EOD</v>
          </cell>
          <cell r="C380">
            <v>45173</v>
          </cell>
          <cell r="E380">
            <v>1.22849290119899E-2</v>
          </cell>
          <cell r="F380">
            <v>0.90624307085579103</v>
          </cell>
        </row>
        <row r="381">
          <cell r="A381" t="str">
            <v>DKK_CIBOR_EOD</v>
          </cell>
          <cell r="C381">
            <v>45538</v>
          </cell>
          <cell r="E381">
            <v>1.3611513063922699E-2</v>
          </cell>
          <cell r="F381">
            <v>0.88453775898224696</v>
          </cell>
        </row>
        <row r="382">
          <cell r="A382" t="str">
            <v>DKK_CIBOR_EOD</v>
          </cell>
          <cell r="C382">
            <v>45903</v>
          </cell>
          <cell r="E382">
            <v>1.4766826930114E-2</v>
          </cell>
          <cell r="F382">
            <v>0.86254275990716001</v>
          </cell>
        </row>
        <row r="383">
          <cell r="A383" t="str">
            <v>DKK_CIBOR_EOD</v>
          </cell>
          <cell r="C383">
            <v>46633</v>
          </cell>
          <cell r="E383">
            <v>1.65809944434737E-2</v>
          </cell>
          <cell r="F383">
            <v>0.81938676158350798</v>
          </cell>
        </row>
        <row r="384">
          <cell r="A384" t="str">
            <v>DKK_CIBOR_EOD</v>
          </cell>
          <cell r="C384">
            <v>47729</v>
          </cell>
          <cell r="E384">
            <v>1.8474213780041899E-2</v>
          </cell>
          <cell r="F384">
            <v>0.75773853581238204</v>
          </cell>
        </row>
        <row r="385">
          <cell r="A385" t="str">
            <v>DKK_CIBOR_EOD</v>
          </cell>
          <cell r="C385">
            <v>49555</v>
          </cell>
          <cell r="E385">
            <v>1.9923367319507401E-2</v>
          </cell>
          <cell r="F385">
            <v>0.67109173441540804</v>
          </cell>
        </row>
        <row r="386">
          <cell r="A386" t="str">
            <v>DKK_CIBOR_EOD</v>
          </cell>
          <cell r="C386">
            <v>51382</v>
          </cell>
          <cell r="E386">
            <v>2.0059461574071701E-2</v>
          </cell>
          <cell r="F386">
            <v>0.60533021725271896</v>
          </cell>
        </row>
        <row r="387">
          <cell r="A387" t="str">
            <v>DKK_CIBOR_EOD</v>
          </cell>
          <cell r="C387">
            <v>53209</v>
          </cell>
          <cell r="E387">
            <v>1.99701649664972E-2</v>
          </cell>
          <cell r="F387">
            <v>0.54897257697634805</v>
          </cell>
        </row>
        <row r="388">
          <cell r="A388" t="str">
            <v>EUR_EONIA_EOD</v>
          </cell>
          <cell r="C388">
            <v>42249</v>
          </cell>
          <cell r="E388">
            <v>-1.2673633113434301E-3</v>
          </cell>
          <cell r="F388">
            <v>1.0000034722342801</v>
          </cell>
        </row>
        <row r="389">
          <cell r="A389" t="str">
            <v>EUR_EONIA_EOD</v>
          </cell>
          <cell r="C389">
            <v>42250</v>
          </cell>
          <cell r="E389">
            <v>-1.2673633113861301E-3</v>
          </cell>
          <cell r="F389">
            <v>1.0000069444806099</v>
          </cell>
        </row>
        <row r="390">
          <cell r="A390" t="str">
            <v>EUR_EONIA_EOD</v>
          </cell>
          <cell r="C390">
            <v>42257</v>
          </cell>
          <cell r="E390">
            <v>-1.3225755761178399E-3</v>
          </cell>
          <cell r="F390">
            <v>1.0000326119843199</v>
          </cell>
        </row>
        <row r="391">
          <cell r="A391" t="str">
            <v>EUR_EONIA_EOD</v>
          </cell>
          <cell r="C391">
            <v>42264</v>
          </cell>
          <cell r="E391">
            <v>-1.2940042331346299E-3</v>
          </cell>
          <cell r="F391">
            <v>1.00005672508204</v>
          </cell>
        </row>
        <row r="392">
          <cell r="A392" t="str">
            <v>EUR_EONIA_EOD</v>
          </cell>
          <cell r="C392">
            <v>42271</v>
          </cell>
          <cell r="E392">
            <v>-1.29054831292416E-3</v>
          </cell>
          <cell r="F392">
            <v>1.0000813255292</v>
          </cell>
        </row>
        <row r="393">
          <cell r="A393" t="str">
            <v>EUR_EONIA_EOD</v>
          </cell>
          <cell r="C393">
            <v>42282</v>
          </cell>
          <cell r="E393">
            <v>-1.25947456544553E-3</v>
          </cell>
          <cell r="F393">
            <v>1.00011732780079</v>
          </cell>
        </row>
        <row r="394">
          <cell r="A394" t="str">
            <v>EUR_EONIA_EOD</v>
          </cell>
          <cell r="C394">
            <v>42311</v>
          </cell>
          <cell r="E394">
            <v>-1.3116772701432401E-3</v>
          </cell>
          <cell r="F394">
            <v>1.00022642472067</v>
          </cell>
        </row>
        <row r="395">
          <cell r="A395" t="str">
            <v>EUR_EONIA_EOD</v>
          </cell>
          <cell r="C395">
            <v>42341</v>
          </cell>
          <cell r="E395">
            <v>-1.32462044190332E-3</v>
          </cell>
          <cell r="F395">
            <v>1.00033756299197</v>
          </cell>
        </row>
        <row r="396">
          <cell r="A396" t="str">
            <v>EUR_EONIA_EOD</v>
          </cell>
          <cell r="C396">
            <v>42373</v>
          </cell>
          <cell r="E396">
            <v>-1.3042244950597201E-3</v>
          </cell>
          <cell r="F396">
            <v>1.00044675198829</v>
          </cell>
        </row>
        <row r="397">
          <cell r="A397" t="str">
            <v>EUR_EONIA_EOD</v>
          </cell>
          <cell r="C397">
            <v>42403</v>
          </cell>
          <cell r="E397">
            <v>-1.34279513477746E-3</v>
          </cell>
          <cell r="F397">
            <v>1.0005703906818699</v>
          </cell>
        </row>
        <row r="398">
          <cell r="A398" t="str">
            <v>EUR_EONIA_EOD</v>
          </cell>
          <cell r="C398">
            <v>42432</v>
          </cell>
          <cell r="E398">
            <v>-1.3681101900143301E-3</v>
          </cell>
          <cell r="F398">
            <v>1.0006899153478399</v>
          </cell>
        </row>
        <row r="399">
          <cell r="A399" t="str">
            <v>EUR_EONIA_EOD</v>
          </cell>
          <cell r="C399">
            <v>42464</v>
          </cell>
          <cell r="E399">
            <v>-1.38092204537746E-3</v>
          </cell>
          <cell r="F399">
            <v>1.00081753718452</v>
          </cell>
        </row>
        <row r="400">
          <cell r="A400" t="str">
            <v>EUR_EONIA_EOD</v>
          </cell>
          <cell r="C400">
            <v>42493</v>
          </cell>
          <cell r="E400">
            <v>-1.3861556448077001E-3</v>
          </cell>
          <cell r="F400">
            <v>1.0009308662283201</v>
          </cell>
        </row>
        <row r="401">
          <cell r="A401" t="str">
            <v>EUR_EONIA_EOD</v>
          </cell>
          <cell r="C401">
            <v>42524</v>
          </cell>
          <cell r="E401">
            <v>-1.3989415521718201E-3</v>
          </cell>
          <cell r="F401">
            <v>1.0010583894756899</v>
          </cell>
        </row>
        <row r="402">
          <cell r="A402" t="str">
            <v>EUR_EONIA_EOD</v>
          </cell>
          <cell r="C402">
            <v>42555</v>
          </cell>
          <cell r="E402">
            <v>-1.40668474294057E-3</v>
          </cell>
          <cell r="F402">
            <v>1.00118385696247</v>
          </cell>
        </row>
        <row r="403">
          <cell r="A403" t="str">
            <v>EUR_EONIA_EOD</v>
          </cell>
          <cell r="C403">
            <v>42585</v>
          </cell>
          <cell r="E403">
            <v>-1.45646594295661E-3</v>
          </cell>
          <cell r="F403">
            <v>1.00134564161299</v>
          </cell>
        </row>
        <row r="404">
          <cell r="A404" t="str">
            <v>EUR_EONIA_EOD</v>
          </cell>
          <cell r="C404">
            <v>42618</v>
          </cell>
          <cell r="E404">
            <v>-1.4566622146610099E-3</v>
          </cell>
          <cell r="F404">
            <v>1.00147770722651</v>
          </cell>
        </row>
        <row r="405">
          <cell r="A405" t="str">
            <v>EUR_EONIA_EOD</v>
          </cell>
          <cell r="C405">
            <v>42709</v>
          </cell>
          <cell r="E405">
            <v>-1.4600657011259999E-3</v>
          </cell>
          <cell r="F405">
            <v>1.0018457843480999</v>
          </cell>
        </row>
        <row r="406">
          <cell r="A406" t="str">
            <v>EUR_EONIA_EOD</v>
          </cell>
          <cell r="C406">
            <v>42797</v>
          </cell>
          <cell r="E406">
            <v>-1.42308600719895E-3</v>
          </cell>
          <cell r="F406">
            <v>1.0021427697663701</v>
          </cell>
        </row>
        <row r="407">
          <cell r="A407" t="str">
            <v>EUR_EONIA_EOD</v>
          </cell>
          <cell r="C407">
            <v>42891</v>
          </cell>
          <cell r="E407">
            <v>-1.32882441501403E-3</v>
          </cell>
          <cell r="F407">
            <v>1.0023436574208799</v>
          </cell>
        </row>
        <row r="408">
          <cell r="A408" t="str">
            <v>EUR_EONIA_EOD</v>
          </cell>
          <cell r="C408">
            <v>42982</v>
          </cell>
          <cell r="E408">
            <v>-1.1923968586621499E-3</v>
          </cell>
          <cell r="F408">
            <v>1.00240073824826</v>
          </cell>
        </row>
        <row r="409">
          <cell r="A409" t="str">
            <v>EUR_EONIA_EOD</v>
          </cell>
          <cell r="C409">
            <v>43346</v>
          </cell>
          <cell r="E409">
            <v>-4.9062081552434E-4</v>
          </cell>
          <cell r="F409">
            <v>1.0014769846153899</v>
          </cell>
        </row>
        <row r="410">
          <cell r="A410" t="str">
            <v>EUR_EONIA_EOD</v>
          </cell>
          <cell r="C410">
            <v>43711</v>
          </cell>
          <cell r="E410">
            <v>6.9095720421525003E-4</v>
          </cell>
          <cell r="F410">
            <v>0.99723432363189701</v>
          </cell>
        </row>
        <row r="411">
          <cell r="A411" t="str">
            <v>EUR_EONIA_EOD</v>
          </cell>
          <cell r="C411">
            <v>44077</v>
          </cell>
          <cell r="E411">
            <v>2.0752602288998602E-3</v>
          </cell>
          <cell r="F411">
            <v>0.98965483939344701</v>
          </cell>
        </row>
        <row r="412">
          <cell r="A412" t="str">
            <v>EUR_EONIA_EOD</v>
          </cell>
          <cell r="C412">
            <v>44442</v>
          </cell>
          <cell r="E412">
            <v>3.57227235772837E-3</v>
          </cell>
          <cell r="F412">
            <v>0.97875611656115802</v>
          </cell>
        </row>
        <row r="413">
          <cell r="A413" t="str">
            <v>EUR_EONIA_EOD</v>
          </cell>
          <cell r="C413">
            <v>44809</v>
          </cell>
          <cell r="E413">
            <v>5.0981648542883602E-3</v>
          </cell>
          <cell r="F413">
            <v>0.96486126055034405</v>
          </cell>
        </row>
        <row r="414">
          <cell r="A414" t="str">
            <v>EUR_EONIA_EOD</v>
          </cell>
          <cell r="C414">
            <v>45173</v>
          </cell>
          <cell r="E414">
            <v>6.5590756173417699E-3</v>
          </cell>
          <cell r="F414">
            <v>0.94879506193487995</v>
          </cell>
        </row>
        <row r="415">
          <cell r="A415" t="str">
            <v>EUR_EONIA_EOD</v>
          </cell>
          <cell r="C415">
            <v>45538</v>
          </cell>
          <cell r="E415">
            <v>7.9204832724662794E-3</v>
          </cell>
          <cell r="F415">
            <v>0.93109603991405099</v>
          </cell>
        </row>
        <row r="416">
          <cell r="A416" t="str">
            <v>EUR_EONIA_EOD</v>
          </cell>
          <cell r="C416">
            <v>45903</v>
          </cell>
          <cell r="E416">
            <v>9.1310281189194605E-3</v>
          </cell>
          <cell r="F416">
            <v>0.91262030258493998</v>
          </cell>
        </row>
        <row r="417">
          <cell r="A417" t="str">
            <v>EUR_EONIA_EOD</v>
          </cell>
          <cell r="C417">
            <v>46633</v>
          </cell>
          <cell r="E417">
            <v>1.11211977451033E-2</v>
          </cell>
          <cell r="F417">
            <v>0.87493409267738798</v>
          </cell>
        </row>
        <row r="418">
          <cell r="A418" t="str">
            <v>EUR_EONIA_EOD</v>
          </cell>
          <cell r="C418">
            <v>47729</v>
          </cell>
          <cell r="E418">
            <v>1.32618471334088E-2</v>
          </cell>
          <cell r="F418">
            <v>0.81943048544410402</v>
          </cell>
        </row>
        <row r="419">
          <cell r="A419" t="str">
            <v>EUR_EONIA_EOD</v>
          </cell>
          <cell r="C419">
            <v>49555</v>
          </cell>
          <cell r="E419">
            <v>1.50628895659203E-2</v>
          </cell>
          <cell r="F419">
            <v>0.73967330599262204</v>
          </cell>
        </row>
        <row r="420">
          <cell r="A420" t="str">
            <v>EUR_EONIA_EOD</v>
          </cell>
          <cell r="C420">
            <v>51382</v>
          </cell>
          <cell r="E420">
            <v>1.55723921239239E-2</v>
          </cell>
          <cell r="F420">
            <v>0.677264234675925</v>
          </cell>
        </row>
        <row r="421">
          <cell r="A421" t="str">
            <v>EUR_EONIA_EOD</v>
          </cell>
          <cell r="C421">
            <v>53209</v>
          </cell>
          <cell r="E421">
            <v>1.5765164618209201E-2</v>
          </cell>
          <cell r="F421">
            <v>0.62286214977542298</v>
          </cell>
        </row>
        <row r="422">
          <cell r="A422" t="str">
            <v>EUR_EONIA_EOD</v>
          </cell>
          <cell r="C422">
            <v>56860</v>
          </cell>
          <cell r="E422">
            <v>1.6078729444676601E-2</v>
          </cell>
          <cell r="F422">
            <v>0.52535671312160104</v>
          </cell>
        </row>
        <row r="423">
          <cell r="A423" t="str">
            <v>EUR_EONIA_EOD</v>
          </cell>
          <cell r="C423">
            <v>60513</v>
          </cell>
          <cell r="E423">
            <v>1.5672906185183799E-2</v>
          </cell>
          <cell r="F423">
            <v>0.45644393504164099</v>
          </cell>
        </row>
        <row r="424">
          <cell r="A424" t="str">
            <v>EUR_EONIA_EOD</v>
          </cell>
          <cell r="C424">
            <v>64165</v>
          </cell>
          <cell r="E424">
            <v>1.5327201436955699E-2</v>
          </cell>
          <cell r="F424">
            <v>0.39838119492734297</v>
          </cell>
        </row>
        <row r="425">
          <cell r="A425" t="str">
            <v>EUR_EURIBOR_12M_EOD</v>
          </cell>
          <cell r="C425">
            <v>42618</v>
          </cell>
          <cell r="E425">
            <v>1.63101933126946E-3</v>
          </cell>
          <cell r="F425">
            <v>0.99834800398825696</v>
          </cell>
        </row>
        <row r="426">
          <cell r="A426" t="str">
            <v>EUR_EURIBOR_12M_EOD</v>
          </cell>
          <cell r="C426">
            <v>42646</v>
          </cell>
          <cell r="E426">
            <v>1.5698334646472899E-3</v>
          </cell>
          <cell r="F426">
            <v>0.99828970061823596</v>
          </cell>
        </row>
        <row r="427">
          <cell r="A427" t="str">
            <v>EUR_EURIBOR_12M_EOD</v>
          </cell>
          <cell r="C427">
            <v>42677</v>
          </cell>
          <cell r="E427">
            <v>1.6569326286691099E-3</v>
          </cell>
          <cell r="F427">
            <v>0.99805443179485198</v>
          </cell>
        </row>
        <row r="428">
          <cell r="A428" t="str">
            <v>EUR_EURIBOR_12M_EOD</v>
          </cell>
          <cell r="C428">
            <v>42709</v>
          </cell>
          <cell r="E428">
            <v>1.6471796028799299E-3</v>
          </cell>
          <cell r="F428">
            <v>0.997921752151254</v>
          </cell>
        </row>
        <row r="429">
          <cell r="A429" t="str">
            <v>EUR_EURIBOR_12M_EOD</v>
          </cell>
          <cell r="C429">
            <v>42738</v>
          </cell>
          <cell r="E429">
            <v>1.68546989429166E-3</v>
          </cell>
          <cell r="F429">
            <v>0.99773987233193595</v>
          </cell>
        </row>
        <row r="430">
          <cell r="A430" t="str">
            <v>EUR_EURIBOR_12M_EOD</v>
          </cell>
          <cell r="C430">
            <v>42769</v>
          </cell>
          <cell r="E430">
            <v>1.75189900518717E-3</v>
          </cell>
          <cell r="F430">
            <v>0.99750246819494703</v>
          </cell>
        </row>
        <row r="431">
          <cell r="A431" t="str">
            <v>EUR_EURIBOR_12M_EOD</v>
          </cell>
          <cell r="C431">
            <v>42797</v>
          </cell>
          <cell r="E431">
            <v>1.78579411524989E-3</v>
          </cell>
          <cell r="F431">
            <v>0.99731757409824695</v>
          </cell>
        </row>
        <row r="432">
          <cell r="A432" t="str">
            <v>EUR_EURIBOR_12M_EOD</v>
          </cell>
          <cell r="C432">
            <v>42828</v>
          </cell>
          <cell r="E432">
            <v>1.8961949889460699E-3</v>
          </cell>
          <cell r="F432">
            <v>0.99699140316233503</v>
          </cell>
        </row>
        <row r="433">
          <cell r="A433" t="str">
            <v>EUR_EURIBOR_12M_EOD</v>
          </cell>
          <cell r="C433">
            <v>42858</v>
          </cell>
          <cell r="E433">
            <v>1.95195153074303E-3</v>
          </cell>
          <cell r="F433">
            <v>0.99674314950905396</v>
          </cell>
        </row>
        <row r="434">
          <cell r="A434" t="str">
            <v>EUR_EURIBOR_12M_EOD</v>
          </cell>
          <cell r="C434">
            <v>42891</v>
          </cell>
          <cell r="E434">
            <v>2.01220249450489E-3</v>
          </cell>
          <cell r="F434">
            <v>0.99646149120968697</v>
          </cell>
        </row>
        <row r="435">
          <cell r="A435" t="str">
            <v>EUR_EURIBOR_12M_EOD</v>
          </cell>
          <cell r="C435">
            <v>42919</v>
          </cell>
          <cell r="E435">
            <v>2.0631838247128901E-3</v>
          </cell>
          <cell r="F435">
            <v>0.99621431713118302</v>
          </cell>
        </row>
        <row r="436">
          <cell r="A436" t="str">
            <v>EUR_EURIBOR_12M_EOD</v>
          </cell>
          <cell r="C436">
            <v>42950</v>
          </cell>
          <cell r="E436">
            <v>2.12551680524555E-3</v>
          </cell>
          <cell r="F436">
            <v>0.99592036415032703</v>
          </cell>
        </row>
        <row r="437">
          <cell r="A437" t="str">
            <v>EUR_EURIBOR_12M_EOD</v>
          </cell>
          <cell r="C437">
            <v>42982</v>
          </cell>
          <cell r="E437">
            <v>2.17620579494607E-3</v>
          </cell>
          <cell r="F437">
            <v>0.99563330145360995</v>
          </cell>
        </row>
        <row r="438">
          <cell r="A438" t="str">
            <v>EUR_EURIBOR_12M_EOD</v>
          </cell>
          <cell r="C438">
            <v>43346</v>
          </cell>
          <cell r="E438">
            <v>3.1132271590456201E-3</v>
          </cell>
          <cell r="F438">
            <v>0.990678447910189</v>
          </cell>
        </row>
        <row r="439">
          <cell r="A439" t="str">
            <v>EUR_EURIBOR_12M_EOD</v>
          </cell>
          <cell r="C439">
            <v>43711</v>
          </cell>
          <cell r="E439">
            <v>4.4408295458301401E-3</v>
          </cell>
          <cell r="F439">
            <v>0.98235766284887605</v>
          </cell>
        </row>
        <row r="440">
          <cell r="A440" t="str">
            <v>EUR_EURIBOR_12M_EOD</v>
          </cell>
          <cell r="C440">
            <v>44077</v>
          </cell>
          <cell r="E440">
            <v>5.8752533923264903E-3</v>
          </cell>
          <cell r="F440">
            <v>0.97098850089439503</v>
          </cell>
        </row>
        <row r="441">
          <cell r="A441" t="str">
            <v>EUR_EURIBOR_12M_EOD</v>
          </cell>
          <cell r="C441">
            <v>44442</v>
          </cell>
          <cell r="E441">
            <v>7.3436783049143804E-3</v>
          </cell>
          <cell r="F441">
            <v>0.95681755484804498</v>
          </cell>
        </row>
        <row r="442">
          <cell r="A442" t="str">
            <v>EUR_EURIBOR_12M_EOD</v>
          </cell>
          <cell r="C442">
            <v>44809</v>
          </cell>
          <cell r="E442">
            <v>8.8243656535688109E-3</v>
          </cell>
          <cell r="F442">
            <v>0.93996219967296901</v>
          </cell>
        </row>
        <row r="443">
          <cell r="A443" t="str">
            <v>EUR_EURIBOR_12M_EOD</v>
          </cell>
          <cell r="C443">
            <v>45173</v>
          </cell>
          <cell r="E443">
            <v>1.01946881916751E-2</v>
          </cell>
          <cell r="F443">
            <v>0.92155100005573298</v>
          </cell>
        </row>
        <row r="444">
          <cell r="A444" t="str">
            <v>EUR_EURIBOR_12M_EOD</v>
          </cell>
          <cell r="C444">
            <v>45538</v>
          </cell>
          <cell r="E444">
            <v>1.1446027794523399E-2</v>
          </cell>
          <cell r="F444">
            <v>0.90197268232216798</v>
          </cell>
        </row>
        <row r="445">
          <cell r="A445" t="str">
            <v>EUR_EURIBOR_12M_EOD</v>
          </cell>
          <cell r="C445">
            <v>45903</v>
          </cell>
          <cell r="E445">
            <v>1.25440684055933E-2</v>
          </cell>
          <cell r="F445">
            <v>0.88195652055845897</v>
          </cell>
        </row>
        <row r="446">
          <cell r="A446" t="str">
            <v>EUR_EURIBOR_12M_EOD</v>
          </cell>
          <cell r="C446">
            <v>46633</v>
          </cell>
          <cell r="E446">
            <v>1.42859130837552E-2</v>
          </cell>
          <cell r="F446">
            <v>0.84229358103830898</v>
          </cell>
        </row>
        <row r="447">
          <cell r="A447" t="str">
            <v>EUR_EURIBOR_12M_EOD</v>
          </cell>
          <cell r="C447">
            <v>47729</v>
          </cell>
          <cell r="E447">
            <v>1.6025970312494101E-2</v>
          </cell>
          <cell r="F447">
            <v>0.78611436444781901</v>
          </cell>
        </row>
        <row r="448">
          <cell r="A448" t="str">
            <v>EUR_EURIBOR_12M_EOD</v>
          </cell>
          <cell r="C448">
            <v>49555</v>
          </cell>
          <cell r="E448">
            <v>1.73644336521857E-2</v>
          </cell>
          <cell r="F448">
            <v>0.70636605131152796</v>
          </cell>
        </row>
        <row r="449">
          <cell r="A449" t="str">
            <v>EUR_EURIBOR_12M_EOD</v>
          </cell>
          <cell r="C449">
            <v>51382</v>
          </cell>
          <cell r="E449">
            <v>1.7540068184612199E-2</v>
          </cell>
          <cell r="F449">
            <v>0.64472320137711703</v>
          </cell>
        </row>
        <row r="450">
          <cell r="A450" t="str">
            <v>EUR_EURIBOR_12M_EOD</v>
          </cell>
          <cell r="C450">
            <v>53209</v>
          </cell>
          <cell r="E450">
            <v>1.7477384754340599E-2</v>
          </cell>
          <cell r="F450">
            <v>0.59164513477344205</v>
          </cell>
        </row>
        <row r="451">
          <cell r="A451" t="str">
            <v>EUR_EURIBOR_12M_EOD</v>
          </cell>
          <cell r="C451">
            <v>56860</v>
          </cell>
          <cell r="E451">
            <v>1.7471809538865801E-2</v>
          </cell>
          <cell r="F451">
            <v>0.49686009216643001</v>
          </cell>
        </row>
        <row r="452">
          <cell r="A452" t="str">
            <v>EUR_EURIBOR_12M_EOD</v>
          </cell>
          <cell r="C452">
            <v>60513</v>
          </cell>
          <cell r="E452">
            <v>1.6788389354547802E-2</v>
          </cell>
          <cell r="F452">
            <v>0.43166329621791399</v>
          </cell>
        </row>
        <row r="453">
          <cell r="A453" t="str">
            <v>EUR_EURIBOR_12M_EOD</v>
          </cell>
          <cell r="C453">
            <v>64165</v>
          </cell>
          <cell r="E453">
            <v>1.6469074630312198E-2</v>
          </cell>
          <cell r="F453">
            <v>0.37198136107188901</v>
          </cell>
        </row>
        <row r="454">
          <cell r="A454" t="str">
            <v>EUR_EURIBOR_1M_EOD</v>
          </cell>
          <cell r="C454">
            <v>42282</v>
          </cell>
          <cell r="E454">
            <v>-1.0037941675914101E-3</v>
          </cell>
          <cell r="F454">
            <v>1.00009350848589</v>
          </cell>
        </row>
        <row r="455">
          <cell r="A455" t="str">
            <v>EUR_EURIBOR_1M_EOD</v>
          </cell>
          <cell r="C455">
            <v>42311</v>
          </cell>
          <cell r="E455">
            <v>-1.01239779345705E-3</v>
          </cell>
          <cell r="F455">
            <v>1.0001747579012299</v>
          </cell>
        </row>
        <row r="456">
          <cell r="A456" t="str">
            <v>EUR_EURIBOR_1M_EOD</v>
          </cell>
          <cell r="C456">
            <v>42341</v>
          </cell>
          <cell r="E456">
            <v>-1.0367784039651601E-3</v>
          </cell>
          <cell r="F456">
            <v>1.00026420035112</v>
          </cell>
        </row>
        <row r="457">
          <cell r="A457" t="str">
            <v>EUR_EURIBOR_1M_EOD</v>
          </cell>
          <cell r="C457">
            <v>42432</v>
          </cell>
          <cell r="E457">
            <v>-1.0362561687216601E-3</v>
          </cell>
          <cell r="F457">
            <v>1.00052252313903</v>
          </cell>
        </row>
        <row r="458">
          <cell r="A458" t="str">
            <v>EUR_EURIBOR_1M_EOD</v>
          </cell>
          <cell r="C458">
            <v>42524</v>
          </cell>
          <cell r="E458">
            <v>-1.04174170910384E-3</v>
          </cell>
          <cell r="F458">
            <v>1.00078803831646</v>
          </cell>
        </row>
        <row r="459">
          <cell r="A459" t="str">
            <v>EUR_EURIBOR_1M_EOD</v>
          </cell>
          <cell r="C459">
            <v>42618</v>
          </cell>
          <cell r="E459">
            <v>-1.07688832484793E-3</v>
          </cell>
          <cell r="F459">
            <v>1.0010922362757699</v>
          </cell>
        </row>
        <row r="460">
          <cell r="A460" t="str">
            <v>EUR_EURIBOR_1M_EOD</v>
          </cell>
          <cell r="C460">
            <v>42982</v>
          </cell>
          <cell r="E460">
            <v>-7.8274895556261004E-4</v>
          </cell>
          <cell r="F460">
            <v>1.00157531548974</v>
          </cell>
        </row>
        <row r="461">
          <cell r="A461" t="str">
            <v>EUR_EURIBOR_1M_EOD</v>
          </cell>
          <cell r="C461">
            <v>43346</v>
          </cell>
          <cell r="E461">
            <v>-2.7894084300110001E-5</v>
          </cell>
          <cell r="F461">
            <v>1.00008391504002</v>
          </cell>
        </row>
        <row r="462">
          <cell r="A462" t="str">
            <v>EUR_EURIBOR_1M_EOD</v>
          </cell>
          <cell r="C462">
            <v>43711</v>
          </cell>
          <cell r="E462">
            <v>1.1435038774738799E-3</v>
          </cell>
          <cell r="F462">
            <v>0.99542707364138505</v>
          </cell>
        </row>
        <row r="463">
          <cell r="A463" t="str">
            <v>EUR_EURIBOR_1M_EOD</v>
          </cell>
          <cell r="C463">
            <v>44077</v>
          </cell>
          <cell r="E463">
            <v>2.5353515492738299E-3</v>
          </cell>
          <cell r="F463">
            <v>0.98737581959729404</v>
          </cell>
        </row>
        <row r="464">
          <cell r="A464" t="str">
            <v>EUR_EURIBOR_1M_EOD</v>
          </cell>
          <cell r="C464">
            <v>44442</v>
          </cell>
          <cell r="E464">
            <v>4.0381579310123997E-3</v>
          </cell>
          <cell r="F464">
            <v>0.97601902359408199</v>
          </cell>
        </row>
        <row r="465">
          <cell r="A465" t="str">
            <v>EUR_EURIBOR_1M_EOD</v>
          </cell>
          <cell r="C465">
            <v>44809</v>
          </cell>
          <cell r="E465">
            <v>5.5593116077033902E-3</v>
          </cell>
          <cell r="F465">
            <v>0.96174439315961902</v>
          </cell>
        </row>
        <row r="466">
          <cell r="A466" t="str">
            <v>EUR_EURIBOR_1M_EOD</v>
          </cell>
          <cell r="C466">
            <v>45173</v>
          </cell>
          <cell r="E466">
            <v>7.0164772186647401E-3</v>
          </cell>
          <cell r="F466">
            <v>0.94532364005095404</v>
          </cell>
        </row>
        <row r="467">
          <cell r="A467" t="str">
            <v>EUR_EURIBOR_1M_EOD</v>
          </cell>
          <cell r="C467">
            <v>45538</v>
          </cell>
          <cell r="E467">
            <v>8.3780520427873002E-3</v>
          </cell>
          <cell r="F467">
            <v>0.92726374787310795</v>
          </cell>
        </row>
        <row r="468">
          <cell r="A468" t="str">
            <v>EUR_EURIBOR_1M_EOD</v>
          </cell>
          <cell r="C468">
            <v>45903</v>
          </cell>
          <cell r="E468">
            <v>9.5742995174521502E-3</v>
          </cell>
          <cell r="F468">
            <v>0.90857835349379101</v>
          </cell>
        </row>
        <row r="469">
          <cell r="A469" t="str">
            <v>EUR_EURIBOR_1M_EOD</v>
          </cell>
          <cell r="C469">
            <v>46633</v>
          </cell>
          <cell r="E469">
            <v>1.1545795952588001E-2</v>
          </cell>
          <cell r="F469">
            <v>0.87048242195722403</v>
          </cell>
        </row>
        <row r="470">
          <cell r="A470" t="str">
            <v>EUR_EURIBOR_1M_EOD</v>
          </cell>
          <cell r="C470">
            <v>47729</v>
          </cell>
          <cell r="E470">
            <v>1.3633459882536199E-2</v>
          </cell>
          <cell r="F470">
            <v>0.81487055228593197</v>
          </cell>
        </row>
        <row r="471">
          <cell r="A471" t="str">
            <v>EUR_EURIBOR_1M_EOD</v>
          </cell>
          <cell r="C471">
            <v>49555</v>
          </cell>
          <cell r="E471">
            <v>1.5394045126482301E-2</v>
          </cell>
          <cell r="F471">
            <v>0.73478588819042301</v>
          </cell>
        </row>
        <row r="472">
          <cell r="A472" t="str">
            <v>EUR_EURIBOR_1M_EOD</v>
          </cell>
          <cell r="C472">
            <v>51382</v>
          </cell>
          <cell r="E472">
            <v>1.5830163806132801E-2</v>
          </cell>
          <cell r="F472">
            <v>0.67290950197249499</v>
          </cell>
        </row>
        <row r="473">
          <cell r="A473" t="str">
            <v>EUR_EURIBOR_1M_EOD</v>
          </cell>
          <cell r="C473">
            <v>53209</v>
          </cell>
          <cell r="E473">
            <v>1.59711920081364E-2</v>
          </cell>
          <cell r="F473">
            <v>0.61902037933739196</v>
          </cell>
        </row>
        <row r="474">
          <cell r="A474" t="str">
            <v>EUR_EURIBOR_1M_EOD</v>
          </cell>
          <cell r="C474">
            <v>56860</v>
          </cell>
          <cell r="E474">
            <v>1.59955636916627E-2</v>
          </cell>
          <cell r="F474">
            <v>0.52710873196266395</v>
          </cell>
        </row>
        <row r="475">
          <cell r="A475" t="str">
            <v>EUR_EURIBOR_1M_EOD</v>
          </cell>
          <cell r="C475">
            <v>60513</v>
          </cell>
          <cell r="E475">
            <v>1.5719055971398499E-2</v>
          </cell>
          <cell r="F475">
            <v>0.455391046095656</v>
          </cell>
        </row>
        <row r="476">
          <cell r="A476" t="str">
            <v>EUR_EURIBOR_1M_EOD</v>
          </cell>
          <cell r="C476">
            <v>64165</v>
          </cell>
          <cell r="E476">
            <v>1.5353201807853E-2</v>
          </cell>
          <cell r="F476">
            <v>0.39775971423200202</v>
          </cell>
        </row>
        <row r="477">
          <cell r="A477" t="str">
            <v>EUR_EURIBOR_3M_EOD</v>
          </cell>
          <cell r="C477">
            <v>42341</v>
          </cell>
          <cell r="E477">
            <v>-3.3459728902308997E-4</v>
          </cell>
          <cell r="F477">
            <v>1.0000852571900201</v>
          </cell>
        </row>
        <row r="478">
          <cell r="A478" t="str">
            <v>EUR_EURIBOR_3M_EOD</v>
          </cell>
          <cell r="C478">
            <v>42354</v>
          </cell>
          <cell r="E478">
            <v>-3.5200706621915E-4</v>
          </cell>
          <cell r="F478">
            <v>1.0001022319349699</v>
          </cell>
        </row>
        <row r="479">
          <cell r="A479" t="str">
            <v>EUR_EURIBOR_3M_EOD</v>
          </cell>
          <cell r="C479">
            <v>42445</v>
          </cell>
          <cell r="E479">
            <v>-3.5520622892996998E-4</v>
          </cell>
          <cell r="F479">
            <v>1.0001917324251599</v>
          </cell>
        </row>
        <row r="480">
          <cell r="A480" t="str">
            <v>EUR_EURIBOR_3M_EOD</v>
          </cell>
          <cell r="C480">
            <v>42536</v>
          </cell>
          <cell r="E480">
            <v>-3.4196664852660999E-4</v>
          </cell>
          <cell r="F480">
            <v>1.0002698621453501</v>
          </cell>
        </row>
        <row r="481">
          <cell r="A481" t="str">
            <v>EUR_EURIBOR_3M_EOD</v>
          </cell>
          <cell r="C481">
            <v>42634</v>
          </cell>
          <cell r="E481">
            <v>-3.2387750409026999E-4</v>
          </cell>
          <cell r="F481">
            <v>1.00034257021605</v>
          </cell>
        </row>
        <row r="482">
          <cell r="A482" t="str">
            <v>EUR_EURIBOR_3M_EOD</v>
          </cell>
          <cell r="C482">
            <v>42725</v>
          </cell>
          <cell r="E482">
            <v>-2.7679001989501002E-4</v>
          </cell>
          <cell r="F482">
            <v>1.00036178827752</v>
          </cell>
        </row>
        <row r="483">
          <cell r="A483" t="str">
            <v>EUR_EURIBOR_3M_EOD</v>
          </cell>
          <cell r="C483">
            <v>42809</v>
          </cell>
          <cell r="E483">
            <v>-1.9541817204057999E-4</v>
          </cell>
          <cell r="F483">
            <v>1.0003004001645599</v>
          </cell>
        </row>
        <row r="484">
          <cell r="A484" t="str">
            <v>EUR_EURIBOR_3M_EOD</v>
          </cell>
          <cell r="C484">
            <v>42907</v>
          </cell>
          <cell r="E484">
            <v>-6.8363240214359996E-5</v>
          </cell>
          <cell r="F484">
            <v>1.00012343604308</v>
          </cell>
        </row>
        <row r="485">
          <cell r="A485" t="str">
            <v>EUR_EURIBOR_3M_EOD</v>
          </cell>
          <cell r="C485">
            <v>42998</v>
          </cell>
          <cell r="E485">
            <v>7.338712669739E-5</v>
          </cell>
          <cell r="F485">
            <v>0.99984921590324805</v>
          </cell>
        </row>
        <row r="486">
          <cell r="A486" t="str">
            <v>EUR_EURIBOR_3M_EOD</v>
          </cell>
          <cell r="C486">
            <v>43089</v>
          </cell>
          <cell r="E486">
            <v>2.4302618759890001E-4</v>
          </cell>
          <cell r="F486">
            <v>0.99944019777852999</v>
          </cell>
        </row>
        <row r="487">
          <cell r="A487" t="str">
            <v>EUR_EURIBOR_3M_EOD</v>
          </cell>
          <cell r="C487">
            <v>43180</v>
          </cell>
          <cell r="E487">
            <v>4.3712660224504997E-4</v>
          </cell>
          <cell r="F487">
            <v>0.99888445284122795</v>
          </cell>
        </row>
        <row r="488">
          <cell r="A488" t="str">
            <v>EUR_EURIBOR_3M_EOD</v>
          </cell>
          <cell r="C488">
            <v>43271</v>
          </cell>
          <cell r="E488">
            <v>6.6257909887618995E-4</v>
          </cell>
          <cell r="F488">
            <v>0.99814468646384902</v>
          </cell>
        </row>
        <row r="489">
          <cell r="A489" t="str">
            <v>EUR_EURIBOR_3M_EOD</v>
          </cell>
          <cell r="C489">
            <v>43362</v>
          </cell>
          <cell r="E489">
            <v>9.1566198936165002E-4</v>
          </cell>
          <cell r="F489">
            <v>0.99720925083590095</v>
          </cell>
        </row>
        <row r="490">
          <cell r="A490" t="str">
            <v>EUR_EURIBOR_3M_EOD</v>
          </cell>
          <cell r="C490">
            <v>43711</v>
          </cell>
          <cell r="E490">
            <v>2.1472872341136099E-3</v>
          </cell>
          <cell r="F490">
            <v>0.99143013457951601</v>
          </cell>
        </row>
        <row r="491">
          <cell r="A491" t="str">
            <v>EUR_EURIBOR_3M_EOD</v>
          </cell>
          <cell r="C491">
            <v>44077</v>
          </cell>
          <cell r="E491">
            <v>3.54938035562395E-3</v>
          </cell>
          <cell r="F491">
            <v>0.98237143467161803</v>
          </cell>
        </row>
        <row r="492">
          <cell r="A492" t="str">
            <v>EUR_EURIBOR_3M_EOD</v>
          </cell>
          <cell r="C492">
            <v>44442</v>
          </cell>
          <cell r="E492">
            <v>5.0340583708419397E-3</v>
          </cell>
          <cell r="F492">
            <v>0.97019371815288502</v>
          </cell>
        </row>
        <row r="493">
          <cell r="A493" t="str">
            <v>EUR_EURIBOR_3M_EOD</v>
          </cell>
          <cell r="C493">
            <v>44809</v>
          </cell>
          <cell r="E493">
            <v>6.5322114524530503E-3</v>
          </cell>
          <cell r="F493">
            <v>0.95520160221392703</v>
          </cell>
        </row>
        <row r="494">
          <cell r="A494" t="str">
            <v>EUR_EURIBOR_3M_EOD</v>
          </cell>
          <cell r="C494">
            <v>45173</v>
          </cell>
          <cell r="E494">
            <v>7.9661227708666196E-3</v>
          </cell>
          <cell r="F494">
            <v>0.93815686813906796</v>
          </cell>
        </row>
        <row r="495">
          <cell r="A495" t="str">
            <v>EUR_EURIBOR_3M_EOD</v>
          </cell>
          <cell r="C495">
            <v>45538</v>
          </cell>
          <cell r="E495">
            <v>9.2942513732260992E-3</v>
          </cell>
          <cell r="F495">
            <v>0.91963761721162096</v>
          </cell>
        </row>
        <row r="496">
          <cell r="A496" t="str">
            <v>EUR_EURIBOR_3M_EOD</v>
          </cell>
          <cell r="C496">
            <v>45903</v>
          </cell>
          <cell r="E496">
            <v>1.0466123296027601E-2</v>
          </cell>
          <cell r="F496">
            <v>0.90050045912350896</v>
          </cell>
        </row>
        <row r="497">
          <cell r="A497" t="str">
            <v>EUR_EURIBOR_3M_EOD</v>
          </cell>
          <cell r="C497">
            <v>46633</v>
          </cell>
          <cell r="E497">
            <v>1.2385036431601401E-2</v>
          </cell>
          <cell r="F497">
            <v>0.86174998136261904</v>
          </cell>
        </row>
        <row r="498">
          <cell r="A498" t="str">
            <v>EUR_EURIBOR_3M_EOD</v>
          </cell>
          <cell r="C498">
            <v>47729</v>
          </cell>
          <cell r="E498">
            <v>1.43833147568539E-2</v>
          </cell>
          <cell r="F498">
            <v>0.80574645380776799</v>
          </cell>
        </row>
        <row r="499">
          <cell r="A499" t="str">
            <v>EUR_EURIBOR_3M_EOD</v>
          </cell>
          <cell r="C499">
            <v>49555</v>
          </cell>
          <cell r="E499">
            <v>1.5995847385729199E-2</v>
          </cell>
          <cell r="F499">
            <v>0.72598660307635399</v>
          </cell>
        </row>
        <row r="500">
          <cell r="A500" t="str">
            <v>EUR_EURIBOR_3M_EOD</v>
          </cell>
          <cell r="C500">
            <v>51382</v>
          </cell>
          <cell r="E500">
            <v>1.63403101771806E-2</v>
          </cell>
          <cell r="F500">
            <v>0.66437358069628405</v>
          </cell>
        </row>
        <row r="501">
          <cell r="A501" t="str">
            <v>EUR_EURIBOR_3M_EOD</v>
          </cell>
          <cell r="C501">
            <v>53209</v>
          </cell>
          <cell r="E501">
            <v>1.6407764942396201E-2</v>
          </cell>
          <cell r="F501">
            <v>0.61095777583032795</v>
          </cell>
        </row>
        <row r="502">
          <cell r="A502" t="str">
            <v>EUR_EURIBOR_3M_EOD</v>
          </cell>
          <cell r="C502">
            <v>56860</v>
          </cell>
          <cell r="E502">
            <v>1.6537285791602001E-2</v>
          </cell>
          <cell r="F502">
            <v>0.51580054792593699</v>
          </cell>
        </row>
        <row r="503">
          <cell r="A503" t="str">
            <v>EUR_EURIBOR_3M_EOD</v>
          </cell>
          <cell r="C503">
            <v>60513</v>
          </cell>
          <cell r="E503">
            <v>1.5985940983079601E-2</v>
          </cell>
          <cell r="F503">
            <v>0.44934963119389998</v>
          </cell>
        </row>
        <row r="504">
          <cell r="A504" t="str">
            <v>EUR_EURIBOR_3M_EOD</v>
          </cell>
          <cell r="C504">
            <v>64165</v>
          </cell>
          <cell r="E504">
            <v>1.56690924322694E-2</v>
          </cell>
          <cell r="F504">
            <v>0.39028605307901398</v>
          </cell>
        </row>
        <row r="505">
          <cell r="A505" t="str">
            <v>EUR_EURIBOR_6M_EOD</v>
          </cell>
          <cell r="C505">
            <v>42432</v>
          </cell>
          <cell r="E505">
            <v>3.9537769029722003E-4</v>
          </cell>
          <cell r="F505">
            <v>0.99980070617668104</v>
          </cell>
        </row>
        <row r="506">
          <cell r="A506" t="str">
            <v>EUR_EURIBOR_6M_EOD</v>
          </cell>
          <cell r="C506">
            <v>42464</v>
          </cell>
          <cell r="E506">
            <v>3.7243575494109001E-4</v>
          </cell>
          <cell r="F506">
            <v>0.99977962394919995</v>
          </cell>
        </row>
        <row r="507">
          <cell r="A507" t="str">
            <v>EUR_EURIBOR_6M_EOD</v>
          </cell>
          <cell r="C507">
            <v>42493</v>
          </cell>
          <cell r="E507">
            <v>4.1796830296429998E-4</v>
          </cell>
          <cell r="F507">
            <v>0.99971948528523902</v>
          </cell>
        </row>
        <row r="508">
          <cell r="A508" t="str">
            <v>EUR_EURIBOR_6M_EOD</v>
          </cell>
          <cell r="C508">
            <v>42524</v>
          </cell>
          <cell r="E508">
            <v>4.2450239266761999E-4</v>
          </cell>
          <cell r="F508">
            <v>0.99967905792285905</v>
          </cell>
        </row>
        <row r="509">
          <cell r="A509" t="str">
            <v>EUR_EURIBOR_6M_EOD</v>
          </cell>
          <cell r="C509">
            <v>42555</v>
          </cell>
          <cell r="E509">
            <v>4.2542477025693997E-4</v>
          </cell>
          <cell r="F509">
            <v>0.99964224098508203</v>
          </cell>
        </row>
        <row r="510">
          <cell r="A510" t="str">
            <v>EUR_EURIBOR_6M_EOD</v>
          </cell>
          <cell r="C510">
            <v>42585</v>
          </cell>
          <cell r="E510">
            <v>4.3826060044358E-4</v>
          </cell>
          <cell r="F510">
            <v>0.999595441246794</v>
          </cell>
        </row>
        <row r="511">
          <cell r="A511" t="str">
            <v>EUR_EURIBOR_6M_EOD</v>
          </cell>
          <cell r="C511">
            <v>42618</v>
          </cell>
          <cell r="E511">
            <v>4.5270356947366998E-4</v>
          </cell>
          <cell r="F511">
            <v>0.999541200292555</v>
          </cell>
        </row>
        <row r="512">
          <cell r="A512" t="str">
            <v>EUR_EURIBOR_6M_EOD</v>
          </cell>
          <cell r="C512">
            <v>42797</v>
          </cell>
          <cell r="E512">
            <v>6.2087953401344996E-4</v>
          </cell>
          <cell r="F512">
            <v>0.99906656506093505</v>
          </cell>
        </row>
        <row r="513">
          <cell r="A513" t="str">
            <v>EUR_EURIBOR_6M_EOD</v>
          </cell>
          <cell r="C513">
            <v>42982</v>
          </cell>
          <cell r="E513">
            <v>9.3375978540345998E-4</v>
          </cell>
          <cell r="F513">
            <v>0.99812400931961098</v>
          </cell>
        </row>
        <row r="514">
          <cell r="A514" t="str">
            <v>EUR_EURIBOR_6M_EOD</v>
          </cell>
          <cell r="C514">
            <v>43346</v>
          </cell>
          <cell r="E514">
            <v>1.8348132339777901E-3</v>
          </cell>
          <cell r="F514">
            <v>0.99449568420701195</v>
          </cell>
        </row>
        <row r="515">
          <cell r="A515" t="str">
            <v>EUR_EURIBOR_6M_EOD</v>
          </cell>
          <cell r="C515">
            <v>43711</v>
          </cell>
          <cell r="E515">
            <v>3.1095423074679399E-3</v>
          </cell>
          <cell r="F515">
            <v>0.987613623442674</v>
          </cell>
        </row>
        <row r="516">
          <cell r="A516" t="str">
            <v>EUR_EURIBOR_6M_EOD</v>
          </cell>
          <cell r="C516">
            <v>44077</v>
          </cell>
          <cell r="E516">
            <v>4.5381720931710404E-3</v>
          </cell>
          <cell r="F516">
            <v>0.97751602454686704</v>
          </cell>
        </row>
        <row r="517">
          <cell r="A517" t="str">
            <v>EUR_EURIBOR_6M_EOD</v>
          </cell>
          <cell r="C517">
            <v>44442</v>
          </cell>
          <cell r="E517">
            <v>6.0183204836731898E-3</v>
          </cell>
          <cell r="F517">
            <v>0.96447065026522605</v>
          </cell>
        </row>
        <row r="518">
          <cell r="A518" t="str">
            <v>EUR_EURIBOR_6M_EOD</v>
          </cell>
          <cell r="C518">
            <v>44809</v>
          </cell>
          <cell r="E518">
            <v>7.4960533159714902E-3</v>
          </cell>
          <cell r="F518">
            <v>0.94876361870785897</v>
          </cell>
        </row>
        <row r="519">
          <cell r="A519" t="str">
            <v>EUR_EURIBOR_6M_EOD</v>
          </cell>
          <cell r="C519">
            <v>45173</v>
          </cell>
          <cell r="E519">
            <v>8.8997000522963304E-3</v>
          </cell>
          <cell r="F519">
            <v>0.93116432444401098</v>
          </cell>
        </row>
        <row r="520">
          <cell r="A520" t="str">
            <v>EUR_EURIBOR_6M_EOD</v>
          </cell>
          <cell r="C520">
            <v>45538</v>
          </cell>
          <cell r="E520">
            <v>1.01855261273415E-2</v>
          </cell>
          <cell r="F520">
            <v>0.91227913842761699</v>
          </cell>
        </row>
        <row r="521">
          <cell r="A521" t="str">
            <v>EUR_EURIBOR_6M_EOD</v>
          </cell>
          <cell r="C521">
            <v>45903</v>
          </cell>
          <cell r="E521">
            <v>1.1311343675751101E-2</v>
          </cell>
          <cell r="F521">
            <v>0.89291098254832602</v>
          </cell>
        </row>
        <row r="522">
          <cell r="A522" t="str">
            <v>EUR_EURIBOR_6M_EOD</v>
          </cell>
          <cell r="C522">
            <v>46633</v>
          </cell>
          <cell r="E522">
            <v>1.31483979216017E-2</v>
          </cell>
          <cell r="F522">
            <v>0.85388317660174196</v>
          </cell>
        </row>
        <row r="523">
          <cell r="A523" t="str">
            <v>EUR_EURIBOR_6M_EOD</v>
          </cell>
          <cell r="C523">
            <v>47729</v>
          </cell>
          <cell r="E523">
            <v>1.5040220004364E-2</v>
          </cell>
          <cell r="F523">
            <v>0.79783734026903397</v>
          </cell>
        </row>
        <row r="524">
          <cell r="A524" t="str">
            <v>EUR_EURIBOR_6M_EOD</v>
          </cell>
          <cell r="C524">
            <v>49555</v>
          </cell>
          <cell r="E524">
            <v>1.6530995676220499E-2</v>
          </cell>
          <cell r="F524">
            <v>0.71825045594850501</v>
          </cell>
        </row>
        <row r="525">
          <cell r="A525" t="str">
            <v>EUR_EURIBOR_6M_EOD</v>
          </cell>
          <cell r="C525">
            <v>51382</v>
          </cell>
          <cell r="E525">
            <v>1.67897874807151E-2</v>
          </cell>
          <cell r="F525">
            <v>0.65694256672942297</v>
          </cell>
        </row>
        <row r="526">
          <cell r="A526" t="str">
            <v>EUR_EURIBOR_6M_EOD</v>
          </cell>
          <cell r="C526">
            <v>53209</v>
          </cell>
          <cell r="E526">
            <v>1.6791044990530399E-2</v>
          </cell>
          <cell r="F526">
            <v>0.60396599565971598</v>
          </cell>
        </row>
        <row r="527">
          <cell r="A527" t="str">
            <v>EUR_EURIBOR_6M_EOD</v>
          </cell>
          <cell r="C527">
            <v>56860</v>
          </cell>
          <cell r="E527">
            <v>1.68406164130794E-2</v>
          </cell>
          <cell r="F527">
            <v>0.50957495586464896</v>
          </cell>
        </row>
        <row r="528">
          <cell r="A528" t="str">
            <v>EUR_EURIBOR_6M_EOD</v>
          </cell>
          <cell r="C528">
            <v>60513</v>
          </cell>
          <cell r="E528">
            <v>1.6237301181535602E-2</v>
          </cell>
          <cell r="F528">
            <v>0.44373295711711402</v>
          </cell>
        </row>
        <row r="529">
          <cell r="A529" t="str">
            <v>EUR_EURIBOR_6M_EOD</v>
          </cell>
          <cell r="C529">
            <v>64165</v>
          </cell>
          <cell r="E529">
            <v>1.59050219179405E-2</v>
          </cell>
          <cell r="F529">
            <v>0.38479594548819701</v>
          </cell>
        </row>
        <row r="530">
          <cell r="A530" t="str">
            <v>EUR_EURIBOR_EOD</v>
          </cell>
          <cell r="C530">
            <v>42249</v>
          </cell>
          <cell r="E530">
            <v>-1.1152794816851599E-3</v>
          </cell>
          <cell r="F530">
            <v>1.00000305556489</v>
          </cell>
        </row>
        <row r="531">
          <cell r="A531" t="str">
            <v>EUR_EURIBOR_EOD</v>
          </cell>
          <cell r="C531">
            <v>42250</v>
          </cell>
          <cell r="E531">
            <v>-1.11527948166058E-3</v>
          </cell>
          <cell r="F531">
            <v>1.0000061111391201</v>
          </cell>
        </row>
        <row r="532">
          <cell r="A532" t="str">
            <v>EUR_EURIBOR_EOD</v>
          </cell>
          <cell r="C532">
            <v>42257</v>
          </cell>
          <cell r="E532">
            <v>-1.37552531593474E-3</v>
          </cell>
          <cell r="F532">
            <v>1.0000339176377699</v>
          </cell>
        </row>
        <row r="533">
          <cell r="A533" t="str">
            <v>EUR_EURIBOR_EOD</v>
          </cell>
          <cell r="C533">
            <v>42354</v>
          </cell>
          <cell r="E533">
            <v>-4.9157080608156997E-4</v>
          </cell>
          <cell r="F533">
            <v>1.0001427677395101</v>
          </cell>
        </row>
        <row r="534">
          <cell r="A534" t="str">
            <v>EUR_EURIBOR_EOD</v>
          </cell>
          <cell r="C534">
            <v>42445</v>
          </cell>
          <cell r="E534">
            <v>-4.3030143921180003E-4</v>
          </cell>
          <cell r="F534">
            <v>1.0002322718573</v>
          </cell>
        </row>
        <row r="535">
          <cell r="A535" t="str">
            <v>EUR_EURIBOR_EOD</v>
          </cell>
          <cell r="C535">
            <v>42536</v>
          </cell>
          <cell r="E535">
            <v>-3.9333385833727999E-4</v>
          </cell>
          <cell r="F535">
            <v>1.0003104047442199</v>
          </cell>
        </row>
        <row r="536">
          <cell r="A536" t="str">
            <v>EUR_EURIBOR_EOD</v>
          </cell>
          <cell r="C536">
            <v>42634</v>
          </cell>
          <cell r="E536">
            <v>-3.6220329793856001E-4</v>
          </cell>
          <cell r="F536">
            <v>1.0003831157619001</v>
          </cell>
        </row>
        <row r="537">
          <cell r="A537" t="str">
            <v>EUR_EURIBOR_EOD</v>
          </cell>
          <cell r="C537">
            <v>42725</v>
          </cell>
          <cell r="E537">
            <v>-3.0780418430878997E-4</v>
          </cell>
          <cell r="F537">
            <v>1.0004023346023001</v>
          </cell>
        </row>
        <row r="538">
          <cell r="A538" t="str">
            <v>EUR_EURIBOR_EOD</v>
          </cell>
          <cell r="C538">
            <v>42809</v>
          </cell>
          <cell r="E538">
            <v>-2.2178850434979001E-4</v>
          </cell>
          <cell r="F538">
            <v>1.0003409440011899</v>
          </cell>
        </row>
        <row r="539">
          <cell r="A539" t="str">
            <v>EUR_EURIBOR_EOD</v>
          </cell>
          <cell r="C539">
            <v>42907</v>
          </cell>
          <cell r="E539">
            <v>-9.0812036004039997E-5</v>
          </cell>
          <cell r="F539">
            <v>1.0001639727070599</v>
          </cell>
        </row>
        <row r="540">
          <cell r="A540" t="str">
            <v>EUR_EURIBOR_EOD</v>
          </cell>
          <cell r="C540">
            <v>42998</v>
          </cell>
          <cell r="E540">
            <v>5.3662118130229999E-5</v>
          </cell>
          <cell r="F540">
            <v>0.99988974145262499</v>
          </cell>
        </row>
        <row r="541">
          <cell r="A541" t="str">
            <v>EUR_EURIBOR_EOD</v>
          </cell>
          <cell r="C541">
            <v>43089</v>
          </cell>
          <cell r="E541">
            <v>2.2543551408476999E-4</v>
          </cell>
          <cell r="F541">
            <v>0.999480706749723</v>
          </cell>
        </row>
        <row r="542">
          <cell r="A542" t="str">
            <v>EUR_EURIBOR_EOD</v>
          </cell>
          <cell r="C542">
            <v>43180</v>
          </cell>
          <cell r="E542">
            <v>4.2125347303316999E-4</v>
          </cell>
          <cell r="F542">
            <v>0.99892493928715698</v>
          </cell>
        </row>
        <row r="543">
          <cell r="A543" t="str">
            <v>EUR_EURIBOR_EOD</v>
          </cell>
          <cell r="C543">
            <v>43271</v>
          </cell>
          <cell r="E543">
            <v>6.4811794890019998E-4</v>
          </cell>
          <cell r="F543">
            <v>0.99818514292581695</v>
          </cell>
        </row>
        <row r="544">
          <cell r="A544" t="str">
            <v>EUR_EURIBOR_EOD</v>
          </cell>
          <cell r="C544">
            <v>43362</v>
          </cell>
          <cell r="E544">
            <v>9.0238213619701999E-4</v>
          </cell>
          <cell r="F544">
            <v>0.99724966938310999</v>
          </cell>
        </row>
        <row r="545">
          <cell r="A545" t="str">
            <v>EUR_EURIBOR_EOD</v>
          </cell>
          <cell r="C545">
            <v>43711</v>
          </cell>
          <cell r="E545">
            <v>3.1213340031311099E-3</v>
          </cell>
          <cell r="F545">
            <v>0.98756694627104602</v>
          </cell>
        </row>
        <row r="546">
          <cell r="A546" t="str">
            <v>EUR_EURIBOR_EOD</v>
          </cell>
          <cell r="C546">
            <v>44077</v>
          </cell>
          <cell r="E546">
            <v>4.5556164180728699E-3</v>
          </cell>
          <cell r="F546">
            <v>0.97743058087330503</v>
          </cell>
        </row>
        <row r="547">
          <cell r="A547" t="str">
            <v>EUR_EURIBOR_EOD</v>
          </cell>
          <cell r="C547">
            <v>44442</v>
          </cell>
          <cell r="E547">
            <v>6.0426585465517399E-3</v>
          </cell>
          <cell r="F547">
            <v>0.96432956325950003</v>
          </cell>
        </row>
        <row r="548">
          <cell r="A548" t="str">
            <v>EUR_EURIBOR_EOD</v>
          </cell>
          <cell r="C548">
            <v>44809</v>
          </cell>
          <cell r="E548">
            <v>7.52803047622903E-3</v>
          </cell>
          <cell r="F548">
            <v>0.94855077250303399</v>
          </cell>
        </row>
        <row r="549">
          <cell r="A549" t="str">
            <v>EUR_EURIBOR_EOD</v>
          </cell>
          <cell r="C549">
            <v>45173</v>
          </cell>
          <cell r="E549">
            <v>8.9402547383989305E-3</v>
          </cell>
          <cell r="F549">
            <v>0.93086175169616703</v>
          </cell>
        </row>
        <row r="550">
          <cell r="A550" t="str">
            <v>EUR_EURIBOR_EOD</v>
          </cell>
          <cell r="C550">
            <v>45538</v>
          </cell>
          <cell r="E550">
            <v>1.02331073666999E-2</v>
          </cell>
          <cell r="F550">
            <v>0.91188796134824301</v>
          </cell>
        </row>
        <row r="551">
          <cell r="A551" t="str">
            <v>EUR_EURIBOR_EOD</v>
          </cell>
          <cell r="C551">
            <v>45903</v>
          </cell>
          <cell r="E551">
            <v>1.1365076877772801E-2</v>
          </cell>
          <cell r="F551">
            <v>0.89243066487348299</v>
          </cell>
        </row>
        <row r="552">
          <cell r="A552" t="str">
            <v>EUR_EURIBOR_EOD</v>
          </cell>
          <cell r="C552">
            <v>46633</v>
          </cell>
          <cell r="E552">
            <v>1.3211601292355799E-2</v>
          </cell>
          <cell r="F552">
            <v>0.85323506385930004</v>
          </cell>
        </row>
        <row r="553">
          <cell r="A553" t="str">
            <v>EUR_EURIBOR_EOD</v>
          </cell>
          <cell r="C553">
            <v>47729</v>
          </cell>
          <cell r="E553">
            <v>1.5110160336343201E-2</v>
          </cell>
          <cell r="F553">
            <v>0.79699984773273802</v>
          </cell>
        </row>
        <row r="554">
          <cell r="A554" t="str">
            <v>EUR_EURIBOR_EOD</v>
          </cell>
          <cell r="C554">
            <v>49555</v>
          </cell>
          <cell r="E554">
            <v>1.65986653513467E-2</v>
          </cell>
          <cell r="F554">
            <v>0.71727810708601003</v>
          </cell>
        </row>
        <row r="555">
          <cell r="A555" t="str">
            <v>EUR_EURIBOR_EOD</v>
          </cell>
          <cell r="C555">
            <v>51382</v>
          </cell>
          <cell r="E555">
            <v>1.6847322261408199E-2</v>
          </cell>
          <cell r="F555">
            <v>0.65599738917585104</v>
          </cell>
        </row>
        <row r="556">
          <cell r="A556" t="str">
            <v>EUR_EURIBOR_EOD</v>
          </cell>
          <cell r="C556">
            <v>53209</v>
          </cell>
          <cell r="E556">
            <v>1.6839771804376201E-2</v>
          </cell>
          <cell r="F556">
            <v>0.60308287486988099</v>
          </cell>
        </row>
        <row r="557">
          <cell r="A557" t="str">
            <v>EUR_EURIBOR_EOD</v>
          </cell>
          <cell r="C557">
            <v>56860</v>
          </cell>
          <cell r="E557">
            <v>1.6878440100083301E-2</v>
          </cell>
          <cell r="F557">
            <v>0.50880394592881495</v>
          </cell>
        </row>
        <row r="558">
          <cell r="A558" t="str">
            <v>EUR_EURIBOR_EOD</v>
          </cell>
          <cell r="C558">
            <v>60513</v>
          </cell>
          <cell r="E558">
            <v>1.62647571843418E-2</v>
          </cell>
          <cell r="F558">
            <v>0.44312371839566</v>
          </cell>
        </row>
        <row r="559">
          <cell r="A559" t="str">
            <v>EUR_EURIBOR_EOD</v>
          </cell>
          <cell r="C559">
            <v>64165</v>
          </cell>
          <cell r="E559">
            <v>1.5925430015588399E-2</v>
          </cell>
          <cell r="F559">
            <v>0.38432469134536601</v>
          </cell>
        </row>
        <row r="560">
          <cell r="A560" t="str">
            <v>GBP_LIBOR_12M_EOD</v>
          </cell>
          <cell r="C560">
            <v>42614</v>
          </cell>
          <cell r="E560">
            <v>1.0487758952841601E-2</v>
          </cell>
          <cell r="F560">
            <v>0.98953861242914798</v>
          </cell>
        </row>
        <row r="561">
          <cell r="A561" t="str">
            <v>GBP_LIBOR_12M_EOD</v>
          </cell>
          <cell r="C561">
            <v>42646</v>
          </cell>
          <cell r="E561">
            <v>1.0631017560402099E-2</v>
          </cell>
          <cell r="F561">
            <v>0.98847475237106397</v>
          </cell>
        </row>
        <row r="562">
          <cell r="A562" t="str">
            <v>GBP_LIBOR_12M_EOD</v>
          </cell>
          <cell r="C562">
            <v>42675</v>
          </cell>
          <cell r="E562">
            <v>1.0824565455443001E-2</v>
          </cell>
          <cell r="F562">
            <v>0.98741658292160595</v>
          </cell>
        </row>
        <row r="563">
          <cell r="A563" t="str">
            <v>GBP_LIBOR_12M_EOD</v>
          </cell>
          <cell r="C563">
            <v>42705</v>
          </cell>
          <cell r="E563">
            <v>1.1047778705074099E-2</v>
          </cell>
          <cell r="F563">
            <v>0.98626280409895095</v>
          </cell>
        </row>
        <row r="564">
          <cell r="A564" t="str">
            <v>GBP_LIBOR_12M_EOD</v>
          </cell>
          <cell r="C564">
            <v>42738</v>
          </cell>
          <cell r="E564">
            <v>1.12953981178751E-2</v>
          </cell>
          <cell r="F564">
            <v>0.98495070460908296</v>
          </cell>
        </row>
        <row r="565">
          <cell r="A565" t="str">
            <v>GBP_LIBOR_12M_EOD</v>
          </cell>
          <cell r="C565">
            <v>42767</v>
          </cell>
          <cell r="E565">
            <v>1.1538525952060801E-2</v>
          </cell>
          <cell r="F565">
            <v>0.98372702352658503</v>
          </cell>
        </row>
        <row r="566">
          <cell r="A566" t="str">
            <v>GBP_LIBOR_12M_EOD</v>
          </cell>
          <cell r="C566">
            <v>42795</v>
          </cell>
          <cell r="E566">
            <v>1.1646958028551001E-2</v>
          </cell>
          <cell r="F566">
            <v>0.98269696474701396</v>
          </cell>
        </row>
        <row r="567">
          <cell r="A567" t="str">
            <v>GBP_LIBOR_12M_EOD</v>
          </cell>
          <cell r="C567">
            <v>42887</v>
          </cell>
          <cell r="E567">
            <v>1.2269487002607901E-2</v>
          </cell>
          <cell r="F567">
            <v>0.97874904636943705</v>
          </cell>
        </row>
        <row r="568">
          <cell r="A568" t="str">
            <v>GBP_LIBOR_12M_EOD</v>
          </cell>
          <cell r="C568">
            <v>42979</v>
          </cell>
          <cell r="E568">
            <v>1.25773882609173E-2</v>
          </cell>
          <cell r="F568">
            <v>0.97512536660206695</v>
          </cell>
        </row>
        <row r="569">
          <cell r="A569" t="str">
            <v>GBP_LIBOR_12M_EOD</v>
          </cell>
          <cell r="C569">
            <v>43346</v>
          </cell>
          <cell r="E569">
            <v>1.4526096698265101E-2</v>
          </cell>
          <cell r="F569">
            <v>0.95724330497320098</v>
          </cell>
        </row>
        <row r="570">
          <cell r="A570" t="str">
            <v>GBP_LIBOR_12M_EOD</v>
          </cell>
          <cell r="C570">
            <v>43710</v>
          </cell>
          <cell r="E570">
            <v>1.6248932312071002E-2</v>
          </cell>
          <cell r="F570">
            <v>0.93698803669451503</v>
          </cell>
        </row>
        <row r="571">
          <cell r="A571" t="str">
            <v>GBP_LIBOR_12M_EOD</v>
          </cell>
          <cell r="C571">
            <v>44075</v>
          </cell>
          <cell r="E571">
            <v>1.7704993087684699E-2</v>
          </cell>
          <cell r="F571">
            <v>0.91519146969614995</v>
          </cell>
        </row>
        <row r="572">
          <cell r="A572" t="str">
            <v>GBP_LIBOR_12M_EOD</v>
          </cell>
          <cell r="C572">
            <v>44440</v>
          </cell>
          <cell r="E572">
            <v>1.88381594703655E-2</v>
          </cell>
          <cell r="F572">
            <v>0.89303261160866099</v>
          </cell>
        </row>
        <row r="573">
          <cell r="A573" t="str">
            <v>GBP_LIBOR_12M_EOD</v>
          </cell>
          <cell r="C573">
            <v>44805</v>
          </cell>
          <cell r="E573">
            <v>1.97194147120026E-2</v>
          </cell>
          <cell r="F573">
            <v>0.87097330213233104</v>
          </cell>
        </row>
        <row r="574">
          <cell r="A574" t="str">
            <v>GBP_LIBOR_12M_EOD</v>
          </cell>
          <cell r="C574">
            <v>45170</v>
          </cell>
          <cell r="E574">
            <v>2.03967255636304E-2</v>
          </cell>
          <cell r="F574">
            <v>0.84934860751557595</v>
          </cell>
        </row>
        <row r="575">
          <cell r="A575" t="str">
            <v>GBP_LIBOR_12M_EOD</v>
          </cell>
          <cell r="C575">
            <v>45537</v>
          </cell>
          <cell r="E575">
            <v>2.0939837210381201E-2</v>
          </cell>
          <cell r="F575">
            <v>0.82804480597756203</v>
          </cell>
        </row>
        <row r="576">
          <cell r="A576" t="str">
            <v>GBP_LIBOR_12M_EOD</v>
          </cell>
          <cell r="C576">
            <v>45901</v>
          </cell>
          <cell r="E576">
            <v>2.1380659285102899E-2</v>
          </cell>
          <cell r="F576">
            <v>0.80736265559890596</v>
          </cell>
        </row>
        <row r="577">
          <cell r="A577" t="str">
            <v>GBP_LIBOR_12M_EOD</v>
          </cell>
          <cell r="C577">
            <v>46631</v>
          </cell>
          <cell r="E577">
            <v>2.2097960845084402E-2</v>
          </cell>
          <cell r="F577">
            <v>0.766931985761377</v>
          </cell>
        </row>
        <row r="578">
          <cell r="A578" t="str">
            <v>GBP_LIBOR_12M_EOD</v>
          </cell>
          <cell r="C578">
            <v>47728</v>
          </cell>
          <cell r="E578">
            <v>2.2795761738802298E-2</v>
          </cell>
          <cell r="F578">
            <v>0.71017156535605697</v>
          </cell>
        </row>
        <row r="579">
          <cell r="A579" t="str">
            <v>GBP_LIBOR_12M_EOD</v>
          </cell>
          <cell r="C579">
            <v>49555</v>
          </cell>
          <cell r="E579">
            <v>2.3192925925830901E-2</v>
          </cell>
          <cell r="F579">
            <v>0.62857287037438903</v>
          </cell>
        </row>
        <row r="580">
          <cell r="A580" t="str">
            <v>GBP_LIBOR_12M_EOD</v>
          </cell>
          <cell r="C580">
            <v>51382</v>
          </cell>
          <cell r="E580">
            <v>2.2909260165107501E-2</v>
          </cell>
          <cell r="F580">
            <v>0.56366431548087204</v>
          </cell>
        </row>
        <row r="581">
          <cell r="A581" t="str">
            <v>GBP_LIBOR_12M_EOD</v>
          </cell>
          <cell r="C581">
            <v>53206</v>
          </cell>
          <cell r="E581">
            <v>2.26285441135161E-2</v>
          </cell>
          <cell r="F581">
            <v>0.50694523879252196</v>
          </cell>
        </row>
        <row r="582">
          <cell r="A582" t="str">
            <v>GBP_LIBOR_12M_EOD</v>
          </cell>
          <cell r="C582">
            <v>56858</v>
          </cell>
          <cell r="E582">
            <v>2.1850811468656001E-2</v>
          </cell>
          <cell r="F582">
            <v>0.41701582381061802</v>
          </cell>
        </row>
        <row r="583">
          <cell r="A583" t="str">
            <v>GBP_LIBOR_12M_EOD</v>
          </cell>
          <cell r="C583">
            <v>60511</v>
          </cell>
          <cell r="E583">
            <v>2.1013608121971301E-2</v>
          </cell>
          <cell r="F583">
            <v>0.34943810250708401</v>
          </cell>
        </row>
        <row r="584">
          <cell r="A584" t="str">
            <v>GBP_LIBOR_12M_EOD</v>
          </cell>
          <cell r="C584">
            <v>64164</v>
          </cell>
          <cell r="E584">
            <v>2.09366137485625E-2</v>
          </cell>
          <cell r="F584">
            <v>0.28447366537601398</v>
          </cell>
        </row>
        <row r="585">
          <cell r="A585" t="str">
            <v>GBP_LIBOR_1M_EOD</v>
          </cell>
          <cell r="C585">
            <v>42278</v>
          </cell>
          <cell r="E585">
            <v>5.0514512044744601E-3</v>
          </cell>
          <cell r="F585">
            <v>0.99958489840828402</v>
          </cell>
        </row>
        <row r="586">
          <cell r="A586" t="str">
            <v>GBP_LIBOR_1M_EOD</v>
          </cell>
          <cell r="C586">
            <v>42310</v>
          </cell>
          <cell r="E586">
            <v>5.1178930707753197E-3</v>
          </cell>
          <cell r="F586">
            <v>0.99913103702639505</v>
          </cell>
        </row>
        <row r="587">
          <cell r="A587" t="str">
            <v>GBP_LIBOR_1M_EOD</v>
          </cell>
          <cell r="C587">
            <v>42339</v>
          </cell>
          <cell r="E587">
            <v>5.1861778731728302E-3</v>
          </cell>
          <cell r="F587">
            <v>0.99870784326270501</v>
          </cell>
        </row>
        <row r="588">
          <cell r="A588" t="str">
            <v>GBP_LIBOR_1M_EOD</v>
          </cell>
          <cell r="C588">
            <v>42430</v>
          </cell>
          <cell r="E588">
            <v>5.4619971307867101E-3</v>
          </cell>
          <cell r="F588">
            <v>0.99728018902851201</v>
          </cell>
        </row>
        <row r="589">
          <cell r="A589" t="str">
            <v>GBP_LIBOR_1M_EOD</v>
          </cell>
          <cell r="C589">
            <v>42522</v>
          </cell>
          <cell r="E589">
            <v>5.8590693282844601E-3</v>
          </cell>
          <cell r="F589">
            <v>0.99561134336482504</v>
          </cell>
        </row>
        <row r="590">
          <cell r="A590" t="str">
            <v>GBP_LIBOR_1M_EOD</v>
          </cell>
          <cell r="C590">
            <v>42614</v>
          </cell>
          <cell r="E590">
            <v>6.35846042935181E-3</v>
          </cell>
          <cell r="F590">
            <v>0.99364440192974601</v>
          </cell>
        </row>
        <row r="591">
          <cell r="A591" t="str">
            <v>GBP_LIBOR_1M_EOD</v>
          </cell>
          <cell r="C591">
            <v>42979</v>
          </cell>
          <cell r="E591">
            <v>8.4993116834254194E-3</v>
          </cell>
          <cell r="F591">
            <v>0.98312214502616302</v>
          </cell>
        </row>
        <row r="592">
          <cell r="A592" t="str">
            <v>GBP_LIBOR_1M_EOD</v>
          </cell>
          <cell r="C592">
            <v>43346</v>
          </cell>
          <cell r="E592">
            <v>1.06434827553692E-2</v>
          </cell>
          <cell r="F592">
            <v>0.96848921793236797</v>
          </cell>
        </row>
        <row r="593">
          <cell r="A593" t="str">
            <v>GBP_LIBOR_1M_EOD</v>
          </cell>
          <cell r="C593">
            <v>43710</v>
          </cell>
          <cell r="E593">
            <v>1.2511457933105E-2</v>
          </cell>
          <cell r="F593">
            <v>0.95112062180969104</v>
          </cell>
        </row>
        <row r="594">
          <cell r="A594" t="str">
            <v>GBP_LIBOR_1M_EOD</v>
          </cell>
          <cell r="C594">
            <v>44075</v>
          </cell>
          <cell r="E594">
            <v>1.40374507696884E-2</v>
          </cell>
          <cell r="F594">
            <v>0.93214754066879701</v>
          </cell>
        </row>
        <row r="595">
          <cell r="A595" t="str">
            <v>GBP_LIBOR_1M_EOD</v>
          </cell>
          <cell r="C595">
            <v>44440</v>
          </cell>
          <cell r="E595">
            <v>1.5225781592864999E-2</v>
          </cell>
          <cell r="F595">
            <v>0.91261778856472797</v>
          </cell>
        </row>
        <row r="596">
          <cell r="A596" t="str">
            <v>GBP_LIBOR_1M_EOD</v>
          </cell>
          <cell r="C596">
            <v>44805</v>
          </cell>
          <cell r="E596">
            <v>1.6174251660551399E-2</v>
          </cell>
          <cell r="F596">
            <v>0.892875265939862</v>
          </cell>
        </row>
        <row r="597">
          <cell r="A597" t="str">
            <v>GBP_LIBOR_1M_EOD</v>
          </cell>
          <cell r="C597">
            <v>45170</v>
          </cell>
          <cell r="E597">
            <v>1.6944593539697999E-2</v>
          </cell>
          <cell r="F597">
            <v>0.87314853414898597</v>
          </cell>
        </row>
        <row r="598">
          <cell r="A598" t="str">
            <v>GBP_LIBOR_1M_EOD</v>
          </cell>
          <cell r="C598">
            <v>45537</v>
          </cell>
          <cell r="E598">
            <v>1.75808489134563E-2</v>
          </cell>
          <cell r="F598">
            <v>0.85349097828735099</v>
          </cell>
        </row>
        <row r="599">
          <cell r="A599" t="str">
            <v>GBP_LIBOR_1M_EOD</v>
          </cell>
          <cell r="C599">
            <v>45901</v>
          </cell>
          <cell r="E599">
            <v>1.8115184329486798E-2</v>
          </cell>
          <cell r="F599">
            <v>0.83418445232397798</v>
          </cell>
        </row>
        <row r="600">
          <cell r="A600" t="str">
            <v>GBP_LIBOR_1M_EOD</v>
          </cell>
          <cell r="C600">
            <v>46631</v>
          </cell>
          <cell r="E600">
            <v>1.9062264710035502E-2</v>
          </cell>
          <cell r="F600">
            <v>0.79540500589732399</v>
          </cell>
        </row>
        <row r="601">
          <cell r="A601" t="str">
            <v>GBP_LIBOR_1M_EOD</v>
          </cell>
          <cell r="C601">
            <v>47728</v>
          </cell>
          <cell r="E601">
            <v>2.0117160736595498E-2</v>
          </cell>
          <cell r="F601">
            <v>0.73931367556910699</v>
          </cell>
        </row>
        <row r="602">
          <cell r="A602" t="str">
            <v>GBP_LIBOR_1M_EOD</v>
          </cell>
          <cell r="C602">
            <v>49555</v>
          </cell>
          <cell r="E602">
            <v>2.0948891019848499E-2</v>
          </cell>
          <cell r="F602">
            <v>0.65745459131707695</v>
          </cell>
        </row>
        <row r="603">
          <cell r="A603" t="str">
            <v>GBP_LIBOR_1M_EOD</v>
          </cell>
          <cell r="C603">
            <v>51382</v>
          </cell>
          <cell r="E603">
            <v>2.09485183666543E-2</v>
          </cell>
          <cell r="F603">
            <v>0.59201133461316502</v>
          </cell>
        </row>
        <row r="604">
          <cell r="A604" t="str">
            <v>GBP_LIBOR_1M_EOD</v>
          </cell>
          <cell r="C604">
            <v>53206</v>
          </cell>
          <cell r="E604">
            <v>2.09009704881052E-2</v>
          </cell>
          <cell r="F604">
            <v>0.533931770862349</v>
          </cell>
        </row>
        <row r="605">
          <cell r="A605" t="str">
            <v>GBP_LIBOR_1M_EOD</v>
          </cell>
          <cell r="C605">
            <v>56858</v>
          </cell>
          <cell r="E605">
            <v>2.0259715674397102E-2</v>
          </cell>
          <cell r="F605">
            <v>0.44443845716790098</v>
          </cell>
        </row>
        <row r="606">
          <cell r="A606" t="str">
            <v>GBP_LIBOR_1M_EOD</v>
          </cell>
          <cell r="C606">
            <v>60511</v>
          </cell>
          <cell r="E606">
            <v>1.9758911052468402E-2</v>
          </cell>
          <cell r="F606">
            <v>0.372078920748322</v>
          </cell>
        </row>
        <row r="607">
          <cell r="A607" t="str">
            <v>GBP_LIBOR_1M_EOD</v>
          </cell>
          <cell r="C607">
            <v>64164</v>
          </cell>
          <cell r="E607">
            <v>1.9820751725037701E-2</v>
          </cell>
          <cell r="F607">
            <v>0.30418659748191201</v>
          </cell>
        </row>
        <row r="608">
          <cell r="A608" t="str">
            <v>GBP_LIBOR_3M_EOD</v>
          </cell>
          <cell r="C608">
            <v>42339</v>
          </cell>
          <cell r="E608">
            <v>5.8520288709879896E-3</v>
          </cell>
          <cell r="F608">
            <v>0.99854206484278096</v>
          </cell>
        </row>
        <row r="609">
          <cell r="A609" t="str">
            <v>GBP_LIBOR_3M_EOD</v>
          </cell>
          <cell r="C609">
            <v>42354</v>
          </cell>
          <cell r="E609">
            <v>5.9743546952539302E-3</v>
          </cell>
          <cell r="F609">
            <v>0.99826648619787295</v>
          </cell>
        </row>
        <row r="610">
          <cell r="A610" t="str">
            <v>GBP_LIBOR_3M_EOD</v>
          </cell>
          <cell r="C610">
            <v>42445</v>
          </cell>
          <cell r="E610">
            <v>6.2567022646158902E-3</v>
          </cell>
          <cell r="F610">
            <v>0.99662879027332796</v>
          </cell>
        </row>
        <row r="611">
          <cell r="A611" t="str">
            <v>GBP_LIBOR_3M_EOD</v>
          </cell>
          <cell r="C611">
            <v>42536</v>
          </cell>
          <cell r="E611">
            <v>6.7034483686041601E-3</v>
          </cell>
          <cell r="F611">
            <v>0.99472466745016097</v>
          </cell>
        </row>
        <row r="612">
          <cell r="A612" t="str">
            <v>GBP_LIBOR_3M_EOD</v>
          </cell>
          <cell r="C612">
            <v>42634</v>
          </cell>
          <cell r="E612">
            <v>7.2231263239309297E-3</v>
          </cell>
          <cell r="F612">
            <v>0.99239039729586098</v>
          </cell>
        </row>
        <row r="613">
          <cell r="A613" t="str">
            <v>GBP_LIBOR_3M_EOD</v>
          </cell>
          <cell r="C613">
            <v>42725</v>
          </cell>
          <cell r="E613">
            <v>7.7389036110626199E-3</v>
          </cell>
          <cell r="F613">
            <v>0.98993738940022902</v>
          </cell>
        </row>
        <row r="614">
          <cell r="A614" t="str">
            <v>GBP_LIBOR_3M_EOD</v>
          </cell>
          <cell r="C614">
            <v>42809</v>
          </cell>
          <cell r="E614">
            <v>8.2720028374090298E-3</v>
          </cell>
          <cell r="F614">
            <v>0.98736652584260298</v>
          </cell>
        </row>
        <row r="615">
          <cell r="A615" t="str">
            <v>GBP_LIBOR_3M_EOD</v>
          </cell>
          <cell r="C615">
            <v>42907</v>
          </cell>
          <cell r="E615">
            <v>8.9027187715982701E-3</v>
          </cell>
          <cell r="F615">
            <v>0.984054816349204</v>
          </cell>
        </row>
        <row r="616">
          <cell r="A616" t="str">
            <v>GBP_LIBOR_3M_EOD</v>
          </cell>
          <cell r="C616">
            <v>42998</v>
          </cell>
          <cell r="E616">
            <v>9.4818045395601604E-3</v>
          </cell>
          <cell r="F616">
            <v>0.98070541011616896</v>
          </cell>
        </row>
        <row r="617">
          <cell r="A617" t="str">
            <v>GBP_LIBOR_3M_EOD</v>
          </cell>
          <cell r="C617">
            <v>43346</v>
          </cell>
          <cell r="E617">
            <v>1.14862580297596E-2</v>
          </cell>
          <cell r="F617">
            <v>0.96603696284252405</v>
          </cell>
        </row>
        <row r="618">
          <cell r="A618" t="str">
            <v>GBP_LIBOR_3M_EOD</v>
          </cell>
          <cell r="C618">
            <v>43710</v>
          </cell>
          <cell r="E618">
            <v>1.3340294550825801E-2</v>
          </cell>
          <cell r="F618">
            <v>0.94796824349832198</v>
          </cell>
        </row>
        <row r="619">
          <cell r="A619" t="str">
            <v>GBP_LIBOR_3M_EOD</v>
          </cell>
          <cell r="C619">
            <v>44075</v>
          </cell>
          <cell r="E619">
            <v>1.48570938650477E-2</v>
          </cell>
          <cell r="F619">
            <v>0.92833104706477398</v>
          </cell>
        </row>
        <row r="620">
          <cell r="A620" t="str">
            <v>GBP_LIBOR_3M_EOD</v>
          </cell>
          <cell r="C620">
            <v>44440</v>
          </cell>
          <cell r="E620">
            <v>1.6018686664217199E-2</v>
          </cell>
          <cell r="F620">
            <v>0.90828243806494302</v>
          </cell>
        </row>
        <row r="621">
          <cell r="A621" t="str">
            <v>GBP_LIBOR_3M_EOD</v>
          </cell>
          <cell r="C621">
            <v>44805</v>
          </cell>
          <cell r="E621">
            <v>1.69277648041837E-2</v>
          </cell>
          <cell r="F621">
            <v>0.88817444473902696</v>
          </cell>
        </row>
        <row r="622">
          <cell r="A622" t="str">
            <v>GBP_LIBOR_3M_EOD</v>
          </cell>
          <cell r="C622">
            <v>45170</v>
          </cell>
          <cell r="E622">
            <v>1.7671861725249E-2</v>
          </cell>
          <cell r="F622">
            <v>0.86807971939244799</v>
          </cell>
        </row>
        <row r="623">
          <cell r="A623" t="str">
            <v>GBP_LIBOR_3M_EOD</v>
          </cell>
          <cell r="C623">
            <v>45537</v>
          </cell>
          <cell r="E623">
            <v>1.82817840274772E-2</v>
          </cell>
          <cell r="F623">
            <v>0.84811723445683396</v>
          </cell>
        </row>
        <row r="624">
          <cell r="A624" t="str">
            <v>GBP_LIBOR_3M_EOD</v>
          </cell>
          <cell r="C624">
            <v>45901</v>
          </cell>
          <cell r="E624">
            <v>1.8803002032833201E-2</v>
          </cell>
          <cell r="F624">
            <v>0.82846178761535205</v>
          </cell>
        </row>
        <row r="625">
          <cell r="A625" t="str">
            <v>GBP_LIBOR_3M_EOD</v>
          </cell>
          <cell r="C625">
            <v>46631</v>
          </cell>
          <cell r="E625">
            <v>1.9736830166788798E-2</v>
          </cell>
          <cell r="F625">
            <v>0.78898798804999903</v>
          </cell>
        </row>
        <row r="626">
          <cell r="A626" t="str">
            <v>GBP_LIBOR_3M_EOD</v>
          </cell>
          <cell r="C626">
            <v>47728</v>
          </cell>
          <cell r="E626">
            <v>2.07650100419055E-2</v>
          </cell>
          <cell r="F626">
            <v>0.73215751567541998</v>
          </cell>
        </row>
        <row r="627">
          <cell r="A627" t="str">
            <v>GBP_LIBOR_3M_EOD</v>
          </cell>
          <cell r="C627">
            <v>49555</v>
          </cell>
          <cell r="E627">
            <v>2.1554452363934301E-2</v>
          </cell>
          <cell r="F627">
            <v>0.64953249044829897</v>
          </cell>
        </row>
        <row r="628">
          <cell r="A628" t="str">
            <v>GBP_LIBOR_3M_EOD</v>
          </cell>
          <cell r="C628">
            <v>51382</v>
          </cell>
          <cell r="E628">
            <v>2.1525544267601501E-2</v>
          </cell>
          <cell r="F628">
            <v>0.58352418874728496</v>
          </cell>
        </row>
        <row r="629">
          <cell r="A629" t="str">
            <v>GBP_LIBOR_3M_EOD</v>
          </cell>
          <cell r="C629">
            <v>53206</v>
          </cell>
          <cell r="E629">
            <v>2.1431311479050801E-2</v>
          </cell>
          <cell r="F629">
            <v>0.52549790689495801</v>
          </cell>
        </row>
        <row r="630">
          <cell r="A630" t="str">
            <v>GBP_LIBOR_3M_EOD</v>
          </cell>
          <cell r="C630">
            <v>56858</v>
          </cell>
          <cell r="E630">
            <v>2.0744628254858399E-2</v>
          </cell>
          <cell r="F630">
            <v>0.43589518052613402</v>
          </cell>
        </row>
        <row r="631">
          <cell r="A631" t="str">
            <v>GBP_LIBOR_3M_EOD</v>
          </cell>
          <cell r="C631">
            <v>60511</v>
          </cell>
          <cell r="E631">
            <v>2.02130308995019E-2</v>
          </cell>
          <cell r="F631">
            <v>0.36371980976732798</v>
          </cell>
        </row>
        <row r="632">
          <cell r="A632" t="str">
            <v>GBP_LIBOR_3M_EOD</v>
          </cell>
          <cell r="C632">
            <v>64164</v>
          </cell>
          <cell r="E632">
            <v>2.0239298438421201E-2</v>
          </cell>
          <cell r="F632">
            <v>0.29663729708085601</v>
          </cell>
        </row>
        <row r="633">
          <cell r="A633" t="str">
            <v>GBP_LIBOR_6M_EOD</v>
          </cell>
          <cell r="C633">
            <v>42430</v>
          </cell>
          <cell r="E633">
            <v>7.4175656874858904E-3</v>
          </cell>
          <cell r="F633">
            <v>0.99630820968179001</v>
          </cell>
        </row>
        <row r="634">
          <cell r="A634" t="str">
            <v>GBP_LIBOR_6M_EOD</v>
          </cell>
          <cell r="C634">
            <v>42614</v>
          </cell>
          <cell r="E634">
            <v>8.2654291173826794E-3</v>
          </cell>
          <cell r="F634">
            <v>0.99174617726636505</v>
          </cell>
        </row>
        <row r="635">
          <cell r="A635" t="str">
            <v>GBP_LIBOR_6M_EOD</v>
          </cell>
          <cell r="C635">
            <v>42795</v>
          </cell>
          <cell r="E635">
            <v>9.3035391657449208E-3</v>
          </cell>
          <cell r="F635">
            <v>0.98615418321595805</v>
          </cell>
        </row>
        <row r="636">
          <cell r="A636" t="str">
            <v>GBP_LIBOR_6M_EOD</v>
          </cell>
          <cell r="C636">
            <v>42979</v>
          </cell>
          <cell r="E636">
            <v>1.0492242491745799E-2</v>
          </cell>
          <cell r="F636">
            <v>0.97920600875266794</v>
          </cell>
        </row>
        <row r="637">
          <cell r="A637" t="str">
            <v>GBP_LIBOR_6M_EOD</v>
          </cell>
          <cell r="C637">
            <v>43346</v>
          </cell>
          <cell r="E637">
            <v>1.2632978986061799E-2</v>
          </cell>
          <cell r="F637">
            <v>0.96271027450526903</v>
          </cell>
        </row>
        <row r="638">
          <cell r="A638" t="str">
            <v>GBP_LIBOR_6M_EOD</v>
          </cell>
          <cell r="C638">
            <v>43710</v>
          </cell>
          <cell r="E638">
            <v>1.4508945050589301E-2</v>
          </cell>
          <cell r="F638">
            <v>0.943541168541564</v>
          </cell>
        </row>
        <row r="639">
          <cell r="A639" t="str">
            <v>GBP_LIBOR_6M_EOD</v>
          </cell>
          <cell r="C639">
            <v>44075</v>
          </cell>
          <cell r="E639">
            <v>1.6069988247436301E-2</v>
          </cell>
          <cell r="F639">
            <v>0.92271211368217498</v>
          </cell>
        </row>
        <row r="640">
          <cell r="A640" t="str">
            <v>GBP_LIBOR_6M_EOD</v>
          </cell>
          <cell r="C640">
            <v>44440</v>
          </cell>
          <cell r="E640">
            <v>1.7281955348014001E-2</v>
          </cell>
          <cell r="F640">
            <v>0.901417794705617</v>
          </cell>
        </row>
        <row r="641">
          <cell r="A641" t="str">
            <v>GBP_LIBOR_6M_EOD</v>
          </cell>
          <cell r="C641">
            <v>44805</v>
          </cell>
          <cell r="E641">
            <v>1.82159237181693E-2</v>
          </cell>
          <cell r="F641">
            <v>0.88019546284238903</v>
          </cell>
        </row>
        <row r="642">
          <cell r="A642" t="str">
            <v>GBP_LIBOR_6M_EOD</v>
          </cell>
          <cell r="C642">
            <v>45170</v>
          </cell>
          <cell r="E642">
            <v>1.8958934039144799E-2</v>
          </cell>
          <cell r="F642">
            <v>0.859181268221616</v>
          </cell>
        </row>
        <row r="643">
          <cell r="A643" t="str">
            <v>GBP_LIBOR_6M_EOD</v>
          </cell>
          <cell r="C643">
            <v>45537</v>
          </cell>
          <cell r="E643">
            <v>1.95812495216038E-2</v>
          </cell>
          <cell r="F643">
            <v>0.83824418164773795</v>
          </cell>
        </row>
        <row r="644">
          <cell r="A644" t="str">
            <v>GBP_LIBOR_6M_EOD</v>
          </cell>
          <cell r="C644">
            <v>45901</v>
          </cell>
          <cell r="E644">
            <v>2.0088388800558001E-2</v>
          </cell>
          <cell r="F644">
            <v>0.81787235642102996</v>
          </cell>
        </row>
        <row r="645">
          <cell r="A645" t="str">
            <v>GBP_LIBOR_6M_EOD</v>
          </cell>
          <cell r="C645">
            <v>46631</v>
          </cell>
          <cell r="E645">
            <v>2.09388653919357E-2</v>
          </cell>
          <cell r="F645">
            <v>0.77768129522914098</v>
          </cell>
        </row>
        <row r="646">
          <cell r="A646" t="str">
            <v>GBP_LIBOR_6M_EOD</v>
          </cell>
          <cell r="C646">
            <v>47728</v>
          </cell>
          <cell r="E646">
            <v>2.17837510533225E-2</v>
          </cell>
          <cell r="F646">
            <v>0.72104432004151997</v>
          </cell>
        </row>
        <row r="647">
          <cell r="A647" t="str">
            <v>GBP_LIBOR_6M_EOD</v>
          </cell>
          <cell r="C647">
            <v>49555</v>
          </cell>
          <cell r="E647">
            <v>2.2329519943826301E-2</v>
          </cell>
          <cell r="F647">
            <v>0.63953198968869795</v>
          </cell>
        </row>
        <row r="648">
          <cell r="A648" t="str">
            <v>GBP_LIBOR_6M_EOD</v>
          </cell>
          <cell r="C648">
            <v>51382</v>
          </cell>
          <cell r="E648">
            <v>2.2172573363977901E-2</v>
          </cell>
          <cell r="F648">
            <v>0.57415203115879399</v>
          </cell>
        </row>
        <row r="649">
          <cell r="A649" t="str">
            <v>GBP_LIBOR_6M_EOD</v>
          </cell>
          <cell r="C649">
            <v>53206</v>
          </cell>
          <cell r="E649">
            <v>2.1976306688013699E-2</v>
          </cell>
          <cell r="F649">
            <v>0.51696977259574295</v>
          </cell>
        </row>
        <row r="650">
          <cell r="A650" t="str">
            <v>GBP_LIBOR_6M_EOD</v>
          </cell>
          <cell r="C650">
            <v>56858</v>
          </cell>
          <cell r="E650">
            <v>2.11745570066957E-2</v>
          </cell>
          <cell r="F650">
            <v>0.42845806725374902</v>
          </cell>
        </row>
        <row r="651">
          <cell r="A651" t="str">
            <v>GBP_LIBOR_6M_EOD</v>
          </cell>
          <cell r="C651">
            <v>60511</v>
          </cell>
          <cell r="E651">
            <v>2.05891715366548E-2</v>
          </cell>
          <cell r="F651">
            <v>0.356938461150271</v>
          </cell>
        </row>
        <row r="652">
          <cell r="A652" t="str">
            <v>GBP_LIBOR_6M_EOD</v>
          </cell>
          <cell r="C652">
            <v>64164</v>
          </cell>
          <cell r="E652">
            <v>2.0571397569328999E-2</v>
          </cell>
          <cell r="F652">
            <v>0.29078078435849403</v>
          </cell>
        </row>
        <row r="653">
          <cell r="A653" t="str">
            <v>GBP_LIBOR_EOD</v>
          </cell>
          <cell r="C653">
            <v>42249</v>
          </cell>
          <cell r="E653">
            <v>4.8124682740251102E-3</v>
          </cell>
          <cell r="F653">
            <v>0.99998681524233302</v>
          </cell>
        </row>
        <row r="654">
          <cell r="A654" t="str">
            <v>GBP_LIBOR_EOD</v>
          </cell>
          <cell r="C654">
            <v>42255</v>
          </cell>
          <cell r="E654">
            <v>4.8922704857341801E-3</v>
          </cell>
          <cell r="F654">
            <v>0.99990618003588805</v>
          </cell>
        </row>
        <row r="655">
          <cell r="A655" t="str">
            <v>GBP_LIBOR_EOD</v>
          </cell>
          <cell r="C655">
            <v>42354</v>
          </cell>
          <cell r="E655">
            <v>5.8494856864854802E-3</v>
          </cell>
          <cell r="F655">
            <v>0.99830268731984895</v>
          </cell>
        </row>
        <row r="656">
          <cell r="A656" t="str">
            <v>GBP_LIBOR_EOD</v>
          </cell>
          <cell r="C656">
            <v>42445</v>
          </cell>
          <cell r="E656">
            <v>6.18951386395901E-3</v>
          </cell>
          <cell r="F656">
            <v>0.99666493200592199</v>
          </cell>
        </row>
        <row r="657">
          <cell r="A657" t="str">
            <v>GBP_LIBOR_EOD</v>
          </cell>
          <cell r="C657">
            <v>42536</v>
          </cell>
          <cell r="E657">
            <v>6.6574896362105902E-3</v>
          </cell>
          <cell r="F657">
            <v>0.99476074013167104</v>
          </cell>
        </row>
        <row r="658">
          <cell r="A658" t="str">
            <v>GBP_LIBOR_EOD</v>
          </cell>
          <cell r="C658">
            <v>42634</v>
          </cell>
          <cell r="E658">
            <v>7.1888358707460197E-3</v>
          </cell>
          <cell r="F658">
            <v>0.99242638532742999</v>
          </cell>
        </row>
        <row r="659">
          <cell r="A659" t="str">
            <v>GBP_LIBOR_EOD</v>
          </cell>
          <cell r="C659">
            <v>42725</v>
          </cell>
          <cell r="E659">
            <v>7.7111549424475397E-3</v>
          </cell>
          <cell r="F659">
            <v>0.98997328847595401</v>
          </cell>
        </row>
        <row r="660">
          <cell r="A660" t="str">
            <v>GBP_LIBOR_EOD</v>
          </cell>
          <cell r="C660">
            <v>42809</v>
          </cell>
          <cell r="E660">
            <v>8.2484090496561802E-3</v>
          </cell>
          <cell r="F660">
            <v>0.98740233168856695</v>
          </cell>
        </row>
        <row r="661">
          <cell r="A661" t="str">
            <v>GBP_LIBOR_EOD</v>
          </cell>
          <cell r="C661">
            <v>42907</v>
          </cell>
          <cell r="E661">
            <v>8.88263361996036E-3</v>
          </cell>
          <cell r="F661">
            <v>0.98409050209938198</v>
          </cell>
        </row>
        <row r="662">
          <cell r="A662" t="str">
            <v>GBP_LIBOR_EOD</v>
          </cell>
          <cell r="C662">
            <v>42998</v>
          </cell>
          <cell r="E662">
            <v>9.46415638632098E-3</v>
          </cell>
          <cell r="F662">
            <v>0.98074097440352503</v>
          </cell>
        </row>
        <row r="663">
          <cell r="A663" t="str">
            <v>GBP_LIBOR_EOD</v>
          </cell>
          <cell r="C663">
            <v>43346</v>
          </cell>
          <cell r="E663">
            <v>1.26587235676774E-2</v>
          </cell>
          <cell r="F663">
            <v>0.96263571996373398</v>
          </cell>
        </row>
        <row r="664">
          <cell r="A664" t="str">
            <v>GBP_LIBOR_EOD</v>
          </cell>
          <cell r="C664">
            <v>43710</v>
          </cell>
          <cell r="E664">
            <v>1.4541874593492101E-2</v>
          </cell>
          <cell r="F664">
            <v>0.94341672498249596</v>
          </cell>
        </row>
        <row r="665">
          <cell r="A665" t="str">
            <v>GBP_LIBOR_EOD</v>
          </cell>
          <cell r="C665">
            <v>44075</v>
          </cell>
          <cell r="E665">
            <v>1.61081591460655E-2</v>
          </cell>
          <cell r="F665">
            <v>0.92253583377986204</v>
          </cell>
        </row>
        <row r="666">
          <cell r="A666" t="str">
            <v>GBP_LIBOR_EOD</v>
          </cell>
          <cell r="C666">
            <v>44440</v>
          </cell>
          <cell r="E666">
            <v>1.7325649810343499E-2</v>
          </cell>
          <cell r="F666">
            <v>0.90118128812313603</v>
          </cell>
        </row>
        <row r="667">
          <cell r="A667" t="str">
            <v>GBP_LIBOR_EOD</v>
          </cell>
          <cell r="C667">
            <v>44805</v>
          </cell>
          <cell r="E667">
            <v>1.82643123800749E-2</v>
          </cell>
          <cell r="F667">
            <v>0.87989713966629002</v>
          </cell>
        </row>
        <row r="668">
          <cell r="A668" t="str">
            <v>GBP_LIBOR_EOD</v>
          </cell>
          <cell r="C668">
            <v>45170</v>
          </cell>
          <cell r="E668">
            <v>1.9011270197628102E-2</v>
          </cell>
          <cell r="F668">
            <v>0.85882136725527103</v>
          </cell>
        </row>
        <row r="669">
          <cell r="A669" t="str">
            <v>GBP_LIBOR_EOD</v>
          </cell>
          <cell r="C669">
            <v>45537</v>
          </cell>
          <cell r="E669">
            <v>1.9637144943051601E-2</v>
          </cell>
          <cell r="F669">
            <v>0.83782208837989702</v>
          </cell>
        </row>
        <row r="670">
          <cell r="A670" t="str">
            <v>GBP_LIBOR_EOD</v>
          </cell>
          <cell r="C670">
            <v>45901</v>
          </cell>
          <cell r="E670">
            <v>2.01469443594922E-2</v>
          </cell>
          <cell r="F670">
            <v>0.81739319348421102</v>
          </cell>
        </row>
        <row r="671">
          <cell r="A671" t="str">
            <v>GBP_LIBOR_EOD</v>
          </cell>
          <cell r="C671">
            <v>46631</v>
          </cell>
          <cell r="E671">
            <v>2.1002807481671899E-2</v>
          </cell>
          <cell r="F671">
            <v>0.77708439689937703</v>
          </cell>
        </row>
        <row r="672">
          <cell r="A672" t="str">
            <v>GBP_LIBOR_EOD</v>
          </cell>
          <cell r="C672">
            <v>47728</v>
          </cell>
          <cell r="E672">
            <v>2.1851198844522801E-2</v>
          </cell>
          <cell r="F672">
            <v>0.72031453070657103</v>
          </cell>
        </row>
        <row r="673">
          <cell r="A673" t="str">
            <v>GBP_LIBOR_EOD</v>
          </cell>
          <cell r="C673">
            <v>49555</v>
          </cell>
          <cell r="E673">
            <v>2.2391587202253399E-2</v>
          </cell>
          <cell r="F673">
            <v>0.63873784196896799</v>
          </cell>
        </row>
        <row r="674">
          <cell r="A674" t="str">
            <v>GBP_LIBOR_EOD</v>
          </cell>
          <cell r="C674">
            <v>51382</v>
          </cell>
          <cell r="E674">
            <v>2.2220557369792102E-2</v>
          </cell>
          <cell r="F674">
            <v>0.57346301274456901</v>
          </cell>
        </row>
        <row r="675">
          <cell r="A675" t="str">
            <v>GBP_LIBOR_EOD</v>
          </cell>
          <cell r="C675">
            <v>53206</v>
          </cell>
          <cell r="E675">
            <v>2.2013242028322201E-2</v>
          </cell>
          <cell r="F675">
            <v>0.51639683816628601</v>
          </cell>
        </row>
        <row r="676">
          <cell r="A676" t="str">
            <v>GBP_LIBOR_EOD</v>
          </cell>
          <cell r="C676">
            <v>56858</v>
          </cell>
          <cell r="E676">
            <v>2.1185830033368599E-2</v>
          </cell>
          <cell r="F676">
            <v>0.42826477776791899</v>
          </cell>
        </row>
        <row r="677">
          <cell r="A677" t="str">
            <v>GBP_LIBOR_EOD</v>
          </cell>
          <cell r="C677">
            <v>60511</v>
          </cell>
          <cell r="E677">
            <v>2.0583099071805701E-2</v>
          </cell>
          <cell r="F677">
            <v>0.35704692963937201</v>
          </cell>
        </row>
        <row r="678">
          <cell r="A678" t="str">
            <v>GBP_LIBOR_EOD</v>
          </cell>
          <cell r="C678">
            <v>64164</v>
          </cell>
          <cell r="E678">
            <v>2.05645234991178E-2</v>
          </cell>
          <cell r="F678">
            <v>0.29090082760282399</v>
          </cell>
        </row>
        <row r="679">
          <cell r="A679" t="str">
            <v>GBP_SONIA_EOD</v>
          </cell>
          <cell r="C679">
            <v>42249</v>
          </cell>
          <cell r="E679">
            <v>4.5859711900806998E-3</v>
          </cell>
          <cell r="F679">
            <v>0.99998743577430005</v>
          </cell>
        </row>
        <row r="680">
          <cell r="A680" t="str">
            <v>GBP_SONIA_EOD</v>
          </cell>
          <cell r="C680">
            <v>42255</v>
          </cell>
          <cell r="E680">
            <v>4.5997971078242496E-3</v>
          </cell>
          <cell r="F680">
            <v>0.99991178860385499</v>
          </cell>
        </row>
        <row r="681">
          <cell r="A681" t="str">
            <v>GBP_SONIA_EOD</v>
          </cell>
          <cell r="C681">
            <v>42262</v>
          </cell>
          <cell r="E681">
            <v>4.6005940630791803E-3</v>
          </cell>
          <cell r="F681">
            <v>0.99982355442620596</v>
          </cell>
        </row>
        <row r="682">
          <cell r="A682" t="str">
            <v>GBP_SONIA_EOD</v>
          </cell>
          <cell r="C682">
            <v>42278</v>
          </cell>
          <cell r="E682">
            <v>4.5962567163161903E-3</v>
          </cell>
          <cell r="F682">
            <v>0.99962229682318204</v>
          </cell>
        </row>
        <row r="683">
          <cell r="A683" t="str">
            <v>GBP_SONIA_EOD</v>
          </cell>
          <cell r="C683">
            <v>42310</v>
          </cell>
          <cell r="E683">
            <v>4.6128589855389899E-3</v>
          </cell>
          <cell r="F683">
            <v>0.99921675276932398</v>
          </cell>
        </row>
        <row r="684">
          <cell r="A684" t="str">
            <v>GBP_SONIA_EOD</v>
          </cell>
          <cell r="C684">
            <v>42339</v>
          </cell>
          <cell r="E684">
            <v>4.6973733180199996E-3</v>
          </cell>
          <cell r="F684">
            <v>0.99882955954984698</v>
          </cell>
        </row>
        <row r="685">
          <cell r="A685" t="str">
            <v>GBP_SONIA_EOD</v>
          </cell>
          <cell r="C685">
            <v>42373</v>
          </cell>
          <cell r="E685">
            <v>4.7571228574929099E-3</v>
          </cell>
          <cell r="F685">
            <v>0.99837217468367501</v>
          </cell>
        </row>
        <row r="686">
          <cell r="A686" t="str">
            <v>GBP_SONIA_EOD</v>
          </cell>
          <cell r="C686">
            <v>42401</v>
          </cell>
          <cell r="E686">
            <v>4.80565642895026E-3</v>
          </cell>
          <cell r="F686">
            <v>0.99798760174847601</v>
          </cell>
        </row>
        <row r="687">
          <cell r="A687" t="str">
            <v>GBP_SONIA_EOD</v>
          </cell>
          <cell r="C687">
            <v>42430</v>
          </cell>
          <cell r="E687">
            <v>4.9345492517148199E-3</v>
          </cell>
          <cell r="F687">
            <v>0.99754250961642099</v>
          </cell>
        </row>
        <row r="688">
          <cell r="A688" t="str">
            <v>GBP_SONIA_EOD</v>
          </cell>
          <cell r="C688">
            <v>42461</v>
          </cell>
          <cell r="E688">
            <v>5.0436951406602898E-3</v>
          </cell>
          <cell r="F688">
            <v>0.997061020254292</v>
          </cell>
        </row>
        <row r="689">
          <cell r="A689" t="str">
            <v>GBP_SONIA_EOD</v>
          </cell>
          <cell r="C689">
            <v>42493</v>
          </cell>
          <cell r="E689">
            <v>5.1199421282896399E-3</v>
          </cell>
          <cell r="F689">
            <v>0.99656922511981705</v>
          </cell>
        </row>
        <row r="690">
          <cell r="A690" t="str">
            <v>GBP_SONIA_EOD</v>
          </cell>
          <cell r="C690">
            <v>42522</v>
          </cell>
          <cell r="E690">
            <v>5.2640853232764802E-3</v>
          </cell>
          <cell r="F690">
            <v>0.99605612804116495</v>
          </cell>
        </row>
        <row r="691">
          <cell r="A691" t="str">
            <v>GBP_SONIA_EOD</v>
          </cell>
          <cell r="C691">
            <v>42552</v>
          </cell>
          <cell r="E691">
            <v>5.4018301807736199E-3</v>
          </cell>
          <cell r="F691">
            <v>0.99551104704153504</v>
          </cell>
        </row>
        <row r="692">
          <cell r="A692" t="str">
            <v>GBP_SONIA_EOD</v>
          </cell>
          <cell r="C692">
            <v>42583</v>
          </cell>
          <cell r="E692">
            <v>5.5307719284304101E-3</v>
          </cell>
          <cell r="F692">
            <v>0.99493667413502895</v>
          </cell>
        </row>
        <row r="693">
          <cell r="A693" t="str">
            <v>GBP_SONIA_EOD</v>
          </cell>
          <cell r="C693">
            <v>42614</v>
          </cell>
          <cell r="E693">
            <v>5.6710118198960704E-3</v>
          </cell>
          <cell r="F693">
            <v>0.99432958897628498</v>
          </cell>
        </row>
        <row r="694">
          <cell r="A694" t="str">
            <v>GBP_SONIA_EOD</v>
          </cell>
          <cell r="C694">
            <v>42705</v>
          </cell>
          <cell r="E694">
            <v>6.0925818491108404E-3</v>
          </cell>
          <cell r="F694">
            <v>0.992400774915151</v>
          </cell>
        </row>
        <row r="695">
          <cell r="A695" t="str">
            <v>GBP_SONIA_EOD</v>
          </cell>
          <cell r="C695">
            <v>42795</v>
          </cell>
          <cell r="E695">
            <v>6.5568478618891601E-3</v>
          </cell>
          <cell r="F695">
            <v>0.990221830432787</v>
          </cell>
        </row>
        <row r="696">
          <cell r="A696" t="str">
            <v>GBP_SONIA_EOD</v>
          </cell>
          <cell r="C696">
            <v>42887</v>
          </cell>
          <cell r="E696">
            <v>7.0780045270369902E-3</v>
          </cell>
          <cell r="F696">
            <v>0.98768510085288197</v>
          </cell>
        </row>
        <row r="697">
          <cell r="A697" t="str">
            <v>GBP_SONIA_EOD</v>
          </cell>
          <cell r="C697">
            <v>42979</v>
          </cell>
          <cell r="E697">
            <v>7.5977627193596397E-3</v>
          </cell>
          <cell r="F697">
            <v>0.98489884232901903</v>
          </cell>
        </row>
        <row r="698">
          <cell r="A698" t="str">
            <v>GBP_SONIA_EOD</v>
          </cell>
          <cell r="C698">
            <v>43346</v>
          </cell>
          <cell r="E698">
            <v>9.62916720116915E-3</v>
          </cell>
          <cell r="F698">
            <v>0.97144886617230697</v>
          </cell>
        </row>
        <row r="699">
          <cell r="A699" t="str">
            <v>GBP_SONIA_EOD</v>
          </cell>
          <cell r="C699">
            <v>43710</v>
          </cell>
          <cell r="E699">
            <v>1.13965505885429E-2</v>
          </cell>
          <cell r="F699">
            <v>0.95537757589737304</v>
          </cell>
        </row>
        <row r="700">
          <cell r="A700" t="str">
            <v>GBP_SONIA_EOD</v>
          </cell>
          <cell r="C700">
            <v>44075</v>
          </cell>
          <cell r="E700">
            <v>1.28767697938973E-2</v>
          </cell>
          <cell r="F700">
            <v>0.93757886068415996</v>
          </cell>
        </row>
        <row r="701">
          <cell r="A701" t="str">
            <v>GBP_SONIA_EOD</v>
          </cell>
          <cell r="C701">
            <v>44440</v>
          </cell>
          <cell r="E701">
            <v>1.40138070474536E-2</v>
          </cell>
          <cell r="F701">
            <v>0.91928449875057605</v>
          </cell>
        </row>
        <row r="702">
          <cell r="A702" t="str">
            <v>GBP_SONIA_EOD</v>
          </cell>
          <cell r="C702">
            <v>44805</v>
          </cell>
          <cell r="E702">
            <v>1.49240665700079E-2</v>
          </cell>
          <cell r="F702">
            <v>0.90072954208904898</v>
          </cell>
        </row>
        <row r="703">
          <cell r="A703" t="str">
            <v>GBP_SONIA_EOD</v>
          </cell>
          <cell r="C703">
            <v>45170</v>
          </cell>
          <cell r="E703">
            <v>1.5682349301651698E-2</v>
          </cell>
          <cell r="F703">
            <v>0.882016315281964</v>
          </cell>
        </row>
        <row r="704">
          <cell r="A704" t="str">
            <v>GBP_SONIA_EOD</v>
          </cell>
          <cell r="C704">
            <v>45537</v>
          </cell>
          <cell r="E704">
            <v>1.6333013751349101E-2</v>
          </cell>
          <cell r="F704">
            <v>0.86314195118614701</v>
          </cell>
        </row>
        <row r="705">
          <cell r="A705" t="str">
            <v>GBP_SONIA_EOD</v>
          </cell>
          <cell r="C705">
            <v>45901</v>
          </cell>
          <cell r="E705">
            <v>1.6881598049915798E-2</v>
          </cell>
          <cell r="F705">
            <v>0.84454713233191503</v>
          </cell>
        </row>
        <row r="706">
          <cell r="A706" t="str">
            <v>GBP_SONIA_EOD</v>
          </cell>
          <cell r="C706">
            <v>46631</v>
          </cell>
          <cell r="E706">
            <v>1.7884466595495599E-2</v>
          </cell>
          <cell r="F706">
            <v>0.80673455353818302</v>
          </cell>
        </row>
        <row r="707">
          <cell r="A707" t="str">
            <v>GBP_SONIA_EOD</v>
          </cell>
          <cell r="C707">
            <v>47728</v>
          </cell>
          <cell r="E707">
            <v>1.90386566506477E-2</v>
          </cell>
          <cell r="F707">
            <v>0.75138233672229604</v>
          </cell>
        </row>
        <row r="708">
          <cell r="A708" t="str">
            <v>GBP_SONIA_EOD</v>
          </cell>
          <cell r="C708">
            <v>49555</v>
          </cell>
          <cell r="E708">
            <v>2.0030110245469E-2</v>
          </cell>
          <cell r="F708">
            <v>0.669659205834926</v>
          </cell>
        </row>
        <row r="709">
          <cell r="A709" t="str">
            <v>GBP_SONIA_EOD</v>
          </cell>
          <cell r="C709">
            <v>51382</v>
          </cell>
          <cell r="E709">
            <v>2.01479563457325E-2</v>
          </cell>
          <cell r="F709">
            <v>0.60399116564677902</v>
          </cell>
        </row>
        <row r="710">
          <cell r="A710" t="str">
            <v>GBP_SONIA_EOD</v>
          </cell>
          <cell r="C710">
            <v>53206</v>
          </cell>
          <cell r="E710">
            <v>2.0173880744219198E-2</v>
          </cell>
          <cell r="F710">
            <v>0.54571490611596196</v>
          </cell>
        </row>
        <row r="711">
          <cell r="A711" t="str">
            <v>GBP_SONIA_EOD</v>
          </cell>
          <cell r="C711">
            <v>56858</v>
          </cell>
          <cell r="E711">
            <v>1.9620483381547899E-2</v>
          </cell>
          <cell r="F711">
            <v>0.45595694957476202</v>
          </cell>
        </row>
        <row r="712">
          <cell r="A712" t="str">
            <v>GBP_SONIA_EOD</v>
          </cell>
          <cell r="C712">
            <v>60511</v>
          </cell>
          <cell r="E712">
            <v>1.9180253162519999E-2</v>
          </cell>
          <cell r="F712">
            <v>0.38300938337406298</v>
          </cell>
        </row>
        <row r="713">
          <cell r="A713" t="str">
            <v>GBP_SONIA_EOD</v>
          </cell>
          <cell r="C713">
            <v>64164</v>
          </cell>
          <cell r="E713">
            <v>1.9290633410674999E-2</v>
          </cell>
          <cell r="F713">
            <v>0.314024703862405</v>
          </cell>
        </row>
        <row r="714">
          <cell r="A714" t="str">
            <v>HKD_HIBOR_3M_EOD</v>
          </cell>
          <cell r="C714">
            <v>42339</v>
          </cell>
          <cell r="E714">
            <v>4.10459908647686E-3</v>
          </cell>
          <cell r="F714">
            <v>0.99897718502979604</v>
          </cell>
        </row>
        <row r="715">
          <cell r="A715" t="str">
            <v>HKD_HIBOR_3M_EOD</v>
          </cell>
          <cell r="C715">
            <v>42430</v>
          </cell>
          <cell r="E715">
            <v>5.0001320041580498E-3</v>
          </cell>
          <cell r="F715">
            <v>0.99750988897667403</v>
          </cell>
        </row>
        <row r="716">
          <cell r="A716" t="str">
            <v>HKD_HIBOR_3M_EOD</v>
          </cell>
          <cell r="C716">
            <v>42522</v>
          </cell>
          <cell r="E716">
            <v>5.8371264734819704E-3</v>
          </cell>
          <cell r="F716">
            <v>0.99562774337965099</v>
          </cell>
        </row>
        <row r="717">
          <cell r="A717" t="str">
            <v>HKD_HIBOR_3M_EOD</v>
          </cell>
          <cell r="C717">
            <v>42614</v>
          </cell>
          <cell r="E717">
            <v>6.5209188911274103E-3</v>
          </cell>
          <cell r="F717">
            <v>0.99348254690954096</v>
          </cell>
        </row>
        <row r="718">
          <cell r="A718" t="str">
            <v>HKD_HIBOR_3M_EOD</v>
          </cell>
          <cell r="C718">
            <v>42979</v>
          </cell>
          <cell r="E718">
            <v>9.8464768281592199E-3</v>
          </cell>
          <cell r="F718">
            <v>0.98047323569657596</v>
          </cell>
        </row>
        <row r="719">
          <cell r="A719" t="str">
            <v>HKD_HIBOR_3M_EOD</v>
          </cell>
          <cell r="C719">
            <v>43346</v>
          </cell>
          <cell r="E719">
            <v>1.26181013407066E-2</v>
          </cell>
          <cell r="F719">
            <v>0.96275336177773696</v>
          </cell>
        </row>
        <row r="720">
          <cell r="A720" t="str">
            <v>HKD_HIBOR_3M_EOD</v>
          </cell>
          <cell r="C720">
            <v>43710</v>
          </cell>
          <cell r="E720">
            <v>1.49238115679068E-2</v>
          </cell>
          <cell r="F720">
            <v>0.94197455110615103</v>
          </cell>
        </row>
        <row r="721">
          <cell r="A721" t="str">
            <v>HKD_HIBOR_3M_EOD</v>
          </cell>
          <cell r="C721">
            <v>44075</v>
          </cell>
          <cell r="E721">
            <v>1.6613071594706302E-2</v>
          </cell>
          <cell r="F721">
            <v>0.92020722613623895</v>
          </cell>
        </row>
        <row r="722">
          <cell r="A722" t="str">
            <v>HKD_HIBOR_3M_EOD</v>
          </cell>
          <cell r="C722">
            <v>44805</v>
          </cell>
          <cell r="E722">
            <v>1.93383817784968E-2</v>
          </cell>
          <cell r="F722">
            <v>0.873301312900296</v>
          </cell>
        </row>
        <row r="723">
          <cell r="A723" t="str">
            <v>HKD_HIBOR_3M_EOD</v>
          </cell>
          <cell r="C723">
            <v>45901</v>
          </cell>
          <cell r="E723">
            <v>2.1739659466884598E-2</v>
          </cell>
          <cell r="F723">
            <v>0.80446704493445997</v>
          </cell>
        </row>
        <row r="724">
          <cell r="A724" t="str">
            <v>HKD_HIBOR_3M_EOD</v>
          </cell>
          <cell r="C724">
            <v>46631</v>
          </cell>
          <cell r="E724">
            <v>2.2468010098505499E-2</v>
          </cell>
          <cell r="F724">
            <v>0.76353158249874797</v>
          </cell>
        </row>
        <row r="725">
          <cell r="A725" t="str">
            <v>HKD_HIBOR_3M_EOD</v>
          </cell>
          <cell r="C725">
            <v>47728</v>
          </cell>
          <cell r="E725">
            <v>2.33998203098203E-2</v>
          </cell>
          <cell r="F725">
            <v>0.70376002808475202</v>
          </cell>
        </row>
        <row r="726">
          <cell r="A726" t="str">
            <v>HKD_HIBOR_6M_EOD</v>
          </cell>
          <cell r="C726">
            <v>42430</v>
          </cell>
          <cell r="E726">
            <v>5.6503328214977701E-3</v>
          </cell>
          <cell r="F726">
            <v>0.99718653899169596</v>
          </cell>
        </row>
        <row r="727">
          <cell r="A727" t="str">
            <v>HKD_HIBOR_6M_EOD</v>
          </cell>
          <cell r="C727">
            <v>42614</v>
          </cell>
          <cell r="E727">
            <v>8.1277092928085399E-3</v>
          </cell>
          <cell r="F727">
            <v>0.99188314403336197</v>
          </cell>
        </row>
        <row r="728">
          <cell r="A728" t="str">
            <v>HKD_HIBOR_6M_EOD</v>
          </cell>
          <cell r="C728">
            <v>42979</v>
          </cell>
          <cell r="E728">
            <v>1.1240348241753E-2</v>
          </cell>
          <cell r="F728">
            <v>0.97774000098160896</v>
          </cell>
        </row>
        <row r="729">
          <cell r="A729" t="str">
            <v>HKD_HIBOR_6M_EOD</v>
          </cell>
          <cell r="C729">
            <v>43346</v>
          </cell>
          <cell r="E729">
            <v>1.3909926590922101E-2</v>
          </cell>
          <cell r="F729">
            <v>0.95901927241317297</v>
          </cell>
        </row>
        <row r="730">
          <cell r="A730" t="str">
            <v>HKD_HIBOR_6M_EOD</v>
          </cell>
          <cell r="C730">
            <v>43710</v>
          </cell>
          <cell r="E730">
            <v>1.6110650092040098E-2</v>
          </cell>
          <cell r="F730">
            <v>0.93750716555987801</v>
          </cell>
        </row>
        <row r="731">
          <cell r="A731" t="str">
            <v>HKD_HIBOR_6M_EOD</v>
          </cell>
          <cell r="C731">
            <v>44075</v>
          </cell>
          <cell r="E731">
            <v>1.7697739804501799E-2</v>
          </cell>
          <cell r="F731">
            <v>0.91522469738719903</v>
          </cell>
        </row>
        <row r="732">
          <cell r="A732" t="str">
            <v>HKD_HIBOR_6M_EOD</v>
          </cell>
          <cell r="C732">
            <v>44805</v>
          </cell>
          <cell r="E732">
            <v>2.0319404549079399E-2</v>
          </cell>
          <cell r="F732">
            <v>0.86732009578643998</v>
          </cell>
        </row>
        <row r="733">
          <cell r="A733" t="str">
            <v>HKD_HIBOR_6M_EOD</v>
          </cell>
          <cell r="C733">
            <v>45901</v>
          </cell>
          <cell r="E733">
            <v>2.2724028536565501E-2</v>
          </cell>
          <cell r="F733">
            <v>0.79658052339331598</v>
          </cell>
        </row>
        <row r="734">
          <cell r="A734" t="str">
            <v>HKD_HIBOR_6M_EOD</v>
          </cell>
          <cell r="C734">
            <v>46631</v>
          </cell>
          <cell r="E734">
            <v>2.3566259689867499E-2</v>
          </cell>
          <cell r="F734">
            <v>0.75352821861515495</v>
          </cell>
        </row>
        <row r="735">
          <cell r="A735" t="str">
            <v>HKD_HIBOR_6M_EOD</v>
          </cell>
          <cell r="C735">
            <v>47728</v>
          </cell>
          <cell r="E735">
            <v>2.44952470632573E-2</v>
          </cell>
          <cell r="F735">
            <v>0.69228036251033298</v>
          </cell>
        </row>
        <row r="736">
          <cell r="A736" t="str">
            <v>HKD_HIBOR_EOD</v>
          </cell>
          <cell r="C736">
            <v>42249</v>
          </cell>
          <cell r="E736">
            <v>5.4809958855390995E-4</v>
          </cell>
          <cell r="F736">
            <v>0.99999849835841903</v>
          </cell>
        </row>
        <row r="737">
          <cell r="A737" t="str">
            <v>HKD_HIBOR_EOD</v>
          </cell>
          <cell r="C737">
            <v>42255</v>
          </cell>
          <cell r="E737">
            <v>1.07928882998014E-3</v>
          </cell>
          <cell r="F737">
            <v>0.99997930152432601</v>
          </cell>
        </row>
        <row r="738">
          <cell r="A738" t="str">
            <v>HKD_HIBOR_EOD</v>
          </cell>
          <cell r="C738">
            <v>42279</v>
          </cell>
          <cell r="E738">
            <v>2.6022124215610101E-3</v>
          </cell>
          <cell r="F738">
            <v>0.99977901459876595</v>
          </cell>
        </row>
        <row r="739">
          <cell r="A739" t="str">
            <v>HKD_HIBOR_EOD</v>
          </cell>
          <cell r="C739">
            <v>42310</v>
          </cell>
          <cell r="E739">
            <v>3.3490472175966598E-3</v>
          </cell>
          <cell r="F739">
            <v>0.99943128252772295</v>
          </cell>
        </row>
        <row r="740">
          <cell r="A740" t="str">
            <v>HKD_HIBOR_EOD</v>
          </cell>
          <cell r="C740">
            <v>42339</v>
          </cell>
          <cell r="E740">
            <v>4.10459908647686E-3</v>
          </cell>
          <cell r="F740">
            <v>0.99897718502979604</v>
          </cell>
        </row>
        <row r="741">
          <cell r="A741" t="str">
            <v>HKD_HIBOR_EOD</v>
          </cell>
          <cell r="C741">
            <v>42430</v>
          </cell>
          <cell r="E741">
            <v>5.6503328214977701E-3</v>
          </cell>
          <cell r="F741">
            <v>0.99718653899169596</v>
          </cell>
        </row>
        <row r="742">
          <cell r="A742" t="str">
            <v>HKD_HIBOR_EOD</v>
          </cell>
          <cell r="C742">
            <v>42614</v>
          </cell>
          <cell r="E742">
            <v>6.6302811560758502E-3</v>
          </cell>
          <cell r="F742">
            <v>0.99337360571161504</v>
          </cell>
        </row>
        <row r="743">
          <cell r="A743" t="str">
            <v>HKD_HIBOR_EOD</v>
          </cell>
          <cell r="C743">
            <v>42979</v>
          </cell>
          <cell r="E743">
            <v>9.8455535230676603E-3</v>
          </cell>
          <cell r="F743">
            <v>0.98047504873032199</v>
          </cell>
        </row>
        <row r="744">
          <cell r="A744" t="str">
            <v>HKD_HIBOR_EOD</v>
          </cell>
          <cell r="C744">
            <v>43346</v>
          </cell>
          <cell r="E744">
            <v>1.26174869259501E-2</v>
          </cell>
          <cell r="F744">
            <v>0.96275514123088801</v>
          </cell>
        </row>
        <row r="745">
          <cell r="A745" t="str">
            <v>HKD_HIBOR_EOD</v>
          </cell>
          <cell r="C745">
            <v>43710</v>
          </cell>
          <cell r="E745">
            <v>1.4923372517612599E-2</v>
          </cell>
          <cell r="F745">
            <v>0.94197620767058199</v>
          </cell>
        </row>
        <row r="746">
          <cell r="A746" t="str">
            <v>HKD_HIBOR_EOD</v>
          </cell>
          <cell r="C746">
            <v>44075</v>
          </cell>
          <cell r="E746">
            <v>1.6612988867224201E-2</v>
          </cell>
          <cell r="F746">
            <v>0.92020760718558303</v>
          </cell>
        </row>
        <row r="747">
          <cell r="A747" t="str">
            <v>HKD_HIBOR_EOD</v>
          </cell>
          <cell r="C747">
            <v>44805</v>
          </cell>
          <cell r="E747">
            <v>1.9338322726150499E-2</v>
          </cell>
          <cell r="F747">
            <v>0.87330167417638904</v>
          </cell>
        </row>
        <row r="748">
          <cell r="A748" t="str">
            <v>HKD_HIBOR_EOD</v>
          </cell>
          <cell r="C748">
            <v>45901</v>
          </cell>
          <cell r="E748">
            <v>2.1738720991744499E-2</v>
          </cell>
          <cell r="F748">
            <v>0.80447460089842404</v>
          </cell>
        </row>
        <row r="749">
          <cell r="A749" t="str">
            <v>HKD_HIBOR_EOD</v>
          </cell>
          <cell r="C749">
            <v>46631</v>
          </cell>
          <cell r="E749">
            <v>2.24672682611823E-2</v>
          </cell>
          <cell r="F749">
            <v>0.76353838417922304</v>
          </cell>
        </row>
        <row r="750">
          <cell r="A750" t="str">
            <v>HKD_HIBOR_EOD</v>
          </cell>
          <cell r="C750">
            <v>47728</v>
          </cell>
          <cell r="E750">
            <v>2.3398536228546402E-2</v>
          </cell>
          <cell r="F750">
            <v>0.70377359587088495</v>
          </cell>
        </row>
        <row r="751">
          <cell r="A751" t="str">
            <v>HUF_BUBOR_3M_EOD</v>
          </cell>
          <cell r="C751">
            <v>42341</v>
          </cell>
          <cell r="E751">
            <v>1.37652415017983E-2</v>
          </cell>
          <cell r="F751">
            <v>0.99649883531201899</v>
          </cell>
        </row>
        <row r="752">
          <cell r="A752" t="str">
            <v>HUF_BUBOR_3M_EOD</v>
          </cell>
          <cell r="C752">
            <v>42432</v>
          </cell>
          <cell r="E752">
            <v>1.39651179378308E-2</v>
          </cell>
          <cell r="F752">
            <v>0.99298477253366402</v>
          </cell>
        </row>
        <row r="753">
          <cell r="A753" t="str">
            <v>HUF_BUBOR_3M_EOD</v>
          </cell>
          <cell r="C753">
            <v>42524</v>
          </cell>
          <cell r="E753">
            <v>1.4150976235410499E-2</v>
          </cell>
          <cell r="F753">
            <v>0.98935658209012101</v>
          </cell>
        </row>
        <row r="754">
          <cell r="A754" t="str">
            <v>HUF_BUBOR_3M_EOD</v>
          </cell>
          <cell r="C754">
            <v>42618</v>
          </cell>
          <cell r="E754">
            <v>1.43863972044227E-2</v>
          </cell>
          <cell r="F754">
            <v>0.98552235262598997</v>
          </cell>
        </row>
        <row r="755">
          <cell r="A755" t="str">
            <v>HUF_BUBOR_3M_EOD</v>
          </cell>
          <cell r="C755">
            <v>42982</v>
          </cell>
          <cell r="E755">
            <v>1.5796037862735701E-2</v>
          </cell>
          <cell r="F755">
            <v>0.96873403060258301</v>
          </cell>
        </row>
        <row r="756">
          <cell r="A756" t="str">
            <v>HUF_BUBOR_3M_EOD</v>
          </cell>
          <cell r="C756">
            <v>43346</v>
          </cell>
          <cell r="E756">
            <v>1.7712907502801401E-2</v>
          </cell>
          <cell r="F756">
            <v>0.94811041873639501</v>
          </cell>
        </row>
        <row r="757">
          <cell r="A757" t="str">
            <v>HUF_BUBOR_3M_EOD</v>
          </cell>
          <cell r="C757">
            <v>43711</v>
          </cell>
          <cell r="E757">
            <v>2.0194623536204499E-2</v>
          </cell>
          <cell r="F757">
            <v>0.92224489550183797</v>
          </cell>
        </row>
        <row r="758">
          <cell r="A758" t="str">
            <v>HUF_BUBOR_3M_EOD</v>
          </cell>
          <cell r="C758">
            <v>44077</v>
          </cell>
          <cell r="E758">
            <v>2.28893594177372E-2</v>
          </cell>
          <cell r="F758">
            <v>0.89163569867279302</v>
          </cell>
        </row>
        <row r="759">
          <cell r="A759" t="str">
            <v>HUF_BUBOR_3M_EOD</v>
          </cell>
          <cell r="C759">
            <v>44442</v>
          </cell>
          <cell r="E759">
            <v>2.53915924150507E-2</v>
          </cell>
          <cell r="F759">
            <v>0.85844916124509496</v>
          </cell>
        </row>
        <row r="760">
          <cell r="A760" t="str">
            <v>HUF_BUBOR_3M_EOD</v>
          </cell>
          <cell r="C760">
            <v>44809</v>
          </cell>
          <cell r="E760">
            <v>2.7817698846174702E-2</v>
          </cell>
          <cell r="F760">
            <v>0.82268559929130602</v>
          </cell>
        </row>
        <row r="761">
          <cell r="A761" t="str">
            <v>HUF_BUBOR_3M_EOD</v>
          </cell>
          <cell r="C761">
            <v>45173</v>
          </cell>
          <cell r="E761">
            <v>3.00727212010586E-2</v>
          </cell>
          <cell r="F761">
            <v>0.78584655780095103</v>
          </cell>
        </row>
        <row r="762">
          <cell r="A762" t="str">
            <v>HUF_BUBOR_3M_EOD</v>
          </cell>
          <cell r="C762">
            <v>45538</v>
          </cell>
          <cell r="E762">
            <v>3.1922749099012097E-2</v>
          </cell>
          <cell r="F762">
            <v>0.74995502581936202</v>
          </cell>
        </row>
        <row r="763">
          <cell r="A763" t="str">
            <v>HUF_BUBOR_3M_EOD</v>
          </cell>
          <cell r="C763">
            <v>45903</v>
          </cell>
          <cell r="E763">
            <v>3.3221854492738401E-2</v>
          </cell>
          <cell r="F763">
            <v>0.71700415829512398</v>
          </cell>
        </row>
        <row r="764">
          <cell r="A764" t="str">
            <v>HUF_BUBOR_3M_EOD</v>
          </cell>
          <cell r="C764">
            <v>46633</v>
          </cell>
          <cell r="E764">
            <v>3.4085716074857497E-2</v>
          </cell>
          <cell r="F764">
            <v>0.66398513253577596</v>
          </cell>
        </row>
        <row r="765">
          <cell r="A765" t="str">
            <v>HUF_BUBOR_3M_EOD</v>
          </cell>
          <cell r="C765">
            <v>47729</v>
          </cell>
          <cell r="E765">
            <v>3.4694158193107297E-2</v>
          </cell>
          <cell r="F765">
            <v>0.59393660682842697</v>
          </cell>
        </row>
        <row r="766">
          <cell r="A766" t="str">
            <v>HUF_BUBOR_3M_EOD</v>
          </cell>
          <cell r="C766">
            <v>49555</v>
          </cell>
          <cell r="E766">
            <v>3.49678222662144E-2</v>
          </cell>
          <cell r="F766">
            <v>0.496571865831759</v>
          </cell>
        </row>
        <row r="767">
          <cell r="A767" t="str">
            <v>HUF_BUBOR_6M_EOD</v>
          </cell>
          <cell r="C767">
            <v>42432</v>
          </cell>
          <cell r="E767">
            <v>1.3842395936979E-2</v>
          </cell>
          <cell r="F767">
            <v>0.99304620577194003</v>
          </cell>
        </row>
        <row r="768">
          <cell r="A768" t="str">
            <v>HUF_BUBOR_6M_EOD</v>
          </cell>
          <cell r="C768">
            <v>42618</v>
          </cell>
          <cell r="E768">
            <v>1.43394111957958E-2</v>
          </cell>
          <cell r="F768">
            <v>0.985569293831144</v>
          </cell>
        </row>
        <row r="769">
          <cell r="A769" t="str">
            <v>HUF_BUBOR_6M_EOD</v>
          </cell>
          <cell r="C769">
            <v>42797</v>
          </cell>
          <cell r="E769">
            <v>1.4877557067796801E-2</v>
          </cell>
          <cell r="F769">
            <v>0.97787104228357702</v>
          </cell>
        </row>
        <row r="770">
          <cell r="A770" t="str">
            <v>HUF_BUBOR_6M_EOD</v>
          </cell>
          <cell r="C770">
            <v>42982</v>
          </cell>
          <cell r="E770">
            <v>1.55791260445063E-2</v>
          </cell>
          <cell r="F770">
            <v>0.96915668528993104</v>
          </cell>
        </row>
        <row r="771">
          <cell r="A771" t="str">
            <v>HUF_BUBOR_6M_EOD</v>
          </cell>
          <cell r="C771">
            <v>43346</v>
          </cell>
          <cell r="E771">
            <v>1.7473582605043499E-2</v>
          </cell>
          <cell r="F771">
            <v>0.94879324877725801</v>
          </cell>
        </row>
        <row r="772">
          <cell r="A772" t="str">
            <v>HUF_BUBOR_6M_EOD</v>
          </cell>
          <cell r="C772">
            <v>43711</v>
          </cell>
          <cell r="E772">
            <v>1.98940044988241E-2</v>
          </cell>
          <cell r="F772">
            <v>0.923356821484968</v>
          </cell>
        </row>
        <row r="773">
          <cell r="A773" t="str">
            <v>HUF_BUBOR_6M_EOD</v>
          </cell>
          <cell r="C773">
            <v>44077</v>
          </cell>
          <cell r="E773">
            <v>2.2548746945446299E-2</v>
          </cell>
          <cell r="F773">
            <v>0.89315883758831305</v>
          </cell>
        </row>
        <row r="774">
          <cell r="A774" t="str">
            <v>HUF_BUBOR_6M_EOD</v>
          </cell>
          <cell r="C774">
            <v>44442</v>
          </cell>
          <cell r="E774">
            <v>2.50313079610552E-2</v>
          </cell>
          <cell r="F774">
            <v>0.86031028054733705</v>
          </cell>
        </row>
        <row r="775">
          <cell r="A775" t="str">
            <v>HUF_BUBOR_6M_EOD</v>
          </cell>
          <cell r="C775">
            <v>44809</v>
          </cell>
          <cell r="E775">
            <v>2.74480211652244E-2</v>
          </cell>
          <cell r="F775">
            <v>0.82482226806532599</v>
          </cell>
        </row>
        <row r="776">
          <cell r="A776" t="str">
            <v>HUF_BUBOR_6M_EOD</v>
          </cell>
          <cell r="C776">
            <v>45173</v>
          </cell>
          <cell r="E776">
            <v>2.96915916562633E-2</v>
          </cell>
          <cell r="F776">
            <v>0.78825040450996897</v>
          </cell>
        </row>
        <row r="777">
          <cell r="A777" t="str">
            <v>HUF_BUBOR_6M_EOD</v>
          </cell>
          <cell r="C777">
            <v>45538</v>
          </cell>
          <cell r="E777">
            <v>3.15328088039925E-2</v>
          </cell>
          <cell r="F777">
            <v>0.752595608819006</v>
          </cell>
        </row>
        <row r="778">
          <cell r="A778" t="str">
            <v>HUF_BUBOR_6M_EOD</v>
          </cell>
          <cell r="C778">
            <v>45903</v>
          </cell>
          <cell r="E778">
            <v>3.2832990884802099E-2</v>
          </cell>
          <cell r="F778">
            <v>0.71980158895360502</v>
          </cell>
        </row>
        <row r="779">
          <cell r="A779" t="str">
            <v>HUF_BUBOR_6M_EOD</v>
          </cell>
          <cell r="C779">
            <v>46633</v>
          </cell>
          <cell r="E779">
            <v>3.36982016295682E-2</v>
          </cell>
          <cell r="F779">
            <v>0.66708350983299902</v>
          </cell>
        </row>
        <row r="780">
          <cell r="A780" t="str">
            <v>HUF_BUBOR_6M_EOD</v>
          </cell>
          <cell r="C780">
            <v>47729</v>
          </cell>
          <cell r="E780">
            <v>3.4320811035876801E-2</v>
          </cell>
          <cell r="F780">
            <v>0.59727577160827106</v>
          </cell>
        </row>
        <row r="781">
          <cell r="A781" t="str">
            <v>HUF_BUBOR_6M_EOD</v>
          </cell>
          <cell r="C781">
            <v>49555</v>
          </cell>
          <cell r="E781">
            <v>3.4621686805613498E-2</v>
          </cell>
          <cell r="F781">
            <v>0.50002473405800296</v>
          </cell>
        </row>
        <row r="782">
          <cell r="A782" t="str">
            <v>HUF_BUBOR_EOD</v>
          </cell>
          <cell r="C782">
            <v>42249</v>
          </cell>
          <cell r="E782">
            <v>9.9359758720760395E-3</v>
          </cell>
          <cell r="F782">
            <v>0.99997277851880695</v>
          </cell>
        </row>
        <row r="783">
          <cell r="A783" t="str">
            <v>HUF_BUBOR_EOD</v>
          </cell>
          <cell r="C783">
            <v>42250</v>
          </cell>
          <cell r="E783">
            <v>9.9359758720406095E-3</v>
          </cell>
          <cell r="F783">
            <v>0.99994555777862304</v>
          </cell>
        </row>
        <row r="784">
          <cell r="A784" t="str">
            <v>HUF_BUBOR_EOD</v>
          </cell>
          <cell r="C784">
            <v>42257</v>
          </cell>
          <cell r="E784">
            <v>1.2694755984120801E-2</v>
          </cell>
          <cell r="F784">
            <v>0.99968702760565098</v>
          </cell>
        </row>
        <row r="785">
          <cell r="A785" t="str">
            <v>HUF_BUBOR_EOD</v>
          </cell>
          <cell r="C785">
            <v>42282</v>
          </cell>
          <cell r="E785">
            <v>1.34590988763259E-2</v>
          </cell>
          <cell r="F785">
            <v>0.99874706130505697</v>
          </cell>
        </row>
        <row r="786">
          <cell r="A786" t="str">
            <v>HUF_BUBOR_EOD</v>
          </cell>
          <cell r="C786">
            <v>42311</v>
          </cell>
          <cell r="E786">
            <v>1.35532689809239E-2</v>
          </cell>
          <cell r="F786">
            <v>0.997663402744844</v>
          </cell>
        </row>
        <row r="787">
          <cell r="A787" t="str">
            <v>HUF_BUBOR_EOD</v>
          </cell>
          <cell r="C787">
            <v>42341</v>
          </cell>
          <cell r="E787">
            <v>1.36828917033086E-2</v>
          </cell>
          <cell r="F787">
            <v>0.99651974434639201</v>
          </cell>
        </row>
        <row r="788">
          <cell r="A788" t="str">
            <v>HUF_BUBOR_EOD</v>
          </cell>
          <cell r="C788">
            <v>42432</v>
          </cell>
          <cell r="E788">
            <v>1.39234954853335E-2</v>
          </cell>
          <cell r="F788">
            <v>0.99300560783422298</v>
          </cell>
        </row>
        <row r="789">
          <cell r="A789" t="str">
            <v>HUF_BUBOR_EOD</v>
          </cell>
          <cell r="C789">
            <v>42524</v>
          </cell>
          <cell r="E789">
            <v>1.4123227933745699E-2</v>
          </cell>
          <cell r="F789">
            <v>0.98937734126218302</v>
          </cell>
        </row>
        <row r="790">
          <cell r="A790" t="str">
            <v>HUF_BUBOR_EOD</v>
          </cell>
          <cell r="C790">
            <v>42618</v>
          </cell>
          <cell r="E790">
            <v>1.4365698471291301E-2</v>
          </cell>
          <cell r="F790">
            <v>0.98554303134634003</v>
          </cell>
        </row>
        <row r="791">
          <cell r="A791" t="str">
            <v>HUF_BUBOR_EOD</v>
          </cell>
          <cell r="C791">
            <v>42982</v>
          </cell>
          <cell r="E791">
            <v>1.5571751117334E-2</v>
          </cell>
          <cell r="F791">
            <v>0.96917105864478803</v>
          </cell>
        </row>
        <row r="792">
          <cell r="A792" t="str">
            <v>HUF_BUBOR_EOD</v>
          </cell>
          <cell r="C792">
            <v>43346</v>
          </cell>
          <cell r="E792">
            <v>1.7473411727017399E-2</v>
          </cell>
          <cell r="F792">
            <v>0.94879373649369403</v>
          </cell>
        </row>
        <row r="793">
          <cell r="A793" t="str">
            <v>HUF_BUBOR_EOD</v>
          </cell>
          <cell r="C793">
            <v>43711</v>
          </cell>
          <cell r="E793">
            <v>1.98954534367046E-2</v>
          </cell>
          <cell r="F793">
            <v>0.92335145895750803</v>
          </cell>
        </row>
        <row r="794">
          <cell r="A794" t="str">
            <v>HUF_BUBOR_EOD</v>
          </cell>
          <cell r="C794">
            <v>44077</v>
          </cell>
          <cell r="E794">
            <v>2.2549905706941001E-2</v>
          </cell>
          <cell r="F794">
            <v>0.893153651471016</v>
          </cell>
        </row>
        <row r="795">
          <cell r="A795" t="str">
            <v>HUF_BUBOR_EOD</v>
          </cell>
          <cell r="C795">
            <v>44442</v>
          </cell>
          <cell r="E795">
            <v>2.5032273803624001E-2</v>
          </cell>
          <cell r="F795">
            <v>0.86030528591006705</v>
          </cell>
        </row>
        <row r="796">
          <cell r="A796" t="str">
            <v>HUF_BUBOR_EOD</v>
          </cell>
          <cell r="C796">
            <v>44809</v>
          </cell>
          <cell r="E796">
            <v>2.7448848499200401E-2</v>
          </cell>
          <cell r="F796">
            <v>0.82481748003722599</v>
          </cell>
        </row>
        <row r="797">
          <cell r="A797" t="str">
            <v>HUF_BUBOR_EOD</v>
          </cell>
          <cell r="C797">
            <v>45173</v>
          </cell>
          <cell r="E797">
            <v>2.96939578730137E-2</v>
          </cell>
          <cell r="F797">
            <v>0.78823545773090298</v>
          </cell>
        </row>
        <row r="798">
          <cell r="A798" t="str">
            <v>HUF_BUBOR_EOD</v>
          </cell>
          <cell r="C798">
            <v>45538</v>
          </cell>
          <cell r="E798">
            <v>3.1533897499958503E-2</v>
          </cell>
          <cell r="F798">
            <v>0.75258822350107102</v>
          </cell>
        </row>
        <row r="799">
          <cell r="A799" t="str">
            <v>HUF_BUBOR_EOD</v>
          </cell>
          <cell r="C799">
            <v>45903</v>
          </cell>
          <cell r="E799">
            <v>3.2833970800981001E-2</v>
          </cell>
          <cell r="F799">
            <v>0.71979452587376902</v>
          </cell>
        </row>
        <row r="800">
          <cell r="A800" t="str">
            <v>HUF_BUBOR_EOD</v>
          </cell>
          <cell r="C800">
            <v>46633</v>
          </cell>
          <cell r="E800">
            <v>3.3699018091648603E-2</v>
          </cell>
          <cell r="F800">
            <v>0.66707696662347005</v>
          </cell>
        </row>
        <row r="801">
          <cell r="A801" t="str">
            <v>HUF_BUBOR_EOD</v>
          </cell>
          <cell r="C801">
            <v>47729</v>
          </cell>
          <cell r="E801">
            <v>3.4321318150418903E-2</v>
          </cell>
          <cell r="F801">
            <v>0.59727122333817895</v>
          </cell>
        </row>
        <row r="802">
          <cell r="A802" t="str">
            <v>HUF_BUBOR_EOD</v>
          </cell>
          <cell r="C802">
            <v>49555</v>
          </cell>
          <cell r="E802">
            <v>3.4621988005218103E-2</v>
          </cell>
          <cell r="F802">
            <v>0.50002171903369097</v>
          </cell>
        </row>
        <row r="803">
          <cell r="A803" t="str">
            <v>JPY_LIBOR_1M_EOD</v>
          </cell>
          <cell r="C803">
            <v>42282</v>
          </cell>
          <cell r="E803">
            <v>5.7354252443294002E-4</v>
          </cell>
          <cell r="F803">
            <v>0.99994657554814903</v>
          </cell>
        </row>
        <row r="804">
          <cell r="A804" t="str">
            <v>JPY_LIBOR_1M_EOD</v>
          </cell>
          <cell r="C804">
            <v>42312</v>
          </cell>
          <cell r="E804">
            <v>5.9598540128840999E-4</v>
          </cell>
          <cell r="F804">
            <v>0.99989550391028204</v>
          </cell>
        </row>
        <row r="805">
          <cell r="A805" t="str">
            <v>JPY_LIBOR_1M_EOD</v>
          </cell>
          <cell r="C805">
            <v>42341</v>
          </cell>
          <cell r="E805">
            <v>5.7640138873053999E-4</v>
          </cell>
          <cell r="F805">
            <v>0.99985314686849203</v>
          </cell>
        </row>
        <row r="806">
          <cell r="A806" t="str">
            <v>JPY_LIBOR_1M_EOD</v>
          </cell>
          <cell r="C806">
            <v>42432</v>
          </cell>
          <cell r="E806">
            <v>6.1424388334651995E-4</v>
          </cell>
          <cell r="F806">
            <v>0.99969040170384205</v>
          </cell>
        </row>
        <row r="807">
          <cell r="A807" t="str">
            <v>JPY_LIBOR_1M_EOD</v>
          </cell>
          <cell r="C807">
            <v>42524</v>
          </cell>
          <cell r="E807">
            <v>6.3314250103564998E-4</v>
          </cell>
          <cell r="F807">
            <v>0.99952135477818804</v>
          </cell>
        </row>
        <row r="808">
          <cell r="A808" t="str">
            <v>JPY_LIBOR_1M_EOD</v>
          </cell>
          <cell r="C808">
            <v>42618</v>
          </cell>
          <cell r="E808">
            <v>6.4579467925302003E-4</v>
          </cell>
          <cell r="F808">
            <v>0.99934557304907901</v>
          </cell>
        </row>
        <row r="809">
          <cell r="A809" t="str">
            <v>JPY_LIBOR_1M_EOD</v>
          </cell>
          <cell r="C809">
            <v>42982</v>
          </cell>
          <cell r="E809">
            <v>6.1733725851158998E-4</v>
          </cell>
          <cell r="F809">
            <v>0.99875933041083698</v>
          </cell>
        </row>
        <row r="810">
          <cell r="A810" t="str">
            <v>JPY_LIBOR_1M_EOD</v>
          </cell>
          <cell r="C810">
            <v>43346</v>
          </cell>
          <cell r="E810">
            <v>7.4456385568180997E-4</v>
          </cell>
          <cell r="F810">
            <v>0.99776269523557803</v>
          </cell>
        </row>
        <row r="811">
          <cell r="A811" t="str">
            <v>JPY_LIBOR_1M_EOD</v>
          </cell>
          <cell r="C811">
            <v>43711</v>
          </cell>
          <cell r="E811">
            <v>1.06353789521298E-3</v>
          </cell>
          <cell r="F811">
            <v>0.99574618024278805</v>
          </cell>
        </row>
        <row r="812">
          <cell r="A812" t="str">
            <v>JPY_LIBOR_1M_EOD</v>
          </cell>
          <cell r="C812">
            <v>44077</v>
          </cell>
          <cell r="E812">
            <v>1.54165616958023E-3</v>
          </cell>
          <cell r="F812">
            <v>0.99230458677039901</v>
          </cell>
        </row>
        <row r="813">
          <cell r="A813" t="str">
            <v>JPY_LIBOR_1M_EOD</v>
          </cell>
          <cell r="C813">
            <v>44442</v>
          </cell>
          <cell r="E813">
            <v>2.1110799562008798E-3</v>
          </cell>
          <cell r="F813">
            <v>0.98739055881995197</v>
          </cell>
        </row>
        <row r="814">
          <cell r="A814" t="str">
            <v>JPY_LIBOR_1M_EOD</v>
          </cell>
          <cell r="C814">
            <v>44809</v>
          </cell>
          <cell r="E814">
            <v>2.7432367573358598E-3</v>
          </cell>
          <cell r="F814">
            <v>0.98093630359212003</v>
          </cell>
        </row>
        <row r="815">
          <cell r="A815" t="str">
            <v>JPY_LIBOR_1M_EOD</v>
          </cell>
          <cell r="C815">
            <v>45173</v>
          </cell>
          <cell r="E815">
            <v>3.41298978046718E-3</v>
          </cell>
          <cell r="F815">
            <v>0.97301997129045903</v>
          </cell>
        </row>
        <row r="816">
          <cell r="A816" t="str">
            <v>JPY_LIBOR_1M_EOD</v>
          </cell>
          <cell r="C816">
            <v>45538</v>
          </cell>
          <cell r="E816">
            <v>4.08345471320556E-3</v>
          </cell>
          <cell r="F816">
            <v>0.96386211372739405</v>
          </cell>
        </row>
        <row r="817">
          <cell r="A817" t="str">
            <v>JPY_LIBOR_1M_EOD</v>
          </cell>
          <cell r="C817">
            <v>45903</v>
          </cell>
          <cell r="E817">
            <v>4.7816111618225804E-3</v>
          </cell>
          <cell r="F817">
            <v>0.95324663227233497</v>
          </cell>
        </row>
        <row r="818">
          <cell r="A818" t="str">
            <v>JPY_LIBOR_1M_EOD</v>
          </cell>
          <cell r="C818">
            <v>46633</v>
          </cell>
          <cell r="E818">
            <v>6.2504674035200299E-3</v>
          </cell>
          <cell r="F818">
            <v>0.92765885058933495</v>
          </cell>
        </row>
        <row r="819">
          <cell r="A819" t="str">
            <v>JPY_LIBOR_1M_EOD</v>
          </cell>
          <cell r="C819">
            <v>47729</v>
          </cell>
          <cell r="E819">
            <v>8.5514309937949704E-3</v>
          </cell>
          <cell r="F819">
            <v>0.87949092222533698</v>
          </cell>
        </row>
        <row r="820">
          <cell r="A820" t="str">
            <v>JPY_LIBOR_1M_EOD</v>
          </cell>
          <cell r="C820">
            <v>49555</v>
          </cell>
          <cell r="E820">
            <v>1.16060413344904E-2</v>
          </cell>
          <cell r="F820">
            <v>0.79267386577338905</v>
          </cell>
        </row>
        <row r="821">
          <cell r="A821" t="str">
            <v>JPY_LIBOR_1M_EOD</v>
          </cell>
          <cell r="C821">
            <v>51382</v>
          </cell>
          <cell r="E821">
            <v>1.33922580806891E-2</v>
          </cell>
          <cell r="F821">
            <v>0.715240326289446</v>
          </cell>
        </row>
        <row r="822">
          <cell r="A822" t="str">
            <v>JPY_LIBOR_1M_EOD</v>
          </cell>
          <cell r="C822">
            <v>53209</v>
          </cell>
          <cell r="E822">
            <v>1.44213932005532E-2</v>
          </cell>
          <cell r="F822">
            <v>0.64851093502118395</v>
          </cell>
        </row>
        <row r="823">
          <cell r="A823" t="str">
            <v>JPY_LIBOR_1M_EOD</v>
          </cell>
          <cell r="C823">
            <v>56860</v>
          </cell>
          <cell r="E823">
            <v>1.5884213715496601E-2</v>
          </cell>
          <cell r="F823">
            <v>0.529463648211427</v>
          </cell>
        </row>
        <row r="824">
          <cell r="A824" t="str">
            <v>JPY_LIBOR_3M_EOD</v>
          </cell>
          <cell r="C824">
            <v>42341</v>
          </cell>
          <cell r="E824">
            <v>9.0519923860875003E-4</v>
          </cell>
          <cell r="F824">
            <v>0.99976938678931404</v>
          </cell>
        </row>
        <row r="825">
          <cell r="A825" t="str">
            <v>JPY_LIBOR_3M_EOD</v>
          </cell>
          <cell r="C825">
            <v>42373</v>
          </cell>
          <cell r="E825">
            <v>9.1022046954884999E-4</v>
          </cell>
          <cell r="F825">
            <v>0.99968832924053896</v>
          </cell>
        </row>
        <row r="826">
          <cell r="A826" t="str">
            <v>JPY_LIBOR_3M_EOD</v>
          </cell>
          <cell r="C826">
            <v>42403</v>
          </cell>
          <cell r="E826">
            <v>9.1720670280420996E-4</v>
          </cell>
          <cell r="F826">
            <v>0.99961057710797796</v>
          </cell>
        </row>
        <row r="827">
          <cell r="A827" t="str">
            <v>JPY_LIBOR_3M_EOD</v>
          </cell>
          <cell r="C827">
            <v>42432</v>
          </cell>
          <cell r="E827">
            <v>9.0875861471379003E-4</v>
          </cell>
          <cell r="F827">
            <v>0.99954199098636398</v>
          </cell>
        </row>
        <row r="828">
          <cell r="A828" t="str">
            <v>JPY_LIBOR_3M_EOD</v>
          </cell>
          <cell r="C828">
            <v>42464</v>
          </cell>
          <cell r="E828">
            <v>9.1647522724269995E-4</v>
          </cell>
          <cell r="F828">
            <v>0.999457794583267</v>
          </cell>
        </row>
        <row r="829">
          <cell r="A829" t="str">
            <v>JPY_LIBOR_3M_EOD</v>
          </cell>
          <cell r="C829">
            <v>42496</v>
          </cell>
          <cell r="E829">
            <v>9.2015340789339001E-4</v>
          </cell>
          <cell r="F829">
            <v>0.99937499527315499</v>
          </cell>
        </row>
        <row r="830">
          <cell r="A830" t="str">
            <v>JPY_LIBOR_3M_EOD</v>
          </cell>
          <cell r="C830">
            <v>42524</v>
          </cell>
          <cell r="E830">
            <v>9.0891487751287002E-4</v>
          </cell>
          <cell r="F830">
            <v>0.99931294707096097</v>
          </cell>
        </row>
        <row r="831">
          <cell r="A831" t="str">
            <v>JPY_LIBOR_3M_EOD</v>
          </cell>
          <cell r="C831">
            <v>42555</v>
          </cell>
          <cell r="E831">
            <v>9.1346334579710004E-4</v>
          </cell>
          <cell r="F831">
            <v>0.99923198480856701</v>
          </cell>
        </row>
        <row r="832">
          <cell r="A832" t="str">
            <v>JPY_LIBOR_3M_EOD</v>
          </cell>
          <cell r="C832">
            <v>42585</v>
          </cell>
          <cell r="E832">
            <v>9.1497426680817E-4</v>
          </cell>
          <cell r="F832">
            <v>0.99915557226989204</v>
          </cell>
        </row>
        <row r="833">
          <cell r="A833" t="str">
            <v>JPY_LIBOR_3M_EOD</v>
          </cell>
          <cell r="C833">
            <v>42618</v>
          </cell>
          <cell r="E833">
            <v>9.0014133262151001E-4</v>
          </cell>
          <cell r="F833">
            <v>0.99908794414020696</v>
          </cell>
        </row>
        <row r="834">
          <cell r="A834" t="str">
            <v>JPY_LIBOR_3M_EOD</v>
          </cell>
          <cell r="C834">
            <v>42982</v>
          </cell>
          <cell r="E834">
            <v>8.7956965493885995E-4</v>
          </cell>
          <cell r="F834">
            <v>0.99823278493729695</v>
          </cell>
        </row>
        <row r="835">
          <cell r="A835" t="str">
            <v>JPY_LIBOR_3M_EOD</v>
          </cell>
          <cell r="C835">
            <v>43346</v>
          </cell>
          <cell r="E835">
            <v>9.9386525096444999E-4</v>
          </cell>
          <cell r="F835">
            <v>0.99701470038675699</v>
          </cell>
        </row>
        <row r="836">
          <cell r="A836" t="str">
            <v>JPY_LIBOR_3M_EOD</v>
          </cell>
          <cell r="C836">
            <v>43711</v>
          </cell>
          <cell r="E836">
            <v>1.3138553845434399E-3</v>
          </cell>
          <cell r="F836">
            <v>0.994747621879429</v>
          </cell>
        </row>
        <row r="837">
          <cell r="A837" t="str">
            <v>JPY_LIBOR_3M_EOD</v>
          </cell>
          <cell r="C837">
            <v>44077</v>
          </cell>
          <cell r="E837">
            <v>1.81703602911077E-3</v>
          </cell>
          <cell r="F837">
            <v>0.990936232968611</v>
          </cell>
        </row>
        <row r="838">
          <cell r="A838" t="str">
            <v>JPY_LIBOR_3M_EOD</v>
          </cell>
          <cell r="C838">
            <v>44442</v>
          </cell>
          <cell r="E838">
            <v>2.38650211403849E-3</v>
          </cell>
          <cell r="F838">
            <v>0.98575723552258299</v>
          </cell>
        </row>
        <row r="839">
          <cell r="A839" t="str">
            <v>JPY_LIBOR_3M_EOD</v>
          </cell>
          <cell r="C839">
            <v>44809</v>
          </cell>
          <cell r="E839">
            <v>3.0186052619030901E-3</v>
          </cell>
          <cell r="F839">
            <v>0.97904286029515997</v>
          </cell>
        </row>
        <row r="840">
          <cell r="A840" t="str">
            <v>JPY_LIBOR_3M_EOD</v>
          </cell>
          <cell r="C840">
            <v>45173</v>
          </cell>
          <cell r="E840">
            <v>3.6754331987906598E-3</v>
          </cell>
          <cell r="F840">
            <v>0.97097572209970395</v>
          </cell>
        </row>
        <row r="841">
          <cell r="A841" t="str">
            <v>JPY_LIBOR_3M_EOD</v>
          </cell>
          <cell r="C841">
            <v>45538</v>
          </cell>
          <cell r="E841">
            <v>4.3459910509589996E-3</v>
          </cell>
          <cell r="F841">
            <v>0.96158390450713005</v>
          </cell>
        </row>
        <row r="842">
          <cell r="A842" t="str">
            <v>JPY_LIBOR_3M_EOD</v>
          </cell>
          <cell r="C842">
            <v>45903</v>
          </cell>
          <cell r="E842">
            <v>5.0442308049267999E-3</v>
          </cell>
          <cell r="F842">
            <v>0.95074308338772195</v>
          </cell>
        </row>
        <row r="843">
          <cell r="A843" t="str">
            <v>JPY_LIBOR_3M_EOD</v>
          </cell>
          <cell r="C843">
            <v>46633</v>
          </cell>
          <cell r="E843">
            <v>6.5362404621552997E-3</v>
          </cell>
          <cell r="F843">
            <v>0.92447948101355304</v>
          </cell>
        </row>
        <row r="844">
          <cell r="A844" t="str">
            <v>JPY_LIBOR_3M_EOD</v>
          </cell>
          <cell r="C844">
            <v>47729</v>
          </cell>
          <cell r="E844">
            <v>8.7988480912681907E-3</v>
          </cell>
          <cell r="F844">
            <v>0.87622939142554201</v>
          </cell>
        </row>
        <row r="845">
          <cell r="A845" t="str">
            <v>JPY_LIBOR_3M_EOD</v>
          </cell>
          <cell r="C845">
            <v>49555</v>
          </cell>
          <cell r="E845">
            <v>1.1854161748687499E-2</v>
          </cell>
          <cell r="F845">
            <v>0.78874628504722799</v>
          </cell>
        </row>
        <row r="846">
          <cell r="A846" t="str">
            <v>JPY_LIBOR_3M_EOD</v>
          </cell>
          <cell r="C846">
            <v>51382</v>
          </cell>
          <cell r="E846">
            <v>1.3625978354325601E-2</v>
          </cell>
          <cell r="F846">
            <v>0.71106925995836801</v>
          </cell>
        </row>
        <row r="847">
          <cell r="A847" t="str">
            <v>JPY_LIBOR_3M_EOD</v>
          </cell>
          <cell r="C847">
            <v>53209</v>
          </cell>
          <cell r="E847">
            <v>1.4639836788276E-2</v>
          </cell>
          <cell r="F847">
            <v>0.64427069701872897</v>
          </cell>
        </row>
        <row r="848">
          <cell r="A848" t="str">
            <v>JPY_LIBOR_3M_EOD</v>
          </cell>
          <cell r="C848">
            <v>56860</v>
          </cell>
          <cell r="E848">
            <v>1.6103539472129599E-2</v>
          </cell>
          <cell r="F848">
            <v>0.52483517906482002</v>
          </cell>
        </row>
        <row r="849">
          <cell r="A849" t="str">
            <v>JPY_LIBOR_6M_EOD</v>
          </cell>
          <cell r="C849">
            <v>42432</v>
          </cell>
          <cell r="E849">
            <v>1.3263363162006299E-3</v>
          </cell>
          <cell r="F849">
            <v>0.99933160462048698</v>
          </cell>
        </row>
        <row r="850">
          <cell r="A850" t="str">
            <v>JPY_LIBOR_6M_EOD</v>
          </cell>
          <cell r="C850">
            <v>42464</v>
          </cell>
          <cell r="E850">
            <v>1.2982645695744199E-3</v>
          </cell>
          <cell r="F850">
            <v>0.99923200698366499</v>
          </cell>
        </row>
        <row r="851">
          <cell r="A851" t="str">
            <v>JPY_LIBOR_6M_EOD</v>
          </cell>
          <cell r="C851">
            <v>42496</v>
          </cell>
          <cell r="E851">
            <v>1.2777697070577099E-3</v>
          </cell>
          <cell r="F851">
            <v>0.99913219350902505</v>
          </cell>
        </row>
        <row r="852">
          <cell r="A852" t="str">
            <v>JPY_LIBOR_6M_EOD</v>
          </cell>
          <cell r="C852">
            <v>42524</v>
          </cell>
          <cell r="E852">
            <v>1.2621085507908401E-3</v>
          </cell>
          <cell r="F852">
            <v>0.99904609372383402</v>
          </cell>
        </row>
        <row r="853">
          <cell r="A853" t="str">
            <v>JPY_LIBOR_6M_EOD</v>
          </cell>
          <cell r="C853">
            <v>42555</v>
          </cell>
          <cell r="E853">
            <v>1.2538932716820699E-3</v>
          </cell>
          <cell r="F853">
            <v>0.99894591146420397</v>
          </cell>
        </row>
        <row r="854">
          <cell r="A854" t="str">
            <v>JPY_LIBOR_6M_EOD</v>
          </cell>
          <cell r="C854">
            <v>42585</v>
          </cell>
          <cell r="E854">
            <v>1.2499447589094199E-3</v>
          </cell>
          <cell r="F854">
            <v>0.99884660708388795</v>
          </cell>
        </row>
        <row r="855">
          <cell r="A855" t="str">
            <v>JPY_LIBOR_6M_EOD</v>
          </cell>
          <cell r="C855">
            <v>42618</v>
          </cell>
          <cell r="E855">
            <v>1.24634269913285E-3</v>
          </cell>
          <cell r="F855">
            <v>0.99873738188705097</v>
          </cell>
        </row>
        <row r="856">
          <cell r="A856" t="str">
            <v>JPY_LIBOR_6M_EOD</v>
          </cell>
          <cell r="C856">
            <v>42982</v>
          </cell>
          <cell r="E856">
            <v>1.20503134832636E-3</v>
          </cell>
          <cell r="F856">
            <v>0.99757966522528196</v>
          </cell>
        </row>
        <row r="857">
          <cell r="A857" t="str">
            <v>JPY_LIBOR_6M_EOD</v>
          </cell>
          <cell r="C857">
            <v>43346</v>
          </cell>
          <cell r="E857">
            <v>1.3433863350652601E-3</v>
          </cell>
          <cell r="F857">
            <v>0.99596695412559899</v>
          </cell>
        </row>
        <row r="858">
          <cell r="A858" t="str">
            <v>JPY_LIBOR_6M_EOD</v>
          </cell>
          <cell r="C858">
            <v>43711</v>
          </cell>
          <cell r="E858">
            <v>1.6878178578672201E-3</v>
          </cell>
          <cell r="F858">
            <v>0.99325768816260296</v>
          </cell>
        </row>
        <row r="859">
          <cell r="A859" t="str">
            <v>JPY_LIBOR_6M_EOD</v>
          </cell>
          <cell r="C859">
            <v>44077</v>
          </cell>
          <cell r="E859">
            <v>2.1909679502527001E-3</v>
          </cell>
          <cell r="F859">
            <v>0.98908119726646304</v>
          </cell>
        </row>
        <row r="860">
          <cell r="A860" t="str">
            <v>JPY_LIBOR_6M_EOD</v>
          </cell>
          <cell r="C860">
            <v>44442</v>
          </cell>
          <cell r="E860">
            <v>2.7854008571824998E-3</v>
          </cell>
          <cell r="F860">
            <v>0.98339645378761897</v>
          </cell>
        </row>
        <row r="861">
          <cell r="A861" t="str">
            <v>JPY_LIBOR_6M_EOD</v>
          </cell>
          <cell r="C861">
            <v>44809</v>
          </cell>
          <cell r="E861">
            <v>3.4424725168232199E-3</v>
          </cell>
          <cell r="F861">
            <v>0.97613547465075401</v>
          </cell>
        </row>
        <row r="862">
          <cell r="A862" t="str">
            <v>JPY_LIBOR_6M_EOD</v>
          </cell>
          <cell r="C862">
            <v>45173</v>
          </cell>
          <cell r="E862">
            <v>4.1242029875419297E-3</v>
          </cell>
          <cell r="F862">
            <v>0.96749006793449599</v>
          </cell>
        </row>
        <row r="863">
          <cell r="A863" t="str">
            <v>JPY_LIBOR_6M_EOD</v>
          </cell>
          <cell r="C863">
            <v>45538</v>
          </cell>
          <cell r="E863">
            <v>4.8197162229367497E-3</v>
          </cell>
          <cell r="F863">
            <v>0.95748667974618795</v>
          </cell>
        </row>
        <row r="864">
          <cell r="A864" t="str">
            <v>JPY_LIBOR_6M_EOD</v>
          </cell>
          <cell r="C864">
            <v>45903</v>
          </cell>
          <cell r="E864">
            <v>5.5431510977527699E-3</v>
          </cell>
          <cell r="F864">
            <v>0.946004981058856</v>
          </cell>
        </row>
        <row r="865">
          <cell r="A865" t="str">
            <v>JPY_LIBOR_6M_EOD</v>
          </cell>
          <cell r="C865">
            <v>46633</v>
          </cell>
          <cell r="E865">
            <v>7.0240024448902198E-3</v>
          </cell>
          <cell r="F865">
            <v>0.919078033834826</v>
          </cell>
        </row>
        <row r="866">
          <cell r="A866" t="str">
            <v>JPY_LIBOR_6M_EOD</v>
          </cell>
          <cell r="C866">
            <v>47729</v>
          </cell>
          <cell r="E866">
            <v>9.2702042474748295E-3</v>
          </cell>
          <cell r="F866">
            <v>0.87004925792535404</v>
          </cell>
        </row>
        <row r="867">
          <cell r="A867" t="str">
            <v>JPY_LIBOR_6M_EOD</v>
          </cell>
          <cell r="C867">
            <v>49555</v>
          </cell>
          <cell r="E867">
            <v>1.2269908176522199E-2</v>
          </cell>
          <cell r="F867">
            <v>0.78220887005967499</v>
          </cell>
        </row>
        <row r="868">
          <cell r="A868" t="str">
            <v>JPY_LIBOR_6M_EOD</v>
          </cell>
          <cell r="C868">
            <v>51382</v>
          </cell>
          <cell r="E868">
            <v>1.39985235644687E-2</v>
          </cell>
          <cell r="F868">
            <v>0.70447089732393098</v>
          </cell>
        </row>
        <row r="869">
          <cell r="A869" t="str">
            <v>JPY_LIBOR_6M_EOD</v>
          </cell>
          <cell r="C869">
            <v>53209</v>
          </cell>
          <cell r="E869">
            <v>1.49671103705122E-2</v>
          </cell>
          <cell r="F869">
            <v>0.63796977286416401</v>
          </cell>
        </row>
        <row r="870">
          <cell r="A870" t="str">
            <v>JPY_LIBOR_6M_EOD</v>
          </cell>
          <cell r="C870">
            <v>56860</v>
          </cell>
          <cell r="E870">
            <v>1.6434706712764199E-2</v>
          </cell>
          <cell r="F870">
            <v>0.51792305634238001</v>
          </cell>
        </row>
        <row r="871">
          <cell r="A871" t="str">
            <v>JPY_LIBOR_EOD</v>
          </cell>
          <cell r="C871">
            <v>42249</v>
          </cell>
          <cell r="E871">
            <v>3.7655813919235999E-4</v>
          </cell>
          <cell r="F871">
            <v>0.99999896833439705</v>
          </cell>
        </row>
        <row r="872">
          <cell r="A872" t="str">
            <v>JPY_LIBOR_EOD</v>
          </cell>
          <cell r="C872">
            <v>42250</v>
          </cell>
          <cell r="E872">
            <v>3.7655813914573002E-4</v>
          </cell>
          <cell r="F872">
            <v>0.99999793666985903</v>
          </cell>
        </row>
        <row r="873">
          <cell r="A873" t="str">
            <v>JPY_LIBOR_EOD</v>
          </cell>
          <cell r="C873">
            <v>42257</v>
          </cell>
          <cell r="E873">
            <v>4.3853914506767998E-4</v>
          </cell>
          <cell r="F873">
            <v>0.99998918676447501</v>
          </cell>
        </row>
        <row r="874">
          <cell r="A874" t="str">
            <v>JPY_LIBOR_EOD</v>
          </cell>
          <cell r="C874">
            <v>42282</v>
          </cell>
          <cell r="E874">
            <v>5.6195520765058005E-4</v>
          </cell>
          <cell r="F874">
            <v>0.99994765485756099</v>
          </cell>
        </row>
        <row r="875">
          <cell r="A875" t="str">
            <v>JPY_LIBOR_EOD</v>
          </cell>
          <cell r="C875">
            <v>42312</v>
          </cell>
          <cell r="E875">
            <v>7.9050450721339003E-4</v>
          </cell>
          <cell r="F875">
            <v>0.99986140059630102</v>
          </cell>
        </row>
        <row r="876">
          <cell r="A876" t="str">
            <v>JPY_LIBOR_EOD</v>
          </cell>
          <cell r="C876">
            <v>42341</v>
          </cell>
          <cell r="E876">
            <v>8.9383061281404004E-4</v>
          </cell>
          <cell r="F876">
            <v>0.99977228278905805</v>
          </cell>
        </row>
        <row r="877">
          <cell r="A877" t="str">
            <v>JPY_LIBOR_EOD</v>
          </cell>
          <cell r="C877">
            <v>42432</v>
          </cell>
          <cell r="E877">
            <v>1.3160126403628E-3</v>
          </cell>
          <cell r="F877">
            <v>0.99933680541949799</v>
          </cell>
        </row>
        <row r="878">
          <cell r="A878" t="str">
            <v>JPY_LIBOR_EOD</v>
          </cell>
          <cell r="C878">
            <v>42618</v>
          </cell>
          <cell r="E878">
            <v>1.2358489969479E-3</v>
          </cell>
          <cell r="F878">
            <v>0.998748005964048</v>
          </cell>
        </row>
        <row r="879">
          <cell r="A879" t="str">
            <v>JPY_LIBOR_EOD</v>
          </cell>
          <cell r="C879">
            <v>42982</v>
          </cell>
          <cell r="E879">
            <v>1.2023426687795501E-3</v>
          </cell>
          <cell r="F879">
            <v>0.99758505897761396</v>
          </cell>
        </row>
        <row r="880">
          <cell r="A880" t="str">
            <v>JPY_LIBOR_EOD</v>
          </cell>
          <cell r="C880">
            <v>43346</v>
          </cell>
          <cell r="E880">
            <v>1.3429531327229E-3</v>
          </cell>
          <cell r="F880">
            <v>0.99596825203830397</v>
          </cell>
        </row>
        <row r="881">
          <cell r="A881" t="str">
            <v>JPY_LIBOR_EOD</v>
          </cell>
          <cell r="C881">
            <v>43711</v>
          </cell>
          <cell r="E881">
            <v>1.6885441163934701E-3</v>
          </cell>
          <cell r="F881">
            <v>0.99325479679035</v>
          </cell>
        </row>
        <row r="882">
          <cell r="A882" t="str">
            <v>JPY_LIBOR_EOD</v>
          </cell>
          <cell r="C882">
            <v>44077</v>
          </cell>
          <cell r="E882">
            <v>2.1926433806964099E-3</v>
          </cell>
          <cell r="F882">
            <v>0.98907289345717098</v>
          </cell>
        </row>
        <row r="883">
          <cell r="A883" t="str">
            <v>JPY_LIBOR_EOD</v>
          </cell>
          <cell r="C883">
            <v>44442</v>
          </cell>
          <cell r="E883">
            <v>2.78858251122047E-3</v>
          </cell>
          <cell r="F883">
            <v>0.98337764671515404</v>
          </cell>
        </row>
        <row r="884">
          <cell r="A884" t="str">
            <v>JPY_LIBOR_EOD</v>
          </cell>
          <cell r="C884">
            <v>44809</v>
          </cell>
          <cell r="E884">
            <v>3.4477870800453001E-3</v>
          </cell>
          <cell r="F884">
            <v>0.97609907591573197</v>
          </cell>
        </row>
        <row r="885">
          <cell r="A885" t="str">
            <v>JPY_LIBOR_EOD</v>
          </cell>
          <cell r="C885">
            <v>45173</v>
          </cell>
          <cell r="E885">
            <v>4.1326540338448899E-3</v>
          </cell>
          <cell r="F885">
            <v>0.96742454772212205</v>
          </cell>
        </row>
        <row r="886">
          <cell r="A886" t="str">
            <v>JPY_LIBOR_EOD</v>
          </cell>
          <cell r="C886">
            <v>45538</v>
          </cell>
          <cell r="E886">
            <v>4.8317377170297498E-3</v>
          </cell>
          <cell r="F886">
            <v>0.95738293390596696</v>
          </cell>
        </row>
        <row r="887">
          <cell r="A887" t="str">
            <v>JPY_LIBOR_EOD</v>
          </cell>
          <cell r="C887">
            <v>45903</v>
          </cell>
          <cell r="E887">
            <v>5.5593528501503503E-3</v>
          </cell>
          <cell r="F887">
            <v>0.94585151416562496</v>
          </cell>
        </row>
        <row r="888">
          <cell r="A888" t="str">
            <v>JPY_LIBOR_EOD</v>
          </cell>
          <cell r="C888">
            <v>46633</v>
          </cell>
          <cell r="E888">
            <v>7.0506938085414797E-3</v>
          </cell>
          <cell r="F888">
            <v>0.918783367681965</v>
          </cell>
        </row>
        <row r="889">
          <cell r="A889" t="str">
            <v>JPY_LIBOR_EOD</v>
          </cell>
          <cell r="C889">
            <v>47729</v>
          </cell>
          <cell r="E889">
            <v>9.3158000821527195E-3</v>
          </cell>
          <cell r="F889">
            <v>0.869453750365067</v>
          </cell>
        </row>
        <row r="890">
          <cell r="A890" t="str">
            <v>JPY_LIBOR_EOD</v>
          </cell>
          <cell r="C890">
            <v>49555</v>
          </cell>
          <cell r="E890">
            <v>1.2344265620892801E-2</v>
          </cell>
          <cell r="F890">
            <v>0.78104535975401601</v>
          </cell>
        </row>
        <row r="891">
          <cell r="A891" t="str">
            <v>JPY_LIBOR_EOD</v>
          </cell>
          <cell r="C891">
            <v>51382</v>
          </cell>
          <cell r="E891">
            <v>1.40900289479095E-2</v>
          </cell>
          <cell r="F891">
            <v>0.70285958141160798</v>
          </cell>
        </row>
        <row r="892">
          <cell r="A892" t="str">
            <v>JPY_LIBOR_EOD</v>
          </cell>
          <cell r="C892">
            <v>53209</v>
          </cell>
          <cell r="E892">
            <v>1.50678752650046E-2</v>
          </cell>
          <cell r="F892">
            <v>0.63604220466942496</v>
          </cell>
        </row>
        <row r="893">
          <cell r="A893" t="str">
            <v>JPY_LIBOR_EOD</v>
          </cell>
          <cell r="C893">
            <v>56860</v>
          </cell>
          <cell r="E893">
            <v>1.6560101573194499E-2</v>
          </cell>
          <cell r="F893">
            <v>0.51532964040582296</v>
          </cell>
        </row>
        <row r="894">
          <cell r="A894" t="str">
            <v>JPY_TONA_EOD</v>
          </cell>
          <cell r="C894">
            <v>42249</v>
          </cell>
          <cell r="E894">
            <v>7.5999920875011E-4</v>
          </cell>
          <cell r="F894">
            <v>0.99999791781255498</v>
          </cell>
        </row>
        <row r="895">
          <cell r="A895" t="str">
            <v>JPY_TONA_EOD</v>
          </cell>
          <cell r="C895">
            <v>42250</v>
          </cell>
          <cell r="E895">
            <v>7.5999920871991995E-4</v>
          </cell>
          <cell r="F895">
            <v>0.99999583562944505</v>
          </cell>
        </row>
        <row r="896">
          <cell r="A896" t="str">
            <v>JPY_TONA_EOD</v>
          </cell>
          <cell r="C896">
            <v>42257</v>
          </cell>
          <cell r="E896">
            <v>7.2300492754927997E-4</v>
          </cell>
          <cell r="F896">
            <v>0.99998217264014799</v>
          </cell>
        </row>
        <row r="897">
          <cell r="A897" t="str">
            <v>JPY_TONA_EOD</v>
          </cell>
          <cell r="C897">
            <v>42264</v>
          </cell>
          <cell r="E897">
            <v>7.3402532579587001E-4</v>
          </cell>
          <cell r="F897">
            <v>0.99996782406501905</v>
          </cell>
        </row>
        <row r="898">
          <cell r="A898" t="str">
            <v>JPY_TONA_EOD</v>
          </cell>
          <cell r="C898">
            <v>42271</v>
          </cell>
          <cell r="E898">
            <v>7.2936715680973997E-4</v>
          </cell>
          <cell r="F898">
            <v>0.99995404093394002</v>
          </cell>
        </row>
        <row r="899">
          <cell r="A899" t="str">
            <v>JPY_TONA_EOD</v>
          </cell>
          <cell r="C899">
            <v>42282</v>
          </cell>
          <cell r="E899">
            <v>7.4303606332267998E-4</v>
          </cell>
          <cell r="F899">
            <v>0.99993078807702795</v>
          </cell>
        </row>
        <row r="900">
          <cell r="A900" t="str">
            <v>JPY_TONA_EOD</v>
          </cell>
          <cell r="C900">
            <v>42312</v>
          </cell>
          <cell r="E900">
            <v>7.2605048176631998E-4</v>
          </cell>
          <cell r="F900">
            <v>0.99987270062151901</v>
          </cell>
        </row>
        <row r="901">
          <cell r="A901" t="str">
            <v>JPY_TONA_EOD</v>
          </cell>
          <cell r="C901">
            <v>42341</v>
          </cell>
          <cell r="E901">
            <v>7.1345957344485004E-4</v>
          </cell>
          <cell r="F901">
            <v>0.99981823093205302</v>
          </cell>
        </row>
        <row r="902">
          <cell r="A902" t="str">
            <v>JPY_TONA_EOD</v>
          </cell>
          <cell r="C902">
            <v>42373</v>
          </cell>
          <cell r="E902">
            <v>6.9742573195022005E-4</v>
          </cell>
          <cell r="F902">
            <v>0.99976118409230996</v>
          </cell>
        </row>
        <row r="903">
          <cell r="A903" t="str">
            <v>JPY_TONA_EOD</v>
          </cell>
          <cell r="C903">
            <v>42403</v>
          </cell>
          <cell r="E903">
            <v>6.8567331215393002E-4</v>
          </cell>
          <cell r="F903">
            <v>0.99970886604967801</v>
          </cell>
        </row>
        <row r="904">
          <cell r="A904" t="str">
            <v>JPY_TONA_EOD</v>
          </cell>
          <cell r="C904">
            <v>42432</v>
          </cell>
          <cell r="E904">
            <v>6.7581157018942E-4</v>
          </cell>
          <cell r="F904">
            <v>0.99965937493297796</v>
          </cell>
        </row>
        <row r="905">
          <cell r="A905" t="str">
            <v>JPY_TONA_EOD</v>
          </cell>
          <cell r="C905">
            <v>42464</v>
          </cell>
          <cell r="E905">
            <v>6.8060647134091004E-4</v>
          </cell>
          <cell r="F905">
            <v>0.99959731124387696</v>
          </cell>
        </row>
        <row r="906">
          <cell r="A906" t="str">
            <v>JPY_TONA_EOD</v>
          </cell>
          <cell r="C906">
            <v>42496</v>
          </cell>
          <cell r="E906">
            <v>6.6452770422179995E-4</v>
          </cell>
          <cell r="F906">
            <v>0.99954858720332795</v>
          </cell>
        </row>
        <row r="907">
          <cell r="A907" t="str">
            <v>JPY_TONA_EOD</v>
          </cell>
          <cell r="C907">
            <v>42524</v>
          </cell>
          <cell r="E907">
            <v>6.5683642206139001E-4</v>
          </cell>
          <cell r="F907">
            <v>0.99950344701507099</v>
          </cell>
        </row>
        <row r="908">
          <cell r="A908" t="str">
            <v>JPY_TONA_EOD</v>
          </cell>
          <cell r="C908">
            <v>42555</v>
          </cell>
          <cell r="E908">
            <v>6.4312893155502005E-4</v>
          </cell>
          <cell r="F908">
            <v>0.99945921317659803</v>
          </cell>
        </row>
        <row r="909">
          <cell r="A909" t="str">
            <v>JPY_TONA_EOD</v>
          </cell>
          <cell r="C909">
            <v>42585</v>
          </cell>
          <cell r="E909">
            <v>6.5542750620624997E-4</v>
          </cell>
          <cell r="F909">
            <v>0.99939503492933701</v>
          </cell>
        </row>
        <row r="910">
          <cell r="A910" t="str">
            <v>JPY_TONA_EOD</v>
          </cell>
          <cell r="C910">
            <v>42618</v>
          </cell>
          <cell r="E910">
            <v>6.2926132822978004E-4</v>
          </cell>
          <cell r="F910">
            <v>0.99936232205663</v>
          </cell>
        </row>
        <row r="911">
          <cell r="A911" t="str">
            <v>JPY_TONA_EOD</v>
          </cell>
          <cell r="C911">
            <v>42797</v>
          </cell>
          <cell r="E911">
            <v>5.7161812113879005E-4</v>
          </cell>
          <cell r="F911">
            <v>0.99914059320446202</v>
          </cell>
        </row>
        <row r="912">
          <cell r="A912" t="str">
            <v>JPY_TONA_EOD</v>
          </cell>
          <cell r="C912">
            <v>42982</v>
          </cell>
          <cell r="E912">
            <v>5.3401029206709004E-4</v>
          </cell>
          <cell r="F912">
            <v>0.99892670364328195</v>
          </cell>
        </row>
        <row r="913">
          <cell r="A913" t="str">
            <v>JPY_TONA_EOD</v>
          </cell>
          <cell r="C913">
            <v>43346</v>
          </cell>
          <cell r="E913">
            <v>5.8336246463979997E-4</v>
          </cell>
          <cell r="F913">
            <v>0.99824665675145297</v>
          </cell>
        </row>
        <row r="914">
          <cell r="A914" t="str">
            <v>JPY_TONA_EOD</v>
          </cell>
          <cell r="C914">
            <v>43711</v>
          </cell>
          <cell r="E914">
            <v>8.3857613336794001E-4</v>
          </cell>
          <cell r="F914">
            <v>0.99664444555876697</v>
          </cell>
        </row>
        <row r="915">
          <cell r="A915" t="str">
            <v>JPY_TONA_EOD</v>
          </cell>
          <cell r="C915">
            <v>44077</v>
          </cell>
          <cell r="E915">
            <v>1.25393387702688E-3</v>
          </cell>
          <cell r="F915">
            <v>0.99373628822014604</v>
          </cell>
        </row>
        <row r="916">
          <cell r="A916" t="str">
            <v>JPY_TONA_EOD</v>
          </cell>
          <cell r="C916">
            <v>44442</v>
          </cell>
          <cell r="E916">
            <v>1.7639065870509599E-3</v>
          </cell>
          <cell r="F916">
            <v>0.98945324122758405</v>
          </cell>
        </row>
        <row r="917">
          <cell r="A917" t="str">
            <v>JPY_TONA_EOD</v>
          </cell>
          <cell r="C917">
            <v>44809</v>
          </cell>
          <cell r="E917">
            <v>2.3389198305203002E-3</v>
          </cell>
          <cell r="F917">
            <v>0.98372303818200402</v>
          </cell>
        </row>
        <row r="918">
          <cell r="A918" t="str">
            <v>JPY_TONA_EOD</v>
          </cell>
          <cell r="C918">
            <v>45173</v>
          </cell>
          <cell r="E918">
            <v>2.9319242606132799E-3</v>
          </cell>
          <cell r="F918">
            <v>0.97677831406431903</v>
          </cell>
        </row>
        <row r="919">
          <cell r="A919" t="str">
            <v>JPY_TONA_EOD</v>
          </cell>
          <cell r="C919">
            <v>45538</v>
          </cell>
          <cell r="E919">
            <v>3.5499219956418998E-3</v>
          </cell>
          <cell r="F919">
            <v>0.96850858976713305</v>
          </cell>
        </row>
        <row r="920">
          <cell r="A920" t="str">
            <v>JPY_TONA_EOD</v>
          </cell>
          <cell r="C920">
            <v>45903</v>
          </cell>
          <cell r="E920">
            <v>4.2025101420434903E-3</v>
          </cell>
          <cell r="F920">
            <v>0.95879051403389703</v>
          </cell>
        </row>
        <row r="921">
          <cell r="A921" t="str">
            <v>JPY_TONA_EOD</v>
          </cell>
          <cell r="C921">
            <v>46633</v>
          </cell>
          <cell r="E921">
            <v>5.5796402711917699E-3</v>
          </cell>
          <cell r="F921">
            <v>0.93516516645157</v>
          </cell>
        </row>
        <row r="922">
          <cell r="A922" t="str">
            <v>JPY_TONA_EOD</v>
          </cell>
          <cell r="C922">
            <v>47729</v>
          </cell>
          <cell r="E922">
            <v>7.8242594957055201E-3</v>
          </cell>
          <cell r="F922">
            <v>0.88914717107825603</v>
          </cell>
        </row>
        <row r="923">
          <cell r="A923" t="str">
            <v>JPY_TONA_EOD</v>
          </cell>
          <cell r="C923">
            <v>49555</v>
          </cell>
          <cell r="E923">
            <v>1.0821938584521001E-2</v>
          </cell>
          <cell r="F923">
            <v>0.805214710734516</v>
          </cell>
        </row>
        <row r="924">
          <cell r="A924" t="str">
            <v>JPY_TONA_EOD</v>
          </cell>
          <cell r="C924">
            <v>51382</v>
          </cell>
          <cell r="E924">
            <v>1.25498576357451E-2</v>
          </cell>
          <cell r="F924">
            <v>0.73047820100235505</v>
          </cell>
        </row>
        <row r="925">
          <cell r="A925" t="str">
            <v>JPY_TONA_EOD</v>
          </cell>
          <cell r="C925">
            <v>53209</v>
          </cell>
          <cell r="E925">
            <v>1.3515208430914199E-2</v>
          </cell>
          <cell r="F925">
            <v>0.66640108460069203</v>
          </cell>
        </row>
        <row r="926">
          <cell r="A926" t="str">
            <v>JPY_TONA_EOD</v>
          </cell>
          <cell r="C926">
            <v>56860</v>
          </cell>
          <cell r="E926">
            <v>1.49146165612707E-2</v>
          </cell>
          <cell r="F926">
            <v>0.55041925682610005</v>
          </cell>
        </row>
        <row r="927">
          <cell r="A927" t="str">
            <v>MXN_TIIE_EOD</v>
          </cell>
          <cell r="C927">
            <v>42333</v>
          </cell>
          <cell r="E927">
            <v>3.55895676192668E-2</v>
          </cell>
          <cell r="F927">
            <v>0.99174626913011699</v>
          </cell>
        </row>
        <row r="928">
          <cell r="A928" t="str">
            <v>MXN_TIIE_EOD</v>
          </cell>
          <cell r="C928">
            <v>42417</v>
          </cell>
          <cell r="E928">
            <v>3.7456468633724302E-2</v>
          </cell>
          <cell r="F928">
            <v>0.98280666365758695</v>
          </cell>
        </row>
        <row r="929">
          <cell r="A929" t="str">
            <v>MXN_TIIE_EOD</v>
          </cell>
          <cell r="C929">
            <v>42501</v>
          </cell>
          <cell r="E929">
            <v>3.8979958283663602E-2</v>
          </cell>
          <cell r="F929">
            <v>0.97334276264787001</v>
          </cell>
        </row>
        <row r="930">
          <cell r="A930" t="str">
            <v>MXN_TIIE_EOD</v>
          </cell>
          <cell r="C930">
            <v>42613</v>
          </cell>
          <cell r="E930">
            <v>4.0714051753506598E-2</v>
          </cell>
          <cell r="F930">
            <v>0.96010363064906701</v>
          </cell>
        </row>
        <row r="931">
          <cell r="A931" t="str">
            <v>MXN_TIIE_EOD</v>
          </cell>
          <cell r="C931">
            <v>42977</v>
          </cell>
          <cell r="E931">
            <v>4.53504271524054E-2</v>
          </cell>
          <cell r="F931">
            <v>0.91340435845565005</v>
          </cell>
        </row>
        <row r="932">
          <cell r="A932" t="str">
            <v>MXN_TIIE_EOD</v>
          </cell>
          <cell r="C932">
            <v>43341</v>
          </cell>
          <cell r="E932">
            <v>4.9459901184891901E-2</v>
          </cell>
          <cell r="F932">
            <v>0.86233738205537203</v>
          </cell>
        </row>
        <row r="933">
          <cell r="A933" t="str">
            <v>MXN_TIIE_EOD</v>
          </cell>
          <cell r="C933">
            <v>43705</v>
          </cell>
          <cell r="E933">
            <v>5.3381418722745003E-2</v>
          </cell>
          <cell r="F933">
            <v>0.80808589250608898</v>
          </cell>
        </row>
        <row r="934">
          <cell r="A934" t="str">
            <v>MXN_TIIE_EOD</v>
          </cell>
          <cell r="C934">
            <v>44069</v>
          </cell>
          <cell r="E934">
            <v>5.6635482593511199E-2</v>
          </cell>
          <cell r="F934">
            <v>0.75385385942983496</v>
          </cell>
        </row>
        <row r="935">
          <cell r="A935" t="str">
            <v>MXN_TIIE_EOD</v>
          </cell>
          <cell r="C935">
            <v>44797</v>
          </cell>
          <cell r="E935">
            <v>6.17722716246158E-2</v>
          </cell>
          <cell r="F935">
            <v>0.64960521199842702</v>
          </cell>
        </row>
        <row r="936">
          <cell r="A936" t="str">
            <v>MXN_TIIE_EOD</v>
          </cell>
          <cell r="C936">
            <v>45889</v>
          </cell>
          <cell r="E936">
            <v>6.6293413220007105E-2</v>
          </cell>
          <cell r="F936">
            <v>0.51618012234889499</v>
          </cell>
        </row>
        <row r="937">
          <cell r="A937" t="str">
            <v>MXN_TIIE_EOD</v>
          </cell>
          <cell r="C937">
            <v>47709</v>
          </cell>
          <cell r="E937">
            <v>7.1455399750010806E-2</v>
          </cell>
          <cell r="F937">
            <v>0.34332071442936002</v>
          </cell>
        </row>
        <row r="938">
          <cell r="A938" t="str">
            <v>MXN_TIIE_EOD</v>
          </cell>
          <cell r="C938">
            <v>49529</v>
          </cell>
          <cell r="E938">
            <v>7.4524974311475103E-2</v>
          </cell>
          <cell r="F938">
            <v>0.22613568042125401</v>
          </cell>
        </row>
        <row r="939">
          <cell r="A939" t="str">
            <v>MXN_TIIE_EOD</v>
          </cell>
          <cell r="C939">
            <v>53169</v>
          </cell>
          <cell r="E939">
            <v>7.7192035715062099E-2</v>
          </cell>
          <cell r="F939">
            <v>9.9298183058040002E-2</v>
          </cell>
        </row>
        <row r="940">
          <cell r="A940" t="str">
            <v>MXN_USDMXNBASIS_EOD</v>
          </cell>
          <cell r="C940">
            <v>42251</v>
          </cell>
          <cell r="E940">
            <v>2.7006775513312702E-2</v>
          </cell>
          <cell r="F940">
            <v>0.99977805113692397</v>
          </cell>
        </row>
        <row r="941">
          <cell r="A941" t="str">
            <v>MXN_USDMXNBASIS_EOD</v>
          </cell>
          <cell r="C941">
            <v>42282</v>
          </cell>
          <cell r="E941">
            <v>2.8671044410650701E-2</v>
          </cell>
          <cell r="F941">
            <v>0.99733283579509902</v>
          </cell>
        </row>
        <row r="942">
          <cell r="A942" t="str">
            <v>MXN_USDMXNBASIS_EOD</v>
          </cell>
          <cell r="C942">
            <v>42311</v>
          </cell>
          <cell r="E942">
            <v>2.9236693046178701E-2</v>
          </cell>
          <cell r="F942">
            <v>0.99496637802879995</v>
          </cell>
        </row>
        <row r="943">
          <cell r="A943" t="str">
            <v>MXN_USDMXNBASIS_EOD</v>
          </cell>
          <cell r="C943">
            <v>42341</v>
          </cell>
          <cell r="E943">
            <v>2.9392813864090098E-2</v>
          </cell>
          <cell r="F943">
            <v>0.99253884572612705</v>
          </cell>
        </row>
        <row r="944">
          <cell r="A944" t="str">
            <v>MXN_USDMXNBASIS_EOD</v>
          </cell>
          <cell r="C944">
            <v>42432</v>
          </cell>
          <cell r="E944">
            <v>3.0854457374327401E-2</v>
          </cell>
          <cell r="F944">
            <v>0.98456631133633299</v>
          </cell>
        </row>
        <row r="945">
          <cell r="A945" t="str">
            <v>MXN_USDMXNBASIS_EOD</v>
          </cell>
          <cell r="C945">
            <v>42524</v>
          </cell>
          <cell r="E945">
            <v>3.2389308178891303E-2</v>
          </cell>
          <cell r="F945">
            <v>0.97580584539842397</v>
          </cell>
        </row>
        <row r="946">
          <cell r="A946" t="str">
            <v>MXN_USDMXNBASIS_EOD</v>
          </cell>
          <cell r="C946">
            <v>42619</v>
          </cell>
          <cell r="E946">
            <v>3.3766524656609502E-2</v>
          </cell>
          <cell r="F946">
            <v>0.96626071409560799</v>
          </cell>
        </row>
        <row r="947">
          <cell r="A947" t="str">
            <v>MXN_USDMXNBASIS_EOD</v>
          </cell>
          <cell r="C947">
            <v>42797</v>
          </cell>
          <cell r="E947">
            <v>3.6157438933425198E-2</v>
          </cell>
          <cell r="F947">
            <v>0.947067651532847</v>
          </cell>
        </row>
        <row r="948">
          <cell r="A948" t="str">
            <v>MXN_USDMXNBASIS_EOD</v>
          </cell>
          <cell r="C948">
            <v>42978</v>
          </cell>
          <cell r="E948">
            <v>3.8003087575040902E-2</v>
          </cell>
          <cell r="F948">
            <v>0.92681048334787897</v>
          </cell>
        </row>
        <row r="949">
          <cell r="A949" t="str">
            <v>MXN_USDMXNBASIS_EOD</v>
          </cell>
          <cell r="C949">
            <v>43342</v>
          </cell>
          <cell r="E949">
            <v>4.0923308972399902E-2</v>
          </cell>
          <cell r="F949">
            <v>0.88456630205735198</v>
          </cell>
        </row>
        <row r="950">
          <cell r="A950" t="str">
            <v>MXN_USDMXNBASIS_EOD</v>
          </cell>
          <cell r="C950">
            <v>43706</v>
          </cell>
          <cell r="E950">
            <v>4.3565936387134102E-2</v>
          </cell>
          <cell r="F950">
            <v>0.84027586689617195</v>
          </cell>
        </row>
        <row r="951">
          <cell r="A951" t="str">
            <v>MXN_USDMXNBASIS_EOD</v>
          </cell>
          <cell r="C951">
            <v>44070</v>
          </cell>
          <cell r="E951">
            <v>4.5456845169725202E-2</v>
          </cell>
          <cell r="F951">
            <v>0.79699202386220602</v>
          </cell>
        </row>
        <row r="952">
          <cell r="A952" t="str">
            <v>MXN_USDMXNBASIS_EOD</v>
          </cell>
          <cell r="C952">
            <v>44798</v>
          </cell>
          <cell r="E952">
            <v>4.9311209184861801E-2</v>
          </cell>
          <cell r="F952">
            <v>0.70857244894384197</v>
          </cell>
        </row>
        <row r="953">
          <cell r="A953" t="str">
            <v>MXN_USDMXNBASIS_EOD</v>
          </cell>
          <cell r="C953">
            <v>45890</v>
          </cell>
          <cell r="E953">
            <v>5.2917480549912202E-2</v>
          </cell>
          <cell r="F953">
            <v>0.58977452843983902</v>
          </cell>
        </row>
        <row r="954">
          <cell r="A954" t="str">
            <v>MXN_USDMXNBASIS_EOD</v>
          </cell>
          <cell r="C954">
            <v>47710</v>
          </cell>
          <cell r="E954">
            <v>5.70644173713417E-2</v>
          </cell>
          <cell r="F954">
            <v>0.42573685737394801</v>
          </cell>
        </row>
        <row r="955">
          <cell r="A955" t="str">
            <v>MXN_USDMXNBASIS_EOD</v>
          </cell>
          <cell r="C955">
            <v>49530</v>
          </cell>
          <cell r="E955">
            <v>5.86966026311471E-2</v>
          </cell>
          <cell r="F955">
            <v>0.310045125600381</v>
          </cell>
        </row>
        <row r="956">
          <cell r="A956" t="str">
            <v>MXN_USDMXNBASIS_EOD</v>
          </cell>
          <cell r="C956">
            <v>53170</v>
          </cell>
          <cell r="E956">
            <v>5.82290556722833E-2</v>
          </cell>
          <cell r="F956">
            <v>0.175098819126844</v>
          </cell>
        </row>
        <row r="957">
          <cell r="A957" t="str">
            <v>NOK_NIBOR_3M_EOD</v>
          </cell>
          <cell r="C957">
            <v>42341</v>
          </cell>
          <cell r="E957">
            <v>1.1440612792347E-2</v>
          </cell>
          <cell r="F957">
            <v>0.99708923905193803</v>
          </cell>
        </row>
        <row r="958">
          <cell r="A958" t="str">
            <v>NOK_NIBOR_3M_EOD</v>
          </cell>
          <cell r="C958">
            <v>42354</v>
          </cell>
          <cell r="E958">
            <v>1.13104200981418E-2</v>
          </cell>
          <cell r="F958">
            <v>0.99672071868044998</v>
          </cell>
        </row>
        <row r="959">
          <cell r="A959" t="str">
            <v>NOK_NIBOR_3M_EOD</v>
          </cell>
          <cell r="C959">
            <v>42445</v>
          </cell>
          <cell r="E959">
            <v>1.04830270952391E-2</v>
          </cell>
          <cell r="F959">
            <v>0.99435801355603204</v>
          </cell>
        </row>
        <row r="960">
          <cell r="A960" t="str">
            <v>NOK_NIBOR_3M_EOD</v>
          </cell>
          <cell r="C960">
            <v>42536</v>
          </cell>
          <cell r="E960">
            <v>9.9227936557048993E-3</v>
          </cell>
          <cell r="F960">
            <v>0.99220107865573204</v>
          </cell>
        </row>
        <row r="961">
          <cell r="A961" t="str">
            <v>NOK_NIBOR_3M_EOD</v>
          </cell>
          <cell r="C961">
            <v>42634</v>
          </cell>
          <cell r="E961">
            <v>9.5890114042012503E-3</v>
          </cell>
          <cell r="F961">
            <v>0.98991053566633003</v>
          </cell>
        </row>
        <row r="962">
          <cell r="A962" t="str">
            <v>NOK_NIBOR_3M_EOD</v>
          </cell>
          <cell r="C962">
            <v>42982</v>
          </cell>
          <cell r="E962">
            <v>9.5116088319696906E-3</v>
          </cell>
          <cell r="F962">
            <v>0.98105431451333303</v>
          </cell>
        </row>
        <row r="963">
          <cell r="A963" t="str">
            <v>NOK_NIBOR_3M_EOD</v>
          </cell>
          <cell r="C963">
            <v>43346</v>
          </cell>
          <cell r="E963">
            <v>1.0496675146010701E-2</v>
          </cell>
          <cell r="F963">
            <v>0.96891702576779204</v>
          </cell>
        </row>
        <row r="964">
          <cell r="A964" t="str">
            <v>NOK_NIBOR_3M_EOD</v>
          </cell>
          <cell r="C964">
            <v>43711</v>
          </cell>
          <cell r="E964">
            <v>1.2039278801024501E-2</v>
          </cell>
          <cell r="F964">
            <v>0.95288975108909102</v>
          </cell>
        </row>
        <row r="965">
          <cell r="A965" t="str">
            <v>NOK_NIBOR_3M_EOD</v>
          </cell>
          <cell r="C965">
            <v>44077</v>
          </cell>
          <cell r="E965">
            <v>1.3755727361789601E-2</v>
          </cell>
          <cell r="F965">
            <v>0.93339258972981398</v>
          </cell>
        </row>
        <row r="966">
          <cell r="A966" t="str">
            <v>NOK_NIBOR_3M_EOD</v>
          </cell>
          <cell r="C966">
            <v>44442</v>
          </cell>
          <cell r="E966">
            <v>1.5495558669152001E-2</v>
          </cell>
          <cell r="F966">
            <v>0.91106305738038496</v>
          </cell>
        </row>
        <row r="967">
          <cell r="A967" t="str">
            <v>NOK_NIBOR_3M_EOD</v>
          </cell>
          <cell r="C967">
            <v>44809</v>
          </cell>
          <cell r="E967">
            <v>1.7034007616799799E-2</v>
          </cell>
          <cell r="F967">
            <v>0.88734797826393297</v>
          </cell>
        </row>
        <row r="968">
          <cell r="A968" t="str">
            <v>NOK_NIBOR_3M_EOD</v>
          </cell>
          <cell r="C968">
            <v>45173</v>
          </cell>
          <cell r="E968">
            <v>1.8380068592447899E-2</v>
          </cell>
          <cell r="F968">
            <v>0.863041647138999</v>
          </cell>
        </row>
        <row r="969">
          <cell r="A969" t="str">
            <v>NOK_NIBOR_3M_EOD</v>
          </cell>
          <cell r="C969">
            <v>45538</v>
          </cell>
          <cell r="E969">
            <v>1.9544837320258499E-2</v>
          </cell>
          <cell r="F969">
            <v>0.83847436270020004</v>
          </cell>
        </row>
        <row r="970">
          <cell r="A970" t="str">
            <v>NOK_NIBOR_3M_EOD</v>
          </cell>
          <cell r="C970">
            <v>45903</v>
          </cell>
          <cell r="E970">
            <v>2.0495587467237002E-2</v>
          </cell>
          <cell r="F970">
            <v>0.814454564218279</v>
          </cell>
        </row>
        <row r="971">
          <cell r="A971" t="str">
            <v>NOK_NIBOR_3M_EOD</v>
          </cell>
          <cell r="C971">
            <v>46633</v>
          </cell>
          <cell r="E971">
            <v>2.1612003554030399E-2</v>
          </cell>
          <cell r="F971">
            <v>0.77132913914650103</v>
          </cell>
        </row>
        <row r="972">
          <cell r="A972" t="str">
            <v>NOK_NIBOR_3M_EOD</v>
          </cell>
          <cell r="C972">
            <v>47729</v>
          </cell>
          <cell r="E972">
            <v>2.2304810211303001E-2</v>
          </cell>
          <cell r="F972">
            <v>0.71538186095765999</v>
          </cell>
        </row>
        <row r="973">
          <cell r="A973" t="str">
            <v>NOK_NIBOR_3M_EOD</v>
          </cell>
          <cell r="C973">
            <v>49555</v>
          </cell>
          <cell r="E973">
            <v>2.3099203369262699E-2</v>
          </cell>
          <cell r="F973">
            <v>0.62975333638868303</v>
          </cell>
        </row>
        <row r="974">
          <cell r="A974" t="str">
            <v>NOK_NIBOR_3M_EOD</v>
          </cell>
          <cell r="C974">
            <v>51382</v>
          </cell>
          <cell r="E974">
            <v>2.2989142783530502E-2</v>
          </cell>
          <cell r="F974">
            <v>0.56253865618185195</v>
          </cell>
        </row>
        <row r="975">
          <cell r="A975" t="str">
            <v>NOK_NIBOR_3M_EOD</v>
          </cell>
          <cell r="C975">
            <v>53209</v>
          </cell>
          <cell r="E975">
            <v>2.2920295898812601E-2</v>
          </cell>
          <cell r="F975">
            <v>0.50242966167742897</v>
          </cell>
        </row>
        <row r="976">
          <cell r="A976" t="str">
            <v>NOK_NIBOR_6M_EOD</v>
          </cell>
          <cell r="C976">
            <v>42432</v>
          </cell>
          <cell r="E976">
            <v>1.1525153492724999E-2</v>
          </cell>
          <cell r="F976">
            <v>0.99420690467409001</v>
          </cell>
        </row>
        <row r="977">
          <cell r="A977" t="str">
            <v>NOK_NIBOR_6M_EOD</v>
          </cell>
          <cell r="C977">
            <v>42618</v>
          </cell>
          <cell r="E977">
            <v>1.0523914014279399E-2</v>
          </cell>
          <cell r="F977">
            <v>0.98938862490249702</v>
          </cell>
        </row>
        <row r="978">
          <cell r="A978" t="str">
            <v>NOK_NIBOR_6M_EOD</v>
          </cell>
          <cell r="C978">
            <v>42982</v>
          </cell>
          <cell r="E978">
            <v>1.0251624207887101E-2</v>
          </cell>
          <cell r="F978">
            <v>0.97959545361023603</v>
          </cell>
        </row>
        <row r="979">
          <cell r="A979" t="str">
            <v>NOK_NIBOR_6M_EOD</v>
          </cell>
          <cell r="C979">
            <v>43346</v>
          </cell>
          <cell r="E979">
            <v>1.11829694944021E-2</v>
          </cell>
          <cell r="F979">
            <v>0.96691873695506603</v>
          </cell>
        </row>
        <row r="980">
          <cell r="A980" t="str">
            <v>NOK_NIBOR_6M_EOD</v>
          </cell>
          <cell r="C980">
            <v>43711</v>
          </cell>
          <cell r="E980">
            <v>1.27020836425607E-2</v>
          </cell>
          <cell r="F980">
            <v>0.950361599974065</v>
          </cell>
        </row>
        <row r="981">
          <cell r="A981" t="str">
            <v>NOK_NIBOR_6M_EOD</v>
          </cell>
          <cell r="C981">
            <v>44077</v>
          </cell>
          <cell r="E981">
            <v>1.44178072124268E-2</v>
          </cell>
          <cell r="F981">
            <v>0.93030104638228595</v>
          </cell>
        </row>
        <row r="982">
          <cell r="A982" t="str">
            <v>NOK_NIBOR_6M_EOD</v>
          </cell>
          <cell r="C982">
            <v>44442</v>
          </cell>
          <cell r="E982">
            <v>1.6157212974842301E-2</v>
          </cell>
          <cell r="F982">
            <v>0.90744679451385801</v>
          </cell>
        </row>
        <row r="983">
          <cell r="A983" t="str">
            <v>NOK_NIBOR_6M_EOD</v>
          </cell>
          <cell r="C983">
            <v>44809</v>
          </cell>
          <cell r="E983">
            <v>1.7695238105261898E-2</v>
          </cell>
          <cell r="F983">
            <v>0.88324067768078296</v>
          </cell>
        </row>
        <row r="984">
          <cell r="A984" t="str">
            <v>NOK_NIBOR_6M_EOD</v>
          </cell>
          <cell r="C984">
            <v>45173</v>
          </cell>
          <cell r="E984">
            <v>1.9040108109208299E-2</v>
          </cell>
          <cell r="F984">
            <v>0.85848876262806695</v>
          </cell>
        </row>
        <row r="985">
          <cell r="A985" t="str">
            <v>NOK_NIBOR_6M_EOD</v>
          </cell>
          <cell r="C985">
            <v>45538</v>
          </cell>
          <cell r="E985">
            <v>2.01994431105165E-2</v>
          </cell>
          <cell r="F985">
            <v>0.83354157943149698</v>
          </cell>
        </row>
        <row r="986">
          <cell r="A986" t="str">
            <v>NOK_NIBOR_6M_EOD</v>
          </cell>
          <cell r="C986">
            <v>45903</v>
          </cell>
          <cell r="E986">
            <v>2.1144484352868601E-2</v>
          </cell>
          <cell r="F986">
            <v>0.80917951106395403</v>
          </cell>
        </row>
        <row r="987">
          <cell r="A987" t="str">
            <v>NOK_NIBOR_6M_EOD</v>
          </cell>
          <cell r="C987">
            <v>46633</v>
          </cell>
          <cell r="E987">
            <v>2.2249602537435999E-2</v>
          </cell>
          <cell r="F987">
            <v>0.76544338905042797</v>
          </cell>
        </row>
        <row r="988">
          <cell r="A988" t="str">
            <v>NOK_NIBOR_6M_EOD</v>
          </cell>
          <cell r="C988">
            <v>47729</v>
          </cell>
          <cell r="E988">
            <v>2.2931263297040101E-2</v>
          </cell>
          <cell r="F988">
            <v>0.70868375071365297</v>
          </cell>
        </row>
        <row r="989">
          <cell r="A989" t="str">
            <v>NOK_NIBOR_6M_EOD</v>
          </cell>
          <cell r="C989">
            <v>49555</v>
          </cell>
          <cell r="E989">
            <v>2.37085499545968E-2</v>
          </cell>
          <cell r="F989">
            <v>0.62211788180579897</v>
          </cell>
        </row>
        <row r="990">
          <cell r="A990" t="str">
            <v>NOK_NIBOR_6M_EOD</v>
          </cell>
          <cell r="C990">
            <v>51382</v>
          </cell>
          <cell r="E990">
            <v>2.3593205738299899E-2</v>
          </cell>
          <cell r="F990">
            <v>0.55409900781438903</v>
          </cell>
        </row>
        <row r="991">
          <cell r="A991" t="str">
            <v>NOK_NIBOR_6M_EOD</v>
          </cell>
          <cell r="C991">
            <v>53209</v>
          </cell>
          <cell r="E991">
            <v>2.3518619510649499E-2</v>
          </cell>
          <cell r="F991">
            <v>0.49348275468478398</v>
          </cell>
        </row>
        <row r="992">
          <cell r="A992" t="str">
            <v>NOK_NIBOR_EOD</v>
          </cell>
          <cell r="C992">
            <v>42249</v>
          </cell>
          <cell r="E992">
            <v>1.01387480735807E-2</v>
          </cell>
          <cell r="F992">
            <v>0.99997222299380595</v>
          </cell>
        </row>
        <row r="993">
          <cell r="A993" t="str">
            <v>NOK_NIBOR_EOD</v>
          </cell>
          <cell r="C993">
            <v>42250</v>
          </cell>
          <cell r="E993">
            <v>1.0138748073609099E-2</v>
          </cell>
          <cell r="F993">
            <v>0.99994444675917404</v>
          </cell>
        </row>
        <row r="994">
          <cell r="A994" t="str">
            <v>NOK_NIBOR_EOD</v>
          </cell>
          <cell r="C994">
            <v>42257</v>
          </cell>
          <cell r="E994">
            <v>1.1163033093349499E-2</v>
          </cell>
          <cell r="F994">
            <v>0.99972478500780104</v>
          </cell>
        </row>
        <row r="995">
          <cell r="A995" t="str">
            <v>NOK_NIBOR_EOD</v>
          </cell>
          <cell r="C995">
            <v>42354</v>
          </cell>
          <cell r="E995">
            <v>1.1272094584836001E-2</v>
          </cell>
          <cell r="F995">
            <v>0.99673181239236697</v>
          </cell>
        </row>
        <row r="996">
          <cell r="A996" t="str">
            <v>NOK_NIBOR_EOD</v>
          </cell>
          <cell r="C996">
            <v>42445</v>
          </cell>
          <cell r="E996">
            <v>1.0462405245467101E-2</v>
          </cell>
          <cell r="F996">
            <v>0.99436908097052801</v>
          </cell>
        </row>
        <row r="997">
          <cell r="A997" t="str">
            <v>NOK_NIBOR_EOD</v>
          </cell>
          <cell r="C997">
            <v>42536</v>
          </cell>
          <cell r="E997">
            <v>9.9086877378009898E-3</v>
          </cell>
          <cell r="F997">
            <v>0.99221212206295395</v>
          </cell>
        </row>
        <row r="998">
          <cell r="A998" t="str">
            <v>NOK_NIBOR_EOD</v>
          </cell>
          <cell r="C998">
            <v>42634</v>
          </cell>
          <cell r="E998">
            <v>9.5784867815841401E-3</v>
          </cell>
          <cell r="F998">
            <v>0.98992155357925604</v>
          </cell>
        </row>
        <row r="999">
          <cell r="A999" t="str">
            <v>NOK_NIBOR_EOD</v>
          </cell>
          <cell r="C999">
            <v>42982</v>
          </cell>
          <cell r="E999">
            <v>1.0252766409129701E-2</v>
          </cell>
          <cell r="F999">
            <v>0.97959320356066704</v>
          </cell>
        </row>
        <row r="1000">
          <cell r="A1000" t="str">
            <v>NOK_NIBOR_EOD</v>
          </cell>
          <cell r="C1000">
            <v>43346</v>
          </cell>
          <cell r="E1000">
            <v>1.11878310543032E-2</v>
          </cell>
          <cell r="F1000">
            <v>0.96690459622222602</v>
          </cell>
        </row>
      </sheetData>
      <sheetData sheetId="8">
        <row r="2">
          <cell r="A2" t="str">
            <v>AUD_AONIA_EOD</v>
          </cell>
          <cell r="C2">
            <v>42249</v>
          </cell>
          <cell r="E2">
            <v>1.9999452074823499E-2</v>
          </cell>
          <cell r="F2">
            <v>0.99994520848172697</v>
          </cell>
        </row>
        <row r="3">
          <cell r="A3" t="str">
            <v>AUD_AONIA_EOD</v>
          </cell>
          <cell r="C3">
            <v>42256</v>
          </cell>
          <cell r="E3">
            <v>2.00075095080046E-2</v>
          </cell>
          <cell r="F3">
            <v>0.99956157537983403</v>
          </cell>
        </row>
        <row r="4">
          <cell r="A4" t="str">
            <v>AUD_AONIA_EOD</v>
          </cell>
          <cell r="C4">
            <v>42279</v>
          </cell>
          <cell r="E4">
            <v>1.99744301090987E-2</v>
          </cell>
          <cell r="F4">
            <v>0.99830497972462895</v>
          </cell>
        </row>
        <row r="5">
          <cell r="A5" t="str">
            <v>AUD_AONIA_EOD</v>
          </cell>
          <cell r="C5">
            <v>42310</v>
          </cell>
          <cell r="E5">
            <v>1.9701758788572499E-2</v>
          </cell>
          <cell r="F5">
            <v>0.99665899350158704</v>
          </cell>
        </row>
        <row r="6">
          <cell r="A6" t="str">
            <v>AUD_AONIA_EOD</v>
          </cell>
          <cell r="C6">
            <v>42340</v>
          </cell>
          <cell r="E6">
            <v>1.93031648947261E-2</v>
          </cell>
          <cell r="F6">
            <v>0.995146361893266</v>
          </cell>
        </row>
        <row r="7">
          <cell r="A7" t="str">
            <v>AUD_AONIA_EOD</v>
          </cell>
          <cell r="C7">
            <v>42373</v>
          </cell>
          <cell r="E7">
            <v>1.8893215547433201E-2</v>
          </cell>
          <cell r="F7">
            <v>0.99355060788710703</v>
          </cell>
        </row>
        <row r="8">
          <cell r="A8" t="str">
            <v>AUD_AONIA_EOD</v>
          </cell>
          <cell r="C8">
            <v>42402</v>
          </cell>
          <cell r="E8">
            <v>1.8664259854573598E-2</v>
          </cell>
          <cell r="F8">
            <v>0.99215614126975604</v>
          </cell>
        </row>
        <row r="9">
          <cell r="A9" t="str">
            <v>AUD_AONIA_EOD</v>
          </cell>
          <cell r="C9">
            <v>42431</v>
          </cell>
          <cell r="E9">
            <v>1.8418183897708301E-2</v>
          </cell>
          <cell r="F9">
            <v>0.99080818307990104</v>
          </cell>
        </row>
        <row r="10">
          <cell r="A10" t="str">
            <v>AUD_AONIA_EOD</v>
          </cell>
          <cell r="C10">
            <v>42523</v>
          </cell>
          <cell r="E10">
            <v>1.7787887780964101E-2</v>
          </cell>
          <cell r="F10">
            <v>0.98668757146633201</v>
          </cell>
        </row>
        <row r="11">
          <cell r="A11" t="str">
            <v>AUD_AONIA_EOD</v>
          </cell>
          <cell r="C11">
            <v>42615</v>
          </cell>
          <cell r="E11">
            <v>1.7379954089144101E-2</v>
          </cell>
          <cell r="F11">
            <v>0.98267661879826196</v>
          </cell>
        </row>
        <row r="12">
          <cell r="A12" t="str">
            <v>AUD_AONIA_EOD</v>
          </cell>
          <cell r="C12">
            <v>42796</v>
          </cell>
          <cell r="E12">
            <v>1.7311551717138801E-2</v>
          </cell>
          <cell r="F12">
            <v>0.974343817712233</v>
          </cell>
        </row>
        <row r="13">
          <cell r="A13" t="str">
            <v>AUD_AONIA_EOD</v>
          </cell>
          <cell r="C13">
            <v>42982</v>
          </cell>
          <cell r="E13">
            <v>1.7585716039167702E-2</v>
          </cell>
          <cell r="F13">
            <v>0.96525385288384102</v>
          </cell>
        </row>
        <row r="14">
          <cell r="A14" t="str">
            <v>AUD_AONIA_EOD</v>
          </cell>
          <cell r="C14">
            <v>43346</v>
          </cell>
          <cell r="E14">
            <v>1.8426369914376399E-2</v>
          </cell>
          <cell r="F14">
            <v>0.94607771763277004</v>
          </cell>
        </row>
        <row r="15">
          <cell r="A15" t="str">
            <v>AUD_AONIA_EOD</v>
          </cell>
          <cell r="C15">
            <v>43710</v>
          </cell>
          <cell r="E15">
            <v>1.98334616613812E-2</v>
          </cell>
          <cell r="F15">
            <v>0.92363110585156505</v>
          </cell>
        </row>
        <row r="16">
          <cell r="A16" t="str">
            <v>AUD_AONIA_EOD</v>
          </cell>
          <cell r="C16">
            <v>44076</v>
          </cell>
          <cell r="E16">
            <v>2.1395978167555299E-2</v>
          </cell>
          <cell r="F16">
            <v>0.89838574013817896</v>
          </cell>
        </row>
        <row r="17">
          <cell r="A17" t="str">
            <v>AUD_AONIA_EOD</v>
          </cell>
          <cell r="C17">
            <v>44806</v>
          </cell>
          <cell r="E17">
            <v>2.4532352149795902E-2</v>
          </cell>
          <cell r="F17">
            <v>0.84203971295726399</v>
          </cell>
        </row>
        <row r="18">
          <cell r="A18" t="str">
            <v>AUD_AONIA_EOD</v>
          </cell>
          <cell r="C18">
            <v>45902</v>
          </cell>
          <cell r="E18">
            <v>2.76908990288194E-2</v>
          </cell>
          <cell r="F18">
            <v>0.75789346387493295</v>
          </cell>
        </row>
        <row r="19">
          <cell r="A19" t="str">
            <v>AUD_AONIA_EOD</v>
          </cell>
          <cell r="C19">
            <v>46632</v>
          </cell>
          <cell r="E19">
            <v>2.9332958302573101E-2</v>
          </cell>
          <cell r="F19">
            <v>0.70305724794653601</v>
          </cell>
        </row>
        <row r="20">
          <cell r="A20" t="str">
            <v>AUD_AONIA_EOD</v>
          </cell>
          <cell r="C20">
            <v>47728</v>
          </cell>
          <cell r="E20">
            <v>3.10836770279528E-2</v>
          </cell>
          <cell r="F20">
            <v>0.62708012263655</v>
          </cell>
        </row>
        <row r="21">
          <cell r="A21" t="str">
            <v>AUD_AONIA_EOD</v>
          </cell>
          <cell r="C21">
            <v>49555</v>
          </cell>
          <cell r="E21">
            <v>3.2648795812618897E-2</v>
          </cell>
          <cell r="F21">
            <v>0.52016872049547602</v>
          </cell>
        </row>
        <row r="22">
          <cell r="A22" t="str">
            <v>AUD_AONIA_EOD</v>
          </cell>
          <cell r="C22">
            <v>51382</v>
          </cell>
          <cell r="E22">
            <v>3.2866999972338301E-2</v>
          </cell>
          <cell r="F22">
            <v>0.43933835674416999</v>
          </cell>
        </row>
        <row r="23">
          <cell r="A23" t="str">
            <v>AUD_AONIA_EOD</v>
          </cell>
          <cell r="C23">
            <v>53209</v>
          </cell>
          <cell r="E23">
            <v>3.2585283965186403E-2</v>
          </cell>
          <cell r="F23">
            <v>0.37585924983741298</v>
          </cell>
        </row>
        <row r="24">
          <cell r="A24" t="str">
            <v>AUD_AONIA_EOD</v>
          </cell>
          <cell r="C24">
            <v>56859</v>
          </cell>
          <cell r="E24">
            <v>3.1469256750928397E-2</v>
          </cell>
          <cell r="F24">
            <v>0.28373384134870699</v>
          </cell>
        </row>
        <row r="25">
          <cell r="A25" t="str">
            <v>AUD_BBSW_3M_EOD</v>
          </cell>
          <cell r="C25">
            <v>42339</v>
          </cell>
          <cell r="E25">
            <v>2.1243643552508601E-2</v>
          </cell>
          <cell r="F25">
            <v>0.99471764054065703</v>
          </cell>
        </row>
        <row r="26">
          <cell r="A26" t="str">
            <v>AUD_BBSW_3M_EOD</v>
          </cell>
          <cell r="C26">
            <v>42348</v>
          </cell>
          <cell r="E26">
            <v>2.1062246301071501E-2</v>
          </cell>
          <cell r="F26">
            <v>0.99424613879356505</v>
          </cell>
        </row>
        <row r="27">
          <cell r="A27" t="str">
            <v>AUD_BBSW_3M_EOD</v>
          </cell>
          <cell r="C27">
            <v>42439</v>
          </cell>
          <cell r="E27">
            <v>2.0242084962392298E-2</v>
          </cell>
          <cell r="F27">
            <v>0.98946346876840496</v>
          </cell>
        </row>
        <row r="28">
          <cell r="A28" t="str">
            <v>AUD_BBSW_3M_EOD</v>
          </cell>
          <cell r="C28">
            <v>42530</v>
          </cell>
          <cell r="E28">
            <v>1.9656389718633E-2</v>
          </cell>
          <cell r="F28">
            <v>0.98492815402175804</v>
          </cell>
        </row>
        <row r="29">
          <cell r="A29" t="str">
            <v>AUD_BBSW_3M_EOD</v>
          </cell>
          <cell r="C29">
            <v>42621</v>
          </cell>
          <cell r="E29">
            <v>1.93018306463551E-2</v>
          </cell>
          <cell r="F29">
            <v>0.98046837828381395</v>
          </cell>
        </row>
        <row r="30">
          <cell r="A30" t="str">
            <v>AUD_BBSW_3M_EOD</v>
          </cell>
          <cell r="C30">
            <v>42712</v>
          </cell>
          <cell r="E30">
            <v>1.9138862782150799E-2</v>
          </cell>
          <cell r="F30">
            <v>0.97596363587147905</v>
          </cell>
        </row>
        <row r="31">
          <cell r="A31" t="str">
            <v>AUD_BBSW_3M_EOD</v>
          </cell>
          <cell r="C31">
            <v>42803</v>
          </cell>
          <cell r="E31">
            <v>1.91373787622439E-2</v>
          </cell>
          <cell r="F31">
            <v>0.971320005703325</v>
          </cell>
        </row>
        <row r="32">
          <cell r="A32" t="str">
            <v>AUD_BBSW_3M_EOD</v>
          </cell>
          <cell r="C32">
            <v>42979</v>
          </cell>
          <cell r="E32">
            <v>1.9456679976930999E-2</v>
          </cell>
          <cell r="F32">
            <v>0.96178276874962398</v>
          </cell>
        </row>
        <row r="33">
          <cell r="A33" t="str">
            <v>AUD_BBSW_3M_EOD</v>
          </cell>
          <cell r="C33">
            <v>43346</v>
          </cell>
          <cell r="E33">
            <v>2.0467902715963E-2</v>
          </cell>
          <cell r="F33">
            <v>0.94028530154634204</v>
          </cell>
        </row>
        <row r="34">
          <cell r="A34" t="str">
            <v>AUD_BBSW_3M_EOD</v>
          </cell>
          <cell r="C34">
            <v>43710</v>
          </cell>
          <cell r="E34">
            <v>2.1873342072668701E-2</v>
          </cell>
          <cell r="F34">
            <v>0.91611514118877702</v>
          </cell>
        </row>
        <row r="35">
          <cell r="A35" t="str">
            <v>AUD_BBSW_3M_EOD</v>
          </cell>
          <cell r="C35">
            <v>44075</v>
          </cell>
          <cell r="E35">
            <v>2.3435577944966101E-2</v>
          </cell>
          <cell r="F35">
            <v>0.88931275152043998</v>
          </cell>
        </row>
        <row r="36">
          <cell r="A36" t="str">
            <v>AUD_BBSW_3M_EOD</v>
          </cell>
          <cell r="C36">
            <v>44805</v>
          </cell>
          <cell r="E36">
            <v>2.6518024708428602E-2</v>
          </cell>
          <cell r="F36">
            <v>0.83046335310652397</v>
          </cell>
        </row>
        <row r="37">
          <cell r="A37" t="str">
            <v>AUD_BBSW_3M_EOD</v>
          </cell>
          <cell r="C37">
            <v>45901</v>
          </cell>
          <cell r="E37">
            <v>2.9704490977501798E-2</v>
          </cell>
          <cell r="F37">
            <v>0.74282926186565601</v>
          </cell>
        </row>
        <row r="38">
          <cell r="A38" t="str">
            <v>AUD_BBSW_3M_EOD</v>
          </cell>
          <cell r="C38">
            <v>46631</v>
          </cell>
          <cell r="E38">
            <v>3.13747033142701E-2</v>
          </cell>
          <cell r="F38">
            <v>0.68608461454483305</v>
          </cell>
        </row>
        <row r="39">
          <cell r="A39" t="str">
            <v>AUD_BBSW_3M_EOD</v>
          </cell>
          <cell r="C39">
            <v>47728</v>
          </cell>
          <cell r="E39">
            <v>3.3122937461559199E-2</v>
          </cell>
          <cell r="F39">
            <v>0.608171842783651</v>
          </cell>
        </row>
        <row r="40">
          <cell r="A40" t="str">
            <v>AUD_BBSW_3M_EOD</v>
          </cell>
          <cell r="C40">
            <v>49555</v>
          </cell>
          <cell r="E40">
            <v>3.4720141914897501E-2</v>
          </cell>
          <cell r="F40">
            <v>0.49904016073549001</v>
          </cell>
        </row>
        <row r="41">
          <cell r="A41" t="str">
            <v>AUD_BBSW_3M_EOD</v>
          </cell>
          <cell r="C41">
            <v>51382</v>
          </cell>
          <cell r="E41">
            <v>3.4971317396910097E-2</v>
          </cell>
          <cell r="F41">
            <v>0.41680147846052101</v>
          </cell>
        </row>
        <row r="42">
          <cell r="A42" t="str">
            <v>AUD_BBSW_3M_EOD</v>
          </cell>
          <cell r="C42">
            <v>53206</v>
          </cell>
          <cell r="E42">
            <v>3.4645945011859997E-2</v>
          </cell>
          <cell r="F42">
            <v>0.353406009816851</v>
          </cell>
        </row>
        <row r="43">
          <cell r="A43" t="str">
            <v>AUD_BBSW_3M_EOD</v>
          </cell>
          <cell r="C43">
            <v>56858</v>
          </cell>
          <cell r="E43">
            <v>3.3531586508804299E-2</v>
          </cell>
          <cell r="F43">
            <v>0.26127490921908098</v>
          </cell>
        </row>
        <row r="44">
          <cell r="A44" t="str">
            <v>AUD_BBSW_6M_EOD</v>
          </cell>
          <cell r="C44">
            <v>42430</v>
          </cell>
          <cell r="E44">
            <v>2.1731828923236701E-2</v>
          </cell>
          <cell r="F44">
            <v>0.98922235469068898</v>
          </cell>
        </row>
        <row r="45">
          <cell r="A45" t="str">
            <v>AUD_BBSW_6M_EOD</v>
          </cell>
          <cell r="C45">
            <v>42614</v>
          </cell>
          <cell r="E45">
            <v>2.0644302591505601E-2</v>
          </cell>
          <cell r="F45">
            <v>0.97951192967046097</v>
          </cell>
        </row>
        <row r="46">
          <cell r="A46" t="str">
            <v>AUD_BBSW_6M_EOD</v>
          </cell>
          <cell r="C46">
            <v>42979</v>
          </cell>
          <cell r="E46">
            <v>2.0620216069816202E-2</v>
          </cell>
          <cell r="F46">
            <v>0.95954417414401205</v>
          </cell>
        </row>
        <row r="47">
          <cell r="A47" t="str">
            <v>AUD_BBSW_6M_EOD</v>
          </cell>
          <cell r="C47">
            <v>43346</v>
          </cell>
          <cell r="E47">
            <v>2.1550652898863199E-2</v>
          </cell>
          <cell r="F47">
            <v>0.93722763374746099</v>
          </cell>
        </row>
        <row r="48">
          <cell r="A48" t="str">
            <v>AUD_BBSW_6M_EOD</v>
          </cell>
          <cell r="C48">
            <v>43710</v>
          </cell>
          <cell r="E48">
            <v>2.2858646228348701E-2</v>
          </cell>
          <cell r="F48">
            <v>0.91250671215208201</v>
          </cell>
        </row>
        <row r="49">
          <cell r="A49" t="str">
            <v>AUD_BBSW_6M_EOD</v>
          </cell>
          <cell r="C49">
            <v>44075</v>
          </cell>
          <cell r="E49">
            <v>2.43603376568894E-2</v>
          </cell>
          <cell r="F49">
            <v>0.88520575489738096</v>
          </cell>
        </row>
        <row r="50">
          <cell r="A50" t="str">
            <v>AUD_BBSW_6M_EOD</v>
          </cell>
          <cell r="C50">
            <v>44805</v>
          </cell>
          <cell r="E50">
            <v>2.7318819282739E-2</v>
          </cell>
          <cell r="F50">
            <v>0.82581753884914</v>
          </cell>
        </row>
        <row r="51">
          <cell r="A51" t="str">
            <v>AUD_BBSW_6M_EOD</v>
          </cell>
          <cell r="C51">
            <v>45901</v>
          </cell>
          <cell r="E51">
            <v>3.03754564442873E-2</v>
          </cell>
          <cell r="F51">
            <v>0.73785774845732699</v>
          </cell>
        </row>
        <row r="52">
          <cell r="A52" t="str">
            <v>AUD_BBSW_6M_EOD</v>
          </cell>
          <cell r="C52">
            <v>46631</v>
          </cell>
          <cell r="E52">
            <v>3.1955722226930501E-2</v>
          </cell>
          <cell r="F52">
            <v>0.68131446054676204</v>
          </cell>
        </row>
        <row r="53">
          <cell r="A53" t="str">
            <v>AUD_BBSW_6M_EOD</v>
          </cell>
          <cell r="C53">
            <v>47728</v>
          </cell>
          <cell r="E53">
            <v>3.3581153453493301E-2</v>
          </cell>
          <cell r="F53">
            <v>0.604002273124568</v>
          </cell>
        </row>
        <row r="54">
          <cell r="A54" t="str">
            <v>AUD_BBSW_6M_EOD</v>
          </cell>
          <cell r="C54">
            <v>49555</v>
          </cell>
          <cell r="E54">
            <v>3.50779144941058E-2</v>
          </cell>
          <cell r="F54">
            <v>0.49547864847447598</v>
          </cell>
        </row>
        <row r="55">
          <cell r="A55" t="str">
            <v>AUD_BBSW_6M_EOD</v>
          </cell>
          <cell r="C55">
            <v>51382</v>
          </cell>
          <cell r="E55">
            <v>3.5229331998549697E-2</v>
          </cell>
          <cell r="F55">
            <v>0.41411897449945001</v>
          </cell>
        </row>
        <row r="56">
          <cell r="A56" t="str">
            <v>AUD_BBSW_6M_EOD</v>
          </cell>
          <cell r="C56">
            <v>53206</v>
          </cell>
          <cell r="E56">
            <v>3.4841658354281803E-2</v>
          </cell>
          <cell r="F56">
            <v>0.35133559421791</v>
          </cell>
        </row>
        <row r="57">
          <cell r="A57" t="str">
            <v>AUD_BBSW_6M_EOD</v>
          </cell>
          <cell r="C57">
            <v>56858</v>
          </cell>
          <cell r="E57">
            <v>3.3763811668997501E-2</v>
          </cell>
          <cell r="F57">
            <v>0.258857515285145</v>
          </cell>
        </row>
        <row r="58">
          <cell r="A58" t="str">
            <v>AUD_BBSW_EOD</v>
          </cell>
          <cell r="C58">
            <v>42249</v>
          </cell>
          <cell r="E58">
            <v>1.9999452074823499E-2</v>
          </cell>
          <cell r="F58">
            <v>0.99994520848172697</v>
          </cell>
        </row>
        <row r="59">
          <cell r="A59" t="str">
            <v>AUD_BBSW_EOD</v>
          </cell>
          <cell r="C59">
            <v>42255</v>
          </cell>
          <cell r="E59">
            <v>2.00995738779546E-2</v>
          </cell>
          <cell r="F59">
            <v>0.99961460300465699</v>
          </cell>
        </row>
        <row r="60">
          <cell r="A60" t="str">
            <v>AUD_BBSW_EOD</v>
          </cell>
          <cell r="C60">
            <v>42348</v>
          </cell>
          <cell r="E60">
            <v>2.0962322994182801E-2</v>
          </cell>
          <cell r="F60">
            <v>0.99427335789547</v>
          </cell>
        </row>
        <row r="61">
          <cell r="A61" t="str">
            <v>AUD_BBSW_EOD</v>
          </cell>
          <cell r="C61">
            <v>42439</v>
          </cell>
          <cell r="E61">
            <v>2.01897690949207E-2</v>
          </cell>
          <cell r="F61">
            <v>0.98949055693695098</v>
          </cell>
        </row>
        <row r="62">
          <cell r="A62" t="str">
            <v>AUD_BBSW_EOD</v>
          </cell>
          <cell r="C62">
            <v>42530</v>
          </cell>
          <cell r="E62">
            <v>1.9620955921967401E-2</v>
          </cell>
          <cell r="F62">
            <v>0.98495511802862701</v>
          </cell>
        </row>
        <row r="63">
          <cell r="A63" t="str">
            <v>AUD_BBSW_EOD</v>
          </cell>
          <cell r="C63">
            <v>42621</v>
          </cell>
          <cell r="E63">
            <v>1.9275041556171001E-2</v>
          </cell>
          <cell r="F63">
            <v>0.98049522019702695</v>
          </cell>
        </row>
        <row r="64">
          <cell r="A64" t="str">
            <v>AUD_BBSW_EOD</v>
          </cell>
          <cell r="C64">
            <v>42712</v>
          </cell>
          <cell r="E64">
            <v>1.91173275867224E-2</v>
          </cell>
          <cell r="F64">
            <v>0.97599035446016402</v>
          </cell>
        </row>
        <row r="65">
          <cell r="A65" t="str">
            <v>AUD_BBSW_EOD</v>
          </cell>
          <cell r="C65">
            <v>42803</v>
          </cell>
          <cell r="E65">
            <v>1.9119374562804901E-2</v>
          </cell>
          <cell r="F65">
            <v>0.97134659716512295</v>
          </cell>
        </row>
        <row r="66">
          <cell r="A66" t="str">
            <v>AUD_BBSW_EOD</v>
          </cell>
          <cell r="C66">
            <v>42979</v>
          </cell>
          <cell r="E66">
            <v>1.9457180234574101E-2</v>
          </cell>
          <cell r="F66">
            <v>0.96178180515355605</v>
          </cell>
        </row>
        <row r="67">
          <cell r="A67" t="str">
            <v>AUD_BBSW_EOD</v>
          </cell>
          <cell r="C67">
            <v>43346</v>
          </cell>
          <cell r="E67">
            <v>2.0472090046330702E-2</v>
          </cell>
          <cell r="F67">
            <v>0.94027345740409796</v>
          </cell>
        </row>
        <row r="68">
          <cell r="A68" t="str">
            <v>AUD_BBSW_EOD</v>
          </cell>
          <cell r="C68">
            <v>43710</v>
          </cell>
          <cell r="E68">
            <v>2.2912031162853699E-2</v>
          </cell>
          <cell r="F68">
            <v>0.91231160964154001</v>
          </cell>
        </row>
        <row r="69">
          <cell r="A69" t="str">
            <v>AUD_BBSW_EOD</v>
          </cell>
          <cell r="C69">
            <v>44075</v>
          </cell>
          <cell r="E69">
            <v>2.4414261879599001E-2</v>
          </cell>
          <cell r="F69">
            <v>0.88496685542260201</v>
          </cell>
        </row>
        <row r="70">
          <cell r="A70" t="str">
            <v>AUD_BBSW_EOD</v>
          </cell>
          <cell r="C70">
            <v>44805</v>
          </cell>
          <cell r="E70">
            <v>2.73839428364967E-2</v>
          </cell>
          <cell r="F70">
            <v>0.82544086888210699</v>
          </cell>
        </row>
        <row r="71">
          <cell r="A71" t="str">
            <v>AUD_BBSW_EOD</v>
          </cell>
          <cell r="C71">
            <v>45901</v>
          </cell>
          <cell r="E71">
            <v>3.0454664727249298E-2</v>
          </cell>
          <cell r="F71">
            <v>0.73727305542236998</v>
          </cell>
        </row>
        <row r="72">
          <cell r="A72" t="str">
            <v>AUD_BBSW_EOD</v>
          </cell>
          <cell r="C72">
            <v>46631</v>
          </cell>
          <cell r="E72">
            <v>3.2046526678344102E-2</v>
          </cell>
          <cell r="F72">
            <v>0.680571960310563</v>
          </cell>
        </row>
        <row r="73">
          <cell r="A73" t="str">
            <v>AUD_BBSW_EOD</v>
          </cell>
          <cell r="C73">
            <v>47728</v>
          </cell>
          <cell r="E73">
            <v>3.3684082187304898E-2</v>
          </cell>
          <cell r="F73">
            <v>0.60306960448510505</v>
          </cell>
        </row>
        <row r="74">
          <cell r="A74" t="str">
            <v>AUD_BBSW_EOD</v>
          </cell>
          <cell r="C74">
            <v>49555</v>
          </cell>
          <cell r="E74">
            <v>3.5191360289501601E-2</v>
          </cell>
          <cell r="F74">
            <v>0.494354647924719</v>
          </cell>
        </row>
        <row r="75">
          <cell r="A75" t="str">
            <v>AUD_BBSW_EOD</v>
          </cell>
          <cell r="C75">
            <v>51382</v>
          </cell>
          <cell r="E75">
            <v>3.5330052578394402E-2</v>
          </cell>
          <cell r="F75">
            <v>0.41307650277116897</v>
          </cell>
        </row>
        <row r="76">
          <cell r="A76" t="str">
            <v>AUD_BBSW_EOD</v>
          </cell>
          <cell r="C76">
            <v>53206</v>
          </cell>
          <cell r="E76">
            <v>3.4917725634153199E-2</v>
          </cell>
          <cell r="F76">
            <v>0.35053416962134298</v>
          </cell>
        </row>
        <row r="77">
          <cell r="A77" t="str">
            <v>AUD_BBSW_EOD</v>
          </cell>
          <cell r="C77">
            <v>56858</v>
          </cell>
          <cell r="E77">
            <v>3.3781924320083E-2</v>
          </cell>
          <cell r="F77">
            <v>0.25866991101123599</v>
          </cell>
        </row>
        <row r="78">
          <cell r="A78" t="str">
            <v>CAD_CDOR_1M_EOD</v>
          </cell>
          <cell r="C78">
            <v>42278</v>
          </cell>
          <cell r="E78">
            <v>7.4377261214683098E-3</v>
          </cell>
          <cell r="F78">
            <v>0.99938886686278405</v>
          </cell>
        </row>
        <row r="79">
          <cell r="A79" t="str">
            <v>CAD_CDOR_1M_EOD</v>
          </cell>
          <cell r="C79">
            <v>42310</v>
          </cell>
          <cell r="E79">
            <v>7.1456616014023196E-3</v>
          </cell>
          <cell r="F79">
            <v>0.99878695272289797</v>
          </cell>
        </row>
        <row r="80">
          <cell r="A80" t="str">
            <v>CAD_CDOR_1M_EOD</v>
          </cell>
          <cell r="C80">
            <v>42339</v>
          </cell>
          <cell r="E80">
            <v>6.89633471428403E-3</v>
          </cell>
          <cell r="F80">
            <v>0.99828211709127501</v>
          </cell>
        </row>
        <row r="81">
          <cell r="A81" t="str">
            <v>CAD_CDOR_1M_EOD</v>
          </cell>
          <cell r="C81">
            <v>42430</v>
          </cell>
          <cell r="E81">
            <v>6.3131307562140603E-3</v>
          </cell>
          <cell r="F81">
            <v>0.99685703224283795</v>
          </cell>
        </row>
        <row r="82">
          <cell r="A82" t="str">
            <v>CAD_CDOR_1M_EOD</v>
          </cell>
          <cell r="C82">
            <v>42522</v>
          </cell>
          <cell r="E82">
            <v>6.1814958068108399E-3</v>
          </cell>
          <cell r="F82">
            <v>0.995370394060341</v>
          </cell>
        </row>
        <row r="83">
          <cell r="A83" t="str">
            <v>CAD_CDOR_1M_EOD</v>
          </cell>
          <cell r="C83">
            <v>42614</v>
          </cell>
          <cell r="E83">
            <v>6.7778213680165502E-3</v>
          </cell>
          <cell r="F83">
            <v>0.99322665248877695</v>
          </cell>
        </row>
        <row r="84">
          <cell r="A84" t="str">
            <v>CAD_CDOR_1M_EOD</v>
          </cell>
          <cell r="C84">
            <v>42979</v>
          </cell>
          <cell r="E84">
            <v>6.6823160207288498E-3</v>
          </cell>
          <cell r="F84">
            <v>0.986706213627077</v>
          </cell>
        </row>
        <row r="85">
          <cell r="A85" t="str">
            <v>CAD_CDOR_1M_EOD</v>
          </cell>
          <cell r="C85">
            <v>43347</v>
          </cell>
          <cell r="E85">
            <v>7.80134247203494E-3</v>
          </cell>
          <cell r="F85">
            <v>0.97678420977024105</v>
          </cell>
        </row>
        <row r="86">
          <cell r="A86" t="str">
            <v>CAD_CDOR_1M_EOD</v>
          </cell>
          <cell r="C86">
            <v>43711</v>
          </cell>
          <cell r="E86">
            <v>9.0493956877203408E-3</v>
          </cell>
          <cell r="F86">
            <v>0.96437798428151</v>
          </cell>
        </row>
        <row r="87">
          <cell r="A87" t="str">
            <v>CAD_CDOR_1M_EOD</v>
          </cell>
          <cell r="C87">
            <v>44075</v>
          </cell>
          <cell r="E87">
            <v>1.05369159562048E-2</v>
          </cell>
          <cell r="F87">
            <v>0.94862442603580199</v>
          </cell>
        </row>
        <row r="88">
          <cell r="A88" t="str">
            <v>CAD_CDOR_1M_EOD</v>
          </cell>
          <cell r="C88">
            <v>44440</v>
          </cell>
          <cell r="E88">
            <v>1.23225242889171E-2</v>
          </cell>
          <cell r="F88">
            <v>0.92866921762088295</v>
          </cell>
        </row>
        <row r="89">
          <cell r="A89" t="str">
            <v>CAD_CDOR_1M_EOD</v>
          </cell>
          <cell r="C89">
            <v>44805</v>
          </cell>
          <cell r="E89">
            <v>1.4172489525329599E-2</v>
          </cell>
          <cell r="F89">
            <v>0.90548453193245204</v>
          </cell>
        </row>
        <row r="90">
          <cell r="A90" t="str">
            <v>CAD_CDOR_1M_EOD</v>
          </cell>
          <cell r="C90">
            <v>45170</v>
          </cell>
          <cell r="E90">
            <v>1.5911337073305901E-2</v>
          </cell>
          <cell r="F90">
            <v>0.880400922074008</v>
          </cell>
        </row>
        <row r="91">
          <cell r="A91" t="str">
            <v>CAD_CDOR_1M_EOD</v>
          </cell>
          <cell r="C91">
            <v>45538</v>
          </cell>
          <cell r="E91">
            <v>1.7535106626798899E-2</v>
          </cell>
          <cell r="F91">
            <v>0.85380182549208705</v>
          </cell>
        </row>
        <row r="92">
          <cell r="A92" t="str">
            <v>CAD_CDOR_1M_EOD</v>
          </cell>
          <cell r="C92">
            <v>45902</v>
          </cell>
          <cell r="E92">
            <v>1.8971401894828401E-2</v>
          </cell>
          <cell r="F92">
            <v>0.82702370152778104</v>
          </cell>
        </row>
        <row r="93">
          <cell r="A93" t="str">
            <v>CAD_CDOR_1M_EOD</v>
          </cell>
          <cell r="C93">
            <v>46631</v>
          </cell>
          <cell r="E93">
            <v>2.1382078402045999E-2</v>
          </cell>
          <cell r="F93">
            <v>0.77355331535139904</v>
          </cell>
        </row>
        <row r="94">
          <cell r="A94" t="str">
            <v>CAD_CDOR_1M_EOD</v>
          </cell>
          <cell r="C94">
            <v>47729</v>
          </cell>
          <cell r="E94">
            <v>2.3931268797853001E-2</v>
          </cell>
          <cell r="F94">
            <v>0.69812129050236105</v>
          </cell>
        </row>
        <row r="95">
          <cell r="A95" t="str">
            <v>CAD_CDOR_1M_EOD</v>
          </cell>
          <cell r="C95">
            <v>49556</v>
          </cell>
          <cell r="E95">
            <v>2.5611989811190301E-2</v>
          </cell>
          <cell r="F95">
            <v>0.59881585136320503</v>
          </cell>
        </row>
        <row r="96">
          <cell r="A96" t="str">
            <v>CAD_CDOR_1M_EOD</v>
          </cell>
          <cell r="C96">
            <v>51383</v>
          </cell>
          <cell r="E96">
            <v>2.59065278509528E-2</v>
          </cell>
          <cell r="F96">
            <v>0.52289585531645799</v>
          </cell>
        </row>
        <row r="97">
          <cell r="A97" t="str">
            <v>CAD_CDOR_1M_EOD</v>
          </cell>
          <cell r="C97">
            <v>53206</v>
          </cell>
          <cell r="E97">
            <v>2.6143559379262198E-2</v>
          </cell>
          <cell r="F97">
            <v>0.45617453482081299</v>
          </cell>
        </row>
        <row r="98">
          <cell r="A98" t="str">
            <v>CAD_CDOR_3M_EOD</v>
          </cell>
          <cell r="C98">
            <v>42339</v>
          </cell>
          <cell r="E98">
            <v>7.4331082777186596E-3</v>
          </cell>
          <cell r="F98">
            <v>0.998148530189372</v>
          </cell>
        </row>
        <row r="99">
          <cell r="A99" t="str">
            <v>CAD_CDOR_3M_EOD</v>
          </cell>
          <cell r="C99">
            <v>42352</v>
          </cell>
          <cell r="E99">
            <v>7.0924735617384996E-3</v>
          </cell>
          <cell r="F99">
            <v>0.99798117140207099</v>
          </cell>
        </row>
        <row r="100">
          <cell r="A100" t="str">
            <v>CAD_CDOR_3M_EOD</v>
          </cell>
          <cell r="C100">
            <v>42443</v>
          </cell>
          <cell r="E100">
            <v>6.6956513653953203E-3</v>
          </cell>
          <cell r="F100">
            <v>0.99642926149170097</v>
          </cell>
        </row>
        <row r="101">
          <cell r="A101" t="str">
            <v>CAD_CDOR_3M_EOD</v>
          </cell>
          <cell r="C101">
            <v>42534</v>
          </cell>
          <cell r="E101">
            <v>6.5182960918305803E-3</v>
          </cell>
          <cell r="F101">
            <v>0.99490553423230399</v>
          </cell>
        </row>
        <row r="102">
          <cell r="A102" t="str">
            <v>CAD_CDOR_3M_EOD</v>
          </cell>
          <cell r="C102">
            <v>42632</v>
          </cell>
          <cell r="E102">
            <v>6.4832227834941102E-3</v>
          </cell>
          <cell r="F102">
            <v>0.99320250260376197</v>
          </cell>
        </row>
        <row r="103">
          <cell r="A103" t="str">
            <v>CAD_CDOR_3M_EOD</v>
          </cell>
          <cell r="C103">
            <v>42979</v>
          </cell>
          <cell r="E103">
            <v>7.1638882585249204E-3</v>
          </cell>
          <cell r="F103">
            <v>0.98575502991678299</v>
          </cell>
        </row>
        <row r="104">
          <cell r="A104" t="str">
            <v>CAD_CDOR_3M_EOD</v>
          </cell>
          <cell r="C104">
            <v>43347</v>
          </cell>
          <cell r="E104">
            <v>8.3033407506506503E-3</v>
          </cell>
          <cell r="F104">
            <v>0.97530891939056796</v>
          </cell>
        </row>
        <row r="105">
          <cell r="A105" t="str">
            <v>CAD_CDOR_3M_EOD</v>
          </cell>
          <cell r="C105">
            <v>43711</v>
          </cell>
          <cell r="E105">
            <v>9.6297933499378107E-3</v>
          </cell>
          <cell r="F105">
            <v>0.962137100473476</v>
          </cell>
        </row>
        <row r="106">
          <cell r="A106" t="str">
            <v>CAD_CDOR_3M_EOD</v>
          </cell>
          <cell r="C106">
            <v>44075</v>
          </cell>
          <cell r="E106">
            <v>1.11798455635241E-2</v>
          </cell>
          <cell r="F106">
            <v>0.94557649748439498</v>
          </cell>
        </row>
        <row r="107">
          <cell r="A107" t="str">
            <v>CAD_CDOR_3M_EOD</v>
          </cell>
          <cell r="C107">
            <v>44440</v>
          </cell>
          <cell r="E107">
            <v>1.29374414590449E-2</v>
          </cell>
          <cell r="F107">
            <v>0.92524608515656004</v>
          </cell>
        </row>
        <row r="108">
          <cell r="A108" t="str">
            <v>CAD_CDOR_3M_EOD</v>
          </cell>
          <cell r="C108">
            <v>44805</v>
          </cell>
          <cell r="E108">
            <v>1.47697247600489E-2</v>
          </cell>
          <cell r="F108">
            <v>0.90170397213903997</v>
          </cell>
        </row>
        <row r="109">
          <cell r="A109" t="str">
            <v>CAD_CDOR_3M_EOD</v>
          </cell>
          <cell r="C109">
            <v>45170</v>
          </cell>
          <cell r="E109">
            <v>1.64994936898804E-2</v>
          </cell>
          <cell r="F109">
            <v>0.87626531955105702</v>
          </cell>
        </row>
        <row r="110">
          <cell r="A110" t="str">
            <v>CAD_CDOR_3M_EOD</v>
          </cell>
          <cell r="C110">
            <v>45538</v>
          </cell>
          <cell r="E110">
            <v>1.8096052624150101E-2</v>
          </cell>
          <cell r="F110">
            <v>0.84949572967699005</v>
          </cell>
        </row>
        <row r="111">
          <cell r="A111" t="str">
            <v>CAD_CDOR_3M_EOD</v>
          </cell>
          <cell r="C111">
            <v>45902</v>
          </cell>
          <cell r="E111">
            <v>1.9497630509011401E-2</v>
          </cell>
          <cell r="F111">
            <v>0.82267835262415201</v>
          </cell>
        </row>
        <row r="112">
          <cell r="A112" t="str">
            <v>CAD_CDOR_3M_EOD</v>
          </cell>
          <cell r="C112">
            <v>46631</v>
          </cell>
          <cell r="E112">
            <v>2.18660458184558E-2</v>
          </cell>
          <cell r="F112">
            <v>0.76907078104099402</v>
          </cell>
        </row>
        <row r="113">
          <cell r="A113" t="str">
            <v>CAD_CDOR_3M_EOD</v>
          </cell>
          <cell r="C113">
            <v>47729</v>
          </cell>
          <cell r="E113">
            <v>2.4346952335091401E-2</v>
          </cell>
          <cell r="F113">
            <v>0.69377712963885196</v>
          </cell>
        </row>
        <row r="114">
          <cell r="A114" t="str">
            <v>CAD_CDOR_3M_EOD</v>
          </cell>
          <cell r="C114">
            <v>49556</v>
          </cell>
          <cell r="E114">
            <v>2.58938365292808E-2</v>
          </cell>
          <cell r="F114">
            <v>0.59544618320119902</v>
          </cell>
        </row>
        <row r="115">
          <cell r="A115" t="str">
            <v>CAD_CDOR_3M_EOD</v>
          </cell>
          <cell r="C115">
            <v>51383</v>
          </cell>
          <cell r="E115">
            <v>2.6162996823816599E-2</v>
          </cell>
          <cell r="F115">
            <v>0.51955026583018304</v>
          </cell>
        </row>
        <row r="116">
          <cell r="A116" t="str">
            <v>CAD_CDOR_3M_EOD</v>
          </cell>
          <cell r="C116">
            <v>53206</v>
          </cell>
          <cell r="E116">
            <v>2.62799875946437E-2</v>
          </cell>
          <cell r="F116">
            <v>0.45430993957913901</v>
          </cell>
        </row>
        <row r="117">
          <cell r="A117" t="str">
            <v>CAD_CDOR_EOD</v>
          </cell>
          <cell r="C117">
            <v>42249</v>
          </cell>
          <cell r="E117">
            <v>5.9559514061049501E-3</v>
          </cell>
          <cell r="F117">
            <v>0.99998368245804703</v>
          </cell>
        </row>
        <row r="118">
          <cell r="A118" t="str">
            <v>CAD_CDOR_EOD</v>
          </cell>
          <cell r="C118">
            <v>42255</v>
          </cell>
          <cell r="E118">
            <v>6.2626583742195199E-3</v>
          </cell>
          <cell r="F118">
            <v>0.99987990143536998</v>
          </cell>
        </row>
        <row r="119">
          <cell r="A119" t="str">
            <v>CAD_CDOR_EOD</v>
          </cell>
          <cell r="C119">
            <v>42352</v>
          </cell>
          <cell r="E119">
            <v>6.9575809776532497E-3</v>
          </cell>
          <cell r="F119">
            <v>0.99801952969249097</v>
          </cell>
        </row>
        <row r="120">
          <cell r="A120" t="str">
            <v>CAD_CDOR_EOD</v>
          </cell>
          <cell r="C120">
            <v>42443</v>
          </cell>
          <cell r="E120">
            <v>6.6237086538838696E-3</v>
          </cell>
          <cell r="F120">
            <v>0.99646756013308901</v>
          </cell>
        </row>
        <row r="121">
          <cell r="A121" t="str">
            <v>CAD_CDOR_EOD</v>
          </cell>
          <cell r="C121">
            <v>42534</v>
          </cell>
          <cell r="E121">
            <v>6.4692442430737303E-3</v>
          </cell>
          <cell r="F121">
            <v>0.99494377430788405</v>
          </cell>
        </row>
        <row r="122">
          <cell r="A122" t="str">
            <v>CAD_CDOR_EOD</v>
          </cell>
          <cell r="C122">
            <v>42632</v>
          </cell>
          <cell r="E122">
            <v>6.4466893753044501E-3</v>
          </cell>
          <cell r="F122">
            <v>0.99324067722181397</v>
          </cell>
        </row>
        <row r="123">
          <cell r="A123" t="str">
            <v>CAD_CDOR_EOD</v>
          </cell>
          <cell r="C123">
            <v>42979</v>
          </cell>
          <cell r="E123">
            <v>7.1651437581173802E-3</v>
          </cell>
          <cell r="F123">
            <v>0.985752551299096</v>
          </cell>
        </row>
        <row r="124">
          <cell r="A124" t="str">
            <v>CAD_CDOR_EOD</v>
          </cell>
          <cell r="C124">
            <v>43347</v>
          </cell>
          <cell r="E124">
            <v>8.3074848895869392E-3</v>
          </cell>
          <cell r="F124">
            <v>0.97529674972561997</v>
          </cell>
        </row>
        <row r="125">
          <cell r="A125" t="str">
            <v>CAD_CDOR_EOD</v>
          </cell>
          <cell r="C125">
            <v>43711</v>
          </cell>
          <cell r="E125">
            <v>9.63982549963514E-3</v>
          </cell>
          <cell r="F125">
            <v>0.96209841270363305</v>
          </cell>
        </row>
        <row r="126">
          <cell r="A126" t="str">
            <v>CAD_CDOR_EOD</v>
          </cell>
          <cell r="C126">
            <v>44075</v>
          </cell>
          <cell r="E126">
            <v>1.1197670445923499E-2</v>
          </cell>
          <cell r="F126">
            <v>0.94549213494360196</v>
          </cell>
        </row>
        <row r="127">
          <cell r="A127" t="str">
            <v>CAD_CDOR_EOD</v>
          </cell>
          <cell r="C127">
            <v>44440</v>
          </cell>
          <cell r="E127">
            <v>1.29651649776609E-2</v>
          </cell>
          <cell r="F127">
            <v>0.92509205096348002</v>
          </cell>
        </row>
        <row r="128">
          <cell r="A128" t="str">
            <v>CAD_CDOR_EOD</v>
          </cell>
          <cell r="C128">
            <v>44805</v>
          </cell>
          <cell r="E128">
            <v>1.4809678865013101E-2</v>
          </cell>
          <cell r="F128">
            <v>0.90145162262367295</v>
          </cell>
        </row>
        <row r="129">
          <cell r="A129" t="str">
            <v>CAD_CDOR_EOD</v>
          </cell>
          <cell r="C129">
            <v>45170</v>
          </cell>
          <cell r="E129">
            <v>1.6552759528878299E-2</v>
          </cell>
          <cell r="F129">
            <v>0.87589174339371501</v>
          </cell>
        </row>
        <row r="130">
          <cell r="A130" t="str">
            <v>CAD_CDOR_EOD</v>
          </cell>
          <cell r="C130">
            <v>45538</v>
          </cell>
          <cell r="E130">
            <v>1.81631529876068E-2</v>
          </cell>
          <cell r="F130">
            <v>0.84898209093073995</v>
          </cell>
        </row>
        <row r="131">
          <cell r="A131" t="str">
            <v>CAD_CDOR_EOD</v>
          </cell>
          <cell r="C131">
            <v>45902</v>
          </cell>
          <cell r="E131">
            <v>1.9577738093227302E-2</v>
          </cell>
          <cell r="F131">
            <v>0.82201886712157601</v>
          </cell>
        </row>
        <row r="132">
          <cell r="A132" t="str">
            <v>CAD_CDOR_EOD</v>
          </cell>
          <cell r="C132">
            <v>46631</v>
          </cell>
          <cell r="E132">
            <v>2.1969066011119E-2</v>
          </cell>
          <cell r="F132">
            <v>0.76811996024284102</v>
          </cell>
        </row>
        <row r="133">
          <cell r="A133" t="str">
            <v>CAD_CDOR_EOD</v>
          </cell>
          <cell r="C133">
            <v>47729</v>
          </cell>
          <cell r="E133">
            <v>2.4477133539991001E-2</v>
          </cell>
          <cell r="F133">
            <v>0.69242221860089104</v>
          </cell>
        </row>
        <row r="134">
          <cell r="A134" t="str">
            <v>CAD_CDOR_EOD</v>
          </cell>
          <cell r="C134">
            <v>49556</v>
          </cell>
          <cell r="E134">
            <v>2.6033550672628698E-2</v>
          </cell>
          <cell r="F134">
            <v>0.59378284229534595</v>
          </cell>
        </row>
        <row r="135">
          <cell r="A135" t="str">
            <v>CAD_CDOR_EOD</v>
          </cell>
          <cell r="C135">
            <v>51383</v>
          </cell>
          <cell r="E135">
            <v>2.62892520793413E-2</v>
          </cell>
          <cell r="F135">
            <v>0.51791116091038403</v>
          </cell>
        </row>
        <row r="136">
          <cell r="A136" t="str">
            <v>CAD_CDOR_EOD</v>
          </cell>
          <cell r="C136">
            <v>53206</v>
          </cell>
          <cell r="E136">
            <v>2.6396187093526501E-2</v>
          </cell>
          <cell r="F136">
            <v>0.45272782613671197</v>
          </cell>
        </row>
        <row r="137">
          <cell r="A137" t="str">
            <v>CAD_CORRA_EOD</v>
          </cell>
          <cell r="C137">
            <v>42249</v>
          </cell>
          <cell r="E137">
            <v>5.9559514061049501E-3</v>
          </cell>
          <cell r="F137">
            <v>0.99998368245804703</v>
          </cell>
        </row>
        <row r="138">
          <cell r="A138" t="str">
            <v>CAD_CORRA_EOD</v>
          </cell>
          <cell r="C138">
            <v>42256</v>
          </cell>
          <cell r="E138">
            <v>5.2417722690265298E-3</v>
          </cell>
          <cell r="F138">
            <v>0.999885118440071</v>
          </cell>
        </row>
        <row r="139">
          <cell r="A139" t="str">
            <v>CAD_CORRA_EOD</v>
          </cell>
          <cell r="C139">
            <v>42279</v>
          </cell>
          <cell r="E139">
            <v>4.6428990422113002E-3</v>
          </cell>
          <cell r="F139">
            <v>0.99960574932542601</v>
          </cell>
        </row>
        <row r="140">
          <cell r="A140" t="str">
            <v>CAD_CORRA_EOD</v>
          </cell>
          <cell r="C140">
            <v>42310</v>
          </cell>
          <cell r="E140">
            <v>4.4759394337754504E-3</v>
          </cell>
          <cell r="F140">
            <v>0.99923999239084305</v>
          </cell>
        </row>
        <row r="141">
          <cell r="A141" t="str">
            <v>CAD_CORRA_EOD</v>
          </cell>
          <cell r="C141">
            <v>42340</v>
          </cell>
          <cell r="E141">
            <v>4.32395515507437E-3</v>
          </cell>
          <cell r="F141">
            <v>0.99891072006842996</v>
          </cell>
        </row>
        <row r="142">
          <cell r="A142" t="str">
            <v>CAD_CORRA_EOD</v>
          </cell>
          <cell r="C142">
            <v>42373</v>
          </cell>
          <cell r="E142">
            <v>4.16154827401417E-3</v>
          </cell>
          <cell r="F142">
            <v>0.99857582733271699</v>
          </cell>
        </row>
        <row r="143">
          <cell r="A143" t="str">
            <v>CAD_CORRA_EOD</v>
          </cell>
          <cell r="C143">
            <v>42402</v>
          </cell>
          <cell r="E143">
            <v>4.0490464596988698E-3</v>
          </cell>
          <cell r="F143">
            <v>0.99829309361687901</v>
          </cell>
        </row>
        <row r="144">
          <cell r="A144" t="str">
            <v>CAD_CORRA_EOD</v>
          </cell>
          <cell r="C144">
            <v>42431</v>
          </cell>
          <cell r="E144">
            <v>3.9339375297103704E-3</v>
          </cell>
          <cell r="F144">
            <v>0.998029586098934</v>
          </cell>
        </row>
        <row r="145">
          <cell r="A145" t="str">
            <v>CAD_CORRA_EOD</v>
          </cell>
          <cell r="C145">
            <v>42464</v>
          </cell>
          <cell r="E145">
            <v>3.84547980254049E-3</v>
          </cell>
          <cell r="F145">
            <v>0.99772690620117099</v>
          </cell>
        </row>
        <row r="146">
          <cell r="A146" t="str">
            <v>CAD_CORRA_EOD</v>
          </cell>
          <cell r="C146">
            <v>42492</v>
          </cell>
          <cell r="E146">
            <v>3.7891559831082899E-3</v>
          </cell>
          <cell r="F146">
            <v>0.99747018057876502</v>
          </cell>
        </row>
        <row r="147">
          <cell r="A147" t="str">
            <v>CAD_CORRA_EOD</v>
          </cell>
          <cell r="C147">
            <v>42523</v>
          </cell>
          <cell r="E147">
            <v>3.7461486329579499E-3</v>
          </cell>
          <cell r="F147">
            <v>0.99718153859033898</v>
          </cell>
        </row>
        <row r="148">
          <cell r="A148" t="str">
            <v>CAD_CORRA_EOD</v>
          </cell>
          <cell r="C148">
            <v>42555</v>
          </cell>
          <cell r="E148">
            <v>3.7215133634771998E-3</v>
          </cell>
          <cell r="F148">
            <v>0.99687474421466504</v>
          </cell>
        </row>
        <row r="149">
          <cell r="A149" t="str">
            <v>CAD_CORRA_EOD</v>
          </cell>
          <cell r="C149">
            <v>42584</v>
          </cell>
          <cell r="E149">
            <v>3.7104010353828198E-3</v>
          </cell>
          <cell r="F149">
            <v>0.99659022448407497</v>
          </cell>
        </row>
        <row r="150">
          <cell r="A150" t="str">
            <v>CAD_CORRA_EOD</v>
          </cell>
          <cell r="C150">
            <v>42615</v>
          </cell>
          <cell r="E150">
            <v>3.7042867710631198E-3</v>
          </cell>
          <cell r="F150">
            <v>0.99628234342747801</v>
          </cell>
        </row>
        <row r="151">
          <cell r="A151" t="str">
            <v>CAD_CORRA_EOD</v>
          </cell>
          <cell r="C151">
            <v>42796</v>
          </cell>
          <cell r="E151">
            <v>3.9467929464497998E-3</v>
          </cell>
          <cell r="F151">
            <v>0.99409192573257898</v>
          </cell>
        </row>
        <row r="152">
          <cell r="A152" t="str">
            <v>CAD_CORRA_EOD</v>
          </cell>
          <cell r="C152">
            <v>42983</v>
          </cell>
          <cell r="E152">
            <v>4.4090284637123703E-3</v>
          </cell>
          <cell r="F152">
            <v>0.99116084251508496</v>
          </cell>
        </row>
        <row r="153">
          <cell r="A153" t="str">
            <v>CAD_CORRA_EOD</v>
          </cell>
          <cell r="C153">
            <v>43347</v>
          </cell>
          <cell r="E153">
            <v>5.5634174332509397E-3</v>
          </cell>
          <cell r="F153">
            <v>0.98338830031038005</v>
          </cell>
        </row>
        <row r="154">
          <cell r="A154" t="str">
            <v>CAD_CORRA_EOD</v>
          </cell>
          <cell r="C154">
            <v>43711</v>
          </cell>
          <cell r="E154">
            <v>6.8581983547295203E-3</v>
          </cell>
          <cell r="F154">
            <v>0.97288522645856101</v>
          </cell>
        </row>
        <row r="155">
          <cell r="A155" t="str">
            <v>CAD_CORRA_EOD</v>
          </cell>
          <cell r="C155">
            <v>44076</v>
          </cell>
          <cell r="E155">
            <v>8.3763296689609301E-3</v>
          </cell>
          <cell r="F155">
            <v>0.95891725070141698</v>
          </cell>
        </row>
        <row r="156">
          <cell r="A156" t="str">
            <v>CAD_CORRA_EOD</v>
          </cell>
          <cell r="C156">
            <v>44806</v>
          </cell>
          <cell r="E156">
            <v>1.1986849460430399E-2</v>
          </cell>
          <cell r="F156">
            <v>0.91942530898164698</v>
          </cell>
        </row>
        <row r="157">
          <cell r="A157" t="str">
            <v>CAD_CORRA_EOD</v>
          </cell>
          <cell r="C157">
            <v>45902</v>
          </cell>
          <cell r="E157">
            <v>1.67178822205994E-2</v>
          </cell>
          <cell r="F157">
            <v>0.84589331555374203</v>
          </cell>
        </row>
        <row r="158">
          <cell r="A158" t="str">
            <v>CAD_CORRA_EOD</v>
          </cell>
          <cell r="C158">
            <v>46632</v>
          </cell>
          <cell r="E158">
            <v>1.9177101194761299E-2</v>
          </cell>
          <cell r="F158">
            <v>0.79426718099062699</v>
          </cell>
        </row>
        <row r="159">
          <cell r="A159" t="str">
            <v>CAD_CORRA_EOD</v>
          </cell>
          <cell r="C159">
            <v>47729</v>
          </cell>
          <cell r="E159">
            <v>2.1607887850897099E-2</v>
          </cell>
          <cell r="F159">
            <v>0.72290785294581905</v>
          </cell>
        </row>
        <row r="160">
          <cell r="A160" t="str">
            <v>CAD_CORRA_EOD</v>
          </cell>
          <cell r="C160">
            <v>49556</v>
          </cell>
          <cell r="E160">
            <v>2.31876137655798E-2</v>
          </cell>
          <cell r="F160">
            <v>0.62859978478971101</v>
          </cell>
        </row>
        <row r="161">
          <cell r="A161" t="str">
            <v>CAD_CORRA_EOD</v>
          </cell>
          <cell r="C161">
            <v>53210</v>
          </cell>
          <cell r="E161">
            <v>2.3599217216502301E-2</v>
          </cell>
          <cell r="F161">
            <v>0.49225796481328299</v>
          </cell>
        </row>
        <row r="162">
          <cell r="A162" t="str">
            <v>CHF_LIBOR_12M_EOD</v>
          </cell>
          <cell r="C162">
            <v>42618</v>
          </cell>
          <cell r="E162">
            <v>-5.7042884408374803E-3</v>
          </cell>
          <cell r="F162">
            <v>1.0057991798938</v>
          </cell>
        </row>
        <row r="163">
          <cell r="A163" t="str">
            <v>CHF_LIBOR_12M_EOD</v>
          </cell>
          <cell r="C163">
            <v>42982</v>
          </cell>
          <cell r="E163">
            <v>-5.07328106386445E-3</v>
          </cell>
          <cell r="F163">
            <v>1.0102543791926799</v>
          </cell>
        </row>
        <row r="164">
          <cell r="A164" t="str">
            <v>CHF_LIBOR_12M_EOD</v>
          </cell>
          <cell r="C164">
            <v>43346</v>
          </cell>
          <cell r="E164">
            <v>-4.2105679720561198E-3</v>
          </cell>
          <cell r="F164">
            <v>1.01274686880819</v>
          </cell>
        </row>
        <row r="165">
          <cell r="A165" t="str">
            <v>CHF_LIBOR_12M_EOD</v>
          </cell>
          <cell r="C165">
            <v>43711</v>
          </cell>
          <cell r="E165">
            <v>-3.0687361220614298E-3</v>
          </cell>
          <cell r="F165">
            <v>1.01237612514398</v>
          </cell>
        </row>
        <row r="166">
          <cell r="A166" t="str">
            <v>CHF_LIBOR_12M_EOD</v>
          </cell>
          <cell r="C166">
            <v>44077</v>
          </cell>
          <cell r="E166">
            <v>-1.7106365654109301E-3</v>
          </cell>
          <cell r="F166">
            <v>1.0086087737170799</v>
          </cell>
        </row>
        <row r="167">
          <cell r="A167" t="str">
            <v>CHF_LIBOR_12M_EOD</v>
          </cell>
          <cell r="C167">
            <v>44442</v>
          </cell>
          <cell r="E167">
            <v>-3.0663314807609002E-4</v>
          </cell>
          <cell r="F167">
            <v>1.00184485891383</v>
          </cell>
        </row>
        <row r="168">
          <cell r="A168" t="str">
            <v>CHF_LIBOR_12M_EOD</v>
          </cell>
          <cell r="C168">
            <v>44809</v>
          </cell>
          <cell r="E168">
            <v>1.0521430081223599E-3</v>
          </cell>
          <cell r="F168">
            <v>0.99264488566267595</v>
          </cell>
        </row>
        <row r="169">
          <cell r="A169" t="str">
            <v>CHF_LIBOR_12M_EOD</v>
          </cell>
          <cell r="C169">
            <v>45173</v>
          </cell>
          <cell r="E169">
            <v>2.2433978620962801E-3</v>
          </cell>
          <cell r="F169">
            <v>0.98218272423874398</v>
          </cell>
        </row>
        <row r="170">
          <cell r="A170" t="str">
            <v>CHF_LIBOR_12M_EOD</v>
          </cell>
          <cell r="C170">
            <v>45538</v>
          </cell>
          <cell r="E170">
            <v>3.2636600086421402E-3</v>
          </cell>
          <cell r="F170">
            <v>0.97101083927687204</v>
          </cell>
        </row>
        <row r="171">
          <cell r="A171" t="str">
            <v>CHF_LIBOR_12M_EOD</v>
          </cell>
          <cell r="C171">
            <v>45903</v>
          </cell>
          <cell r="E171">
            <v>4.0980975518628499E-3</v>
          </cell>
          <cell r="F171">
            <v>0.95979350766287996</v>
          </cell>
        </row>
        <row r="172">
          <cell r="A172" t="str">
            <v>CHF_LIBOR_12M_EOD</v>
          </cell>
          <cell r="C172">
            <v>46633</v>
          </cell>
          <cell r="E172">
            <v>5.5256646173726899E-3</v>
          </cell>
          <cell r="F172">
            <v>0.93577176837456899</v>
          </cell>
        </row>
        <row r="173">
          <cell r="A173" t="str">
            <v>CHF_LIBOR_12M_EOD</v>
          </cell>
          <cell r="C173">
            <v>47729</v>
          </cell>
          <cell r="E173">
            <v>6.9731718077576804E-3</v>
          </cell>
          <cell r="F173">
            <v>0.90058366913285404</v>
          </cell>
        </row>
        <row r="174">
          <cell r="A174" t="str">
            <v>CHF_LIBOR_12M_EOD</v>
          </cell>
          <cell r="C174">
            <v>49555</v>
          </cell>
          <cell r="E174">
            <v>8.4199425893206597E-3</v>
          </cell>
          <cell r="F174">
            <v>0.84488029013731403</v>
          </cell>
        </row>
        <row r="175">
          <cell r="A175" t="str">
            <v>CHF_LIBOR_12M_EOD</v>
          </cell>
          <cell r="C175">
            <v>51382</v>
          </cell>
          <cell r="E175">
            <v>9.0353489497900698E-3</v>
          </cell>
          <cell r="F175">
            <v>0.79763313870608998</v>
          </cell>
        </row>
        <row r="176">
          <cell r="A176" t="str">
            <v>CHF_LIBOR_12M_EOD</v>
          </cell>
          <cell r="C176">
            <v>53209</v>
          </cell>
          <cell r="E176">
            <v>9.2923204850793098E-3</v>
          </cell>
          <cell r="F176">
            <v>0.756502336579574</v>
          </cell>
        </row>
        <row r="177">
          <cell r="A177" t="str">
            <v>CHF_LIBOR_12M_EOD</v>
          </cell>
          <cell r="C177">
            <v>56860</v>
          </cell>
          <cell r="E177">
            <v>9.9094000218009903E-3</v>
          </cell>
          <cell r="F177">
            <v>0.67253455268692697</v>
          </cell>
        </row>
        <row r="178">
          <cell r="A178" t="str">
            <v>CHF_LIBOR_3M_EOD</v>
          </cell>
          <cell r="C178">
            <v>42341</v>
          </cell>
          <cell r="E178">
            <v>-7.3472807782197103E-3</v>
          </cell>
          <cell r="F178">
            <v>1.0018738002569501</v>
          </cell>
        </row>
        <row r="179">
          <cell r="A179" t="str">
            <v>CHF_LIBOR_3M_EOD</v>
          </cell>
          <cell r="C179">
            <v>42354</v>
          </cell>
          <cell r="E179">
            <v>-7.3996017709860099E-3</v>
          </cell>
          <cell r="F179">
            <v>1.0021512360409099</v>
          </cell>
        </row>
        <row r="180">
          <cell r="A180" t="str">
            <v>CHF_LIBOR_3M_EOD</v>
          </cell>
          <cell r="C180">
            <v>42445</v>
          </cell>
          <cell r="E180">
            <v>-7.4514456856607401E-3</v>
          </cell>
          <cell r="F180">
            <v>1.00402983722373</v>
          </cell>
        </row>
        <row r="181">
          <cell r="A181" t="str">
            <v>CHF_LIBOR_3M_EOD</v>
          </cell>
          <cell r="C181">
            <v>42536</v>
          </cell>
          <cell r="E181">
            <v>-7.5036116932333903E-3</v>
          </cell>
          <cell r="F181">
            <v>1.0059382197310101</v>
          </cell>
        </row>
        <row r="182">
          <cell r="A182" t="str">
            <v>CHF_LIBOR_3M_EOD</v>
          </cell>
          <cell r="C182">
            <v>42634</v>
          </cell>
          <cell r="E182">
            <v>-7.5072665910552701E-3</v>
          </cell>
          <cell r="F182">
            <v>1.0079707904672099</v>
          </cell>
        </row>
        <row r="183">
          <cell r="A183" t="str">
            <v>CHF_LIBOR_3M_EOD</v>
          </cell>
          <cell r="C183">
            <v>42982</v>
          </cell>
          <cell r="E183">
            <v>-7.2523665139776197E-3</v>
          </cell>
          <cell r="F183">
            <v>1.01469107952156</v>
          </cell>
        </row>
        <row r="184">
          <cell r="A184" t="str">
            <v>CHF_LIBOR_3M_EOD</v>
          </cell>
          <cell r="C184">
            <v>43346</v>
          </cell>
          <cell r="E184">
            <v>-6.5640004984449897E-3</v>
          </cell>
          <cell r="F184">
            <v>1.01994219302407</v>
          </cell>
        </row>
        <row r="185">
          <cell r="A185" t="str">
            <v>CHF_LIBOR_3M_EOD</v>
          </cell>
          <cell r="C185">
            <v>43711</v>
          </cell>
          <cell r="E185">
            <v>-5.5216684203551704E-3</v>
          </cell>
          <cell r="F185">
            <v>1.0223787880949999</v>
          </cell>
        </row>
        <row r="186">
          <cell r="A186" t="str">
            <v>CHF_LIBOR_3M_EOD</v>
          </cell>
          <cell r="C186">
            <v>44077</v>
          </cell>
          <cell r="E186">
            <v>-4.2348428224374002E-3</v>
          </cell>
          <cell r="F186">
            <v>1.0214473819218699</v>
          </cell>
        </row>
        <row r="187">
          <cell r="A187" t="str">
            <v>CHF_LIBOR_3M_EOD</v>
          </cell>
          <cell r="C187">
            <v>44442</v>
          </cell>
          <cell r="E187">
            <v>-2.85331103861309E-3</v>
          </cell>
          <cell r="F187">
            <v>1.0172990606013801</v>
          </cell>
        </row>
        <row r="188">
          <cell r="A188" t="str">
            <v>CHF_LIBOR_3M_EOD</v>
          </cell>
          <cell r="C188">
            <v>44809</v>
          </cell>
          <cell r="E188">
            <v>-1.49176573308252E-3</v>
          </cell>
          <cell r="F188">
            <v>1.0105218517394301</v>
          </cell>
        </row>
        <row r="189">
          <cell r="A189" t="str">
            <v>CHF_LIBOR_3M_EOD</v>
          </cell>
          <cell r="C189">
            <v>45173</v>
          </cell>
          <cell r="E189">
            <v>-2.7291543073690002E-4</v>
          </cell>
          <cell r="F189">
            <v>1.0021894553780599</v>
          </cell>
        </row>
        <row r="190">
          <cell r="A190" t="str">
            <v>CHF_LIBOR_3M_EOD</v>
          </cell>
          <cell r="C190">
            <v>45538</v>
          </cell>
          <cell r="E190">
            <v>7.5031725354680998E-4</v>
          </cell>
          <cell r="F190">
            <v>0.99325968491704597</v>
          </cell>
        </row>
        <row r="191">
          <cell r="A191" t="str">
            <v>CHF_LIBOR_3M_EOD</v>
          </cell>
          <cell r="C191">
            <v>45903</v>
          </cell>
          <cell r="E191">
            <v>1.63700430980426E-3</v>
          </cell>
          <cell r="F191">
            <v>0.98374115753981595</v>
          </cell>
        </row>
        <row r="192">
          <cell r="A192" t="str">
            <v>CHF_LIBOR_3M_EOD</v>
          </cell>
          <cell r="C192">
            <v>46633</v>
          </cell>
          <cell r="E192">
            <v>3.1436477276162601E-3</v>
          </cell>
          <cell r="F192">
            <v>0.96293743667843301</v>
          </cell>
        </row>
        <row r="193">
          <cell r="A193" t="str">
            <v>CHF_LIBOR_3M_EOD</v>
          </cell>
          <cell r="C193">
            <v>47729</v>
          </cell>
          <cell r="E193">
            <v>4.7495172026774998E-3</v>
          </cell>
          <cell r="F193">
            <v>0.93116309700465005</v>
          </cell>
        </row>
        <row r="194">
          <cell r="A194" t="str">
            <v>CHF_LIBOR_3M_EOD</v>
          </cell>
          <cell r="C194">
            <v>49555</v>
          </cell>
          <cell r="E194">
            <v>6.4086967433313602E-3</v>
          </cell>
          <cell r="F194">
            <v>0.879592241014028</v>
          </cell>
        </row>
        <row r="195">
          <cell r="A195" t="str">
            <v>CHF_LIBOR_3M_EOD</v>
          </cell>
          <cell r="C195">
            <v>51382</v>
          </cell>
          <cell r="E195">
            <v>7.1304504312596703E-3</v>
          </cell>
          <cell r="F195">
            <v>0.83657669253727795</v>
          </cell>
        </row>
        <row r="196">
          <cell r="A196" t="str">
            <v>CHF_LIBOR_3M_EOD</v>
          </cell>
          <cell r="C196">
            <v>53209</v>
          </cell>
          <cell r="E196">
            <v>7.4667899749207801E-3</v>
          </cell>
          <cell r="F196">
            <v>0.79913233128663796</v>
          </cell>
        </row>
        <row r="197">
          <cell r="A197" t="str">
            <v>CHF_LIBOR_3M_EOD</v>
          </cell>
          <cell r="C197">
            <v>56860</v>
          </cell>
          <cell r="E197">
            <v>7.4238762118649399E-3</v>
          </cell>
          <cell r="F197">
            <v>0.742896071337665</v>
          </cell>
        </row>
        <row r="198">
          <cell r="A198" t="str">
            <v>CHF_LIBOR_6M_EOD</v>
          </cell>
          <cell r="C198">
            <v>42432</v>
          </cell>
          <cell r="E198">
            <v>-6.8452802016115604E-3</v>
          </cell>
          <cell r="F198">
            <v>1.00345673215534</v>
          </cell>
        </row>
        <row r="199">
          <cell r="A199" t="str">
            <v>CHF_LIBOR_6M_EOD</v>
          </cell>
          <cell r="C199">
            <v>42618</v>
          </cell>
          <cell r="E199">
            <v>-6.7078347256213098E-3</v>
          </cell>
          <cell r="F199">
            <v>1.00682289347624</v>
          </cell>
        </row>
        <row r="200">
          <cell r="A200" t="str">
            <v>CHF_LIBOR_6M_EOD</v>
          </cell>
          <cell r="C200">
            <v>42797</v>
          </cell>
          <cell r="E200">
            <v>-6.5465693582293701E-3</v>
          </cell>
          <cell r="F200">
            <v>1.00989539657995</v>
          </cell>
        </row>
        <row r="201">
          <cell r="A201" t="str">
            <v>CHF_LIBOR_6M_EOD</v>
          </cell>
          <cell r="C201">
            <v>42982</v>
          </cell>
          <cell r="E201">
            <v>-6.3020500050119596E-3</v>
          </cell>
          <cell r="F201">
            <v>1.01275380842423</v>
          </cell>
        </row>
        <row r="202">
          <cell r="A202" t="str">
            <v>CHF_LIBOR_6M_EOD</v>
          </cell>
          <cell r="C202">
            <v>43346</v>
          </cell>
          <cell r="E202">
            <v>-5.48927701196466E-3</v>
          </cell>
          <cell r="F202">
            <v>1.0166500406731001</v>
          </cell>
        </row>
        <row r="203">
          <cell r="A203" t="str">
            <v>CHF_LIBOR_6M_EOD</v>
          </cell>
          <cell r="C203">
            <v>43711</v>
          </cell>
          <cell r="E203">
            <v>-4.37222339826042E-3</v>
          </cell>
          <cell r="F203">
            <v>1.0176792904838801</v>
          </cell>
        </row>
        <row r="204">
          <cell r="A204" t="str">
            <v>CHF_LIBOR_6M_EOD</v>
          </cell>
          <cell r="C204">
            <v>44077</v>
          </cell>
          <cell r="E204">
            <v>-3.0365235762318402E-3</v>
          </cell>
          <cell r="F204">
            <v>1.0153322459596299</v>
          </cell>
        </row>
        <row r="205">
          <cell r="A205" t="str">
            <v>CHF_LIBOR_6M_EOD</v>
          </cell>
          <cell r="C205">
            <v>44442</v>
          </cell>
          <cell r="E205">
            <v>-1.60575885337776E-3</v>
          </cell>
          <cell r="F205">
            <v>1.0096988827165001</v>
          </cell>
        </row>
        <row r="206">
          <cell r="A206" t="str">
            <v>CHF_LIBOR_6M_EOD</v>
          </cell>
          <cell r="C206">
            <v>44809</v>
          </cell>
          <cell r="E206">
            <v>-2.1998557445428E-4</v>
          </cell>
          <cell r="F206">
            <v>1.00154470705515</v>
          </cell>
        </row>
        <row r="207">
          <cell r="A207" t="str">
            <v>CHF_LIBOR_6M_EOD</v>
          </cell>
          <cell r="C207">
            <v>45173</v>
          </cell>
          <cell r="E207">
            <v>9.979978561231301E-4</v>
          </cell>
          <cell r="F207">
            <v>0.99203424209458702</v>
          </cell>
        </row>
        <row r="208">
          <cell r="A208" t="str">
            <v>CHF_LIBOR_6M_EOD</v>
          </cell>
          <cell r="C208">
            <v>45538</v>
          </cell>
          <cell r="E208">
            <v>1.9949977778903399E-3</v>
          </cell>
          <cell r="F208">
            <v>0.98217840818044799</v>
          </cell>
        </row>
        <row r="209">
          <cell r="A209" t="str">
            <v>CHF_LIBOR_6M_EOD</v>
          </cell>
          <cell r="C209">
            <v>45903</v>
          </cell>
          <cell r="E209">
            <v>2.8558694960651499E-3</v>
          </cell>
          <cell r="F209">
            <v>0.97180723075313502</v>
          </cell>
        </row>
        <row r="210">
          <cell r="A210" t="str">
            <v>CHF_LIBOR_6M_EOD</v>
          </cell>
          <cell r="C210">
            <v>46633</v>
          </cell>
          <cell r="E210">
            <v>4.2594155727483998E-3</v>
          </cell>
          <cell r="F210">
            <v>0.95011586845371399</v>
          </cell>
        </row>
        <row r="211">
          <cell r="A211" t="str">
            <v>CHF_LIBOR_6M_EOD</v>
          </cell>
          <cell r="C211">
            <v>47729</v>
          </cell>
          <cell r="E211">
            <v>5.6830678413035199E-3</v>
          </cell>
          <cell r="F211">
            <v>0.91820055941735901</v>
          </cell>
        </row>
        <row r="212">
          <cell r="A212" t="str">
            <v>CHF_LIBOR_6M_EOD</v>
          </cell>
          <cell r="C212">
            <v>49555</v>
          </cell>
          <cell r="E212">
            <v>7.1319308154814401E-3</v>
          </cell>
          <cell r="F212">
            <v>0.86694876973506796</v>
          </cell>
        </row>
        <row r="213">
          <cell r="A213" t="str">
            <v>CHF_LIBOR_6M_EOD</v>
          </cell>
          <cell r="C213">
            <v>51382</v>
          </cell>
          <cell r="E213">
            <v>7.7484390963109698E-3</v>
          </cell>
          <cell r="F213">
            <v>0.82373859802406602</v>
          </cell>
        </row>
        <row r="214">
          <cell r="A214" t="str">
            <v>CHF_LIBOR_6M_EOD</v>
          </cell>
          <cell r="C214">
            <v>53209</v>
          </cell>
          <cell r="E214">
            <v>8.0053617930018004E-3</v>
          </cell>
          <cell r="F214">
            <v>0.78631161272707994</v>
          </cell>
        </row>
        <row r="215">
          <cell r="A215" t="str">
            <v>CHF_LIBOR_6M_EOD</v>
          </cell>
          <cell r="C215">
            <v>56860</v>
          </cell>
          <cell r="E215">
            <v>7.9711075420369898E-3</v>
          </cell>
          <cell r="F215">
            <v>0.72679823894323203</v>
          </cell>
        </row>
        <row r="216">
          <cell r="A216" t="str">
            <v>CHF_LIBOR_EOD</v>
          </cell>
          <cell r="C216">
            <v>42249</v>
          </cell>
          <cell r="E216">
            <v>-7.8678625761820307E-3</v>
          </cell>
          <cell r="F216">
            <v>1.0000215560202099</v>
          </cell>
        </row>
        <row r="217">
          <cell r="A217" t="str">
            <v>CHF_LIBOR_EOD</v>
          </cell>
          <cell r="C217">
            <v>42250</v>
          </cell>
          <cell r="E217">
            <v>-7.8678625761728002E-3</v>
          </cell>
          <cell r="F217">
            <v>1.0000431125050799</v>
          </cell>
        </row>
        <row r="218">
          <cell r="A218" t="str">
            <v>CHF_LIBOR_EOD</v>
          </cell>
          <cell r="C218">
            <v>42257</v>
          </cell>
          <cell r="E218">
            <v>-8.0654336342791608E-3</v>
          </cell>
          <cell r="F218">
            <v>1.0001988934827399</v>
          </cell>
        </row>
        <row r="219">
          <cell r="A219" t="str">
            <v>CHF_LIBOR_EOD</v>
          </cell>
          <cell r="C219">
            <v>42354</v>
          </cell>
          <cell r="E219">
            <v>-7.5035342562502398E-3</v>
          </cell>
          <cell r="F219">
            <v>1.0021814845611501</v>
          </cell>
        </row>
        <row r="220">
          <cell r="A220" t="str">
            <v>CHF_LIBOR_EOD</v>
          </cell>
          <cell r="C220">
            <v>42445</v>
          </cell>
          <cell r="E220">
            <v>-7.5073687487977603E-3</v>
          </cell>
          <cell r="F220">
            <v>1.0040601424469</v>
          </cell>
        </row>
        <row r="221">
          <cell r="A221" t="str">
            <v>CHF_LIBOR_EOD</v>
          </cell>
          <cell r="C221">
            <v>42536</v>
          </cell>
          <cell r="E221">
            <v>-7.5418646218373799E-3</v>
          </cell>
          <cell r="F221">
            <v>1.0059685825560101</v>
          </cell>
        </row>
        <row r="222">
          <cell r="A222" t="str">
            <v>CHF_LIBOR_EOD</v>
          </cell>
          <cell r="C222">
            <v>42634</v>
          </cell>
          <cell r="E222">
            <v>-7.5358076362314697E-3</v>
          </cell>
          <cell r="F222">
            <v>1.0080012146424899</v>
          </cell>
        </row>
        <row r="223">
          <cell r="A223" t="str">
            <v>CHF_LIBOR_EOD</v>
          </cell>
          <cell r="C223">
            <v>42982</v>
          </cell>
          <cell r="E223">
            <v>-6.3071583761488102E-3</v>
          </cell>
          <cell r="F223">
            <v>1.0127642122184499</v>
          </cell>
        </row>
        <row r="224">
          <cell r="A224" t="str">
            <v>CHF_LIBOR_EOD</v>
          </cell>
          <cell r="C224">
            <v>43346</v>
          </cell>
          <cell r="E224">
            <v>-5.4911851873025701E-3</v>
          </cell>
          <cell r="F224">
            <v>1.01665587647422</v>
          </cell>
        </row>
        <row r="225">
          <cell r="A225" t="str">
            <v>CHF_LIBOR_EOD</v>
          </cell>
          <cell r="C225">
            <v>43711</v>
          </cell>
          <cell r="E225">
            <v>-4.3714615549685599E-3</v>
          </cell>
          <cell r="F225">
            <v>1.01767618286763</v>
          </cell>
        </row>
        <row r="226">
          <cell r="A226" t="str">
            <v>CHF_LIBOR_EOD</v>
          </cell>
          <cell r="C226">
            <v>44077</v>
          </cell>
          <cell r="E226">
            <v>-3.0322130630338799E-3</v>
          </cell>
          <cell r="F226">
            <v>1.0153103152184799</v>
          </cell>
        </row>
        <row r="227">
          <cell r="A227" t="str">
            <v>CHF_LIBOR_EOD</v>
          </cell>
          <cell r="C227">
            <v>44442</v>
          </cell>
          <cell r="E227">
            <v>-1.59629290052205E-3</v>
          </cell>
          <cell r="F227">
            <v>1.00964143303622</v>
          </cell>
        </row>
        <row r="228">
          <cell r="A228" t="str">
            <v>CHF_LIBOR_EOD</v>
          </cell>
          <cell r="C228">
            <v>44809</v>
          </cell>
          <cell r="E228">
            <v>-2.0421317076198999E-4</v>
          </cell>
          <cell r="F228">
            <v>1.00143387614294</v>
          </cell>
        </row>
        <row r="229">
          <cell r="A229" t="str">
            <v>CHF_LIBOR_EOD</v>
          </cell>
          <cell r="C229">
            <v>45173</v>
          </cell>
          <cell r="E229">
            <v>1.02038598263896E-3</v>
          </cell>
          <cell r="F229">
            <v>0.99185627551107503</v>
          </cell>
        </row>
        <row r="230">
          <cell r="A230" t="str">
            <v>CHF_LIBOR_EOD</v>
          </cell>
          <cell r="C230">
            <v>45538</v>
          </cell>
          <cell r="E230">
            <v>2.02270875884348E-3</v>
          </cell>
          <cell r="F230">
            <v>0.98193311183477805</v>
          </cell>
        </row>
        <row r="231">
          <cell r="A231" t="str">
            <v>CHF_LIBOR_EOD</v>
          </cell>
          <cell r="C231">
            <v>45903</v>
          </cell>
          <cell r="E231">
            <v>2.8881987090725201E-3</v>
          </cell>
          <cell r="F231">
            <v>0.97149267366248504</v>
          </cell>
        </row>
        <row r="232">
          <cell r="A232" t="str">
            <v>CHF_LIBOR_EOD</v>
          </cell>
          <cell r="C232">
            <v>46633</v>
          </cell>
          <cell r="E232">
            <v>4.2984995142625604E-3</v>
          </cell>
          <cell r="F232">
            <v>0.94966985320842501</v>
          </cell>
        </row>
        <row r="233">
          <cell r="A233" t="str">
            <v>CHF_LIBOR_EOD</v>
          </cell>
          <cell r="C233">
            <v>47729</v>
          </cell>
          <cell r="E233">
            <v>5.7264213624543901E-3</v>
          </cell>
          <cell r="F233">
            <v>0.91760299117556898</v>
          </cell>
        </row>
        <row r="234">
          <cell r="A234" t="str">
            <v>CHF_LIBOR_EOD</v>
          </cell>
          <cell r="C234">
            <v>49555</v>
          </cell>
          <cell r="E234">
            <v>7.1771710302072902E-3</v>
          </cell>
          <cell r="F234">
            <v>0.86616395402892798</v>
          </cell>
        </row>
        <row r="235">
          <cell r="A235" t="str">
            <v>CHF_LIBOR_EOD</v>
          </cell>
          <cell r="C235">
            <v>51382</v>
          </cell>
          <cell r="E235">
            <v>7.7906560240188303E-3</v>
          </cell>
          <cell r="F235">
            <v>0.822868807251948</v>
          </cell>
        </row>
        <row r="236">
          <cell r="A236" t="str">
            <v>CHF_LIBOR_EOD</v>
          </cell>
          <cell r="C236">
            <v>53209</v>
          </cell>
          <cell r="E236">
            <v>8.0433636139513893E-3</v>
          </cell>
          <cell r="F236">
            <v>0.78541478582874702</v>
          </cell>
        </row>
        <row r="237">
          <cell r="A237" t="str">
            <v>CHF_LIBOR_EOD</v>
          </cell>
          <cell r="C237">
            <v>56860</v>
          </cell>
          <cell r="E237">
            <v>7.9986244348962399E-3</v>
          </cell>
          <cell r="F237">
            <v>0.72599805307891396</v>
          </cell>
        </row>
        <row r="238">
          <cell r="A238" t="str">
            <v>CHF_TOIS_EOD</v>
          </cell>
          <cell r="C238">
            <v>42249</v>
          </cell>
          <cell r="E238">
            <v>-5.3229554799769704E-3</v>
          </cell>
          <cell r="F238">
            <v>1.0000145835460099</v>
          </cell>
        </row>
        <row r="239">
          <cell r="A239" t="str">
            <v>CHF_TOIS_EOD</v>
          </cell>
          <cell r="C239">
            <v>42250</v>
          </cell>
          <cell r="E239">
            <v>-5.3356292763684903E-3</v>
          </cell>
          <cell r="F239">
            <v>1.0000292367521899</v>
          </cell>
        </row>
        <row r="240">
          <cell r="A240" t="str">
            <v>CHF_TOIS_EOD</v>
          </cell>
          <cell r="C240">
            <v>42282</v>
          </cell>
          <cell r="E240">
            <v>-5.3964360658103998E-3</v>
          </cell>
          <cell r="F240">
            <v>1.0005028080813501</v>
          </cell>
        </row>
        <row r="241">
          <cell r="A241" t="str">
            <v>CHF_TOIS_EOD</v>
          </cell>
          <cell r="C241">
            <v>42311</v>
          </cell>
          <cell r="E241">
            <v>-5.5565239963923704E-3</v>
          </cell>
          <cell r="F241">
            <v>1.00095953132104</v>
          </cell>
        </row>
        <row r="242">
          <cell r="A242" t="str">
            <v>CHF_TOIS_EOD</v>
          </cell>
          <cell r="C242">
            <v>42341</v>
          </cell>
          <cell r="E242">
            <v>-5.5948771548313203E-3</v>
          </cell>
          <cell r="F242">
            <v>1.0014265606131001</v>
          </cell>
        </row>
        <row r="243">
          <cell r="A243" t="str">
            <v>CHF_TOIS_EOD</v>
          </cell>
          <cell r="C243">
            <v>42373</v>
          </cell>
          <cell r="E243">
            <v>-5.67099121004458E-3</v>
          </cell>
          <cell r="F243">
            <v>1.0019440074144801</v>
          </cell>
        </row>
        <row r="244">
          <cell r="A244" t="str">
            <v>CHF_TOIS_EOD</v>
          </cell>
          <cell r="C244">
            <v>42403</v>
          </cell>
          <cell r="E244">
            <v>-5.7364732752349101E-3</v>
          </cell>
          <cell r="F244">
            <v>1.0024390061443</v>
          </cell>
        </row>
        <row r="245">
          <cell r="A245" t="str">
            <v>CHF_TOIS_EOD</v>
          </cell>
          <cell r="C245">
            <v>42432</v>
          </cell>
          <cell r="E245">
            <v>-5.7134525208045904E-3</v>
          </cell>
          <cell r="F245">
            <v>1.0028843579811899</v>
          </cell>
        </row>
        <row r="246">
          <cell r="A246" t="str">
            <v>CHF_TOIS_EOD</v>
          </cell>
          <cell r="C246">
            <v>42464</v>
          </cell>
          <cell r="E246">
            <v>-5.72094853413113E-3</v>
          </cell>
          <cell r="F246">
            <v>1.003391285065</v>
          </cell>
        </row>
        <row r="247">
          <cell r="A247" t="str">
            <v>CHF_TOIS_EOD</v>
          </cell>
          <cell r="C247">
            <v>42493</v>
          </cell>
          <cell r="E247">
            <v>-5.7293975451703696E-3</v>
          </cell>
          <cell r="F247">
            <v>1.00385316441988</v>
          </cell>
        </row>
        <row r="248">
          <cell r="A248" t="str">
            <v>CHF_TOIS_EOD</v>
          </cell>
          <cell r="C248">
            <v>42524</v>
          </cell>
          <cell r="E248">
            <v>-5.7442065311877396E-3</v>
          </cell>
          <cell r="F248">
            <v>1.0043530113393699</v>
          </cell>
        </row>
        <row r="249">
          <cell r="A249" t="str">
            <v>CHF_TOIS_EOD</v>
          </cell>
          <cell r="C249">
            <v>42555</v>
          </cell>
          <cell r="E249">
            <v>-5.7762680597045202E-3</v>
          </cell>
          <cell r="F249">
            <v>1.00487021646567</v>
          </cell>
        </row>
        <row r="250">
          <cell r="A250" t="str">
            <v>CHF_TOIS_EOD</v>
          </cell>
          <cell r="C250">
            <v>42585</v>
          </cell>
          <cell r="E250">
            <v>-5.7445405719586101E-3</v>
          </cell>
          <cell r="F250">
            <v>1.0053179538710699</v>
          </cell>
        </row>
        <row r="251">
          <cell r="A251" t="str">
            <v>CHF_TOIS_EOD</v>
          </cell>
          <cell r="C251">
            <v>42618</v>
          </cell>
          <cell r="E251">
            <v>-5.8679662884227003E-3</v>
          </cell>
          <cell r="F251">
            <v>1.0059660759489799</v>
          </cell>
        </row>
        <row r="252">
          <cell r="A252" t="str">
            <v>CHF_TOIS_EOD</v>
          </cell>
          <cell r="C252">
            <v>42709</v>
          </cell>
          <cell r="E252">
            <v>-5.7965767450900603E-3</v>
          </cell>
          <cell r="F252">
            <v>1.0073480210169601</v>
          </cell>
        </row>
        <row r="253">
          <cell r="A253" t="str">
            <v>CHF_TOIS_EOD</v>
          </cell>
          <cell r="C253">
            <v>42797</v>
          </cell>
          <cell r="E253">
            <v>-5.7761838354640997E-3</v>
          </cell>
          <cell r="F253">
            <v>1.00872586381953</v>
          </cell>
        </row>
        <row r="254">
          <cell r="A254" t="str">
            <v>CHF_TOIS_EOD</v>
          </cell>
          <cell r="C254">
            <v>42892</v>
          </cell>
          <cell r="E254">
            <v>-5.69130378868126E-3</v>
          </cell>
          <cell r="F254">
            <v>1.0100922293266199</v>
          </cell>
        </row>
        <row r="255">
          <cell r="A255" t="str">
            <v>CHF_TOIS_EOD</v>
          </cell>
          <cell r="C255">
            <v>42982</v>
          </cell>
          <cell r="E255">
            <v>-5.6783223026968602E-3</v>
          </cell>
          <cell r="F255">
            <v>1.01148431698538</v>
          </cell>
        </row>
        <row r="256">
          <cell r="A256" t="str">
            <v>CHF_TOIS_EOD</v>
          </cell>
          <cell r="C256">
            <v>43346</v>
          </cell>
          <cell r="E256">
            <v>-5.1114854587404899E-3</v>
          </cell>
          <cell r="F256">
            <v>1.0154952947395499</v>
          </cell>
        </row>
        <row r="257">
          <cell r="A257" t="str">
            <v>CHF_TOIS_EOD</v>
          </cell>
          <cell r="C257">
            <v>43711</v>
          </cell>
          <cell r="E257">
            <v>-4.4533738722714001E-3</v>
          </cell>
          <cell r="F257">
            <v>1.0180103637342399</v>
          </cell>
        </row>
        <row r="258">
          <cell r="A258" t="str">
            <v>CHF_TOIS_EOD</v>
          </cell>
          <cell r="C258">
            <v>44077</v>
          </cell>
          <cell r="E258">
            <v>-3.5724261554921002E-3</v>
          </cell>
          <cell r="F258">
            <v>1.01806246896686</v>
          </cell>
        </row>
        <row r="259">
          <cell r="A259" t="str">
            <v>CHF_TOIS_EOD</v>
          </cell>
          <cell r="C259">
            <v>44442</v>
          </cell>
          <cell r="E259">
            <v>-2.4517832862454699E-3</v>
          </cell>
          <cell r="F259">
            <v>1.0148467020005401</v>
          </cell>
        </row>
        <row r="260">
          <cell r="A260" t="str">
            <v>CHF_TOIS_EOD</v>
          </cell>
          <cell r="C260">
            <v>44809</v>
          </cell>
          <cell r="E260">
            <v>-1.3070167868156799E-3</v>
          </cell>
          <cell r="F260">
            <v>1.0092127815287</v>
          </cell>
        </row>
        <row r="261">
          <cell r="A261" t="str">
            <v>CHF_TOIS_EOD</v>
          </cell>
          <cell r="C261">
            <v>45173</v>
          </cell>
          <cell r="E261">
            <v>-2.3410272109844E-4</v>
          </cell>
          <cell r="F261">
            <v>1.0018777894980899</v>
          </cell>
        </row>
        <row r="262">
          <cell r="A262" t="str">
            <v>CHF_TOIS_EOD</v>
          </cell>
          <cell r="C262">
            <v>45538</v>
          </cell>
          <cell r="E262">
            <v>6.8959861039492995E-4</v>
          </cell>
          <cell r="F262">
            <v>0.99380344428228695</v>
          </cell>
        </row>
        <row r="263">
          <cell r="A263" t="str">
            <v>CHF_TOIS_EOD</v>
          </cell>
          <cell r="C263">
            <v>45903</v>
          </cell>
          <cell r="E263">
            <v>1.5141885913556299E-3</v>
          </cell>
          <cell r="F263">
            <v>0.98495174562522703</v>
          </cell>
        </row>
        <row r="264">
          <cell r="A264" t="str">
            <v>CHF_TOIS_EOD</v>
          </cell>
          <cell r="C264">
            <v>46633</v>
          </cell>
          <cell r="E264">
            <v>2.9929839274792799E-3</v>
          </cell>
          <cell r="F264">
            <v>0.96468196017839303</v>
          </cell>
        </row>
        <row r="265">
          <cell r="A265" t="str">
            <v>CHF_TOIS_EOD</v>
          </cell>
          <cell r="C265">
            <v>47729</v>
          </cell>
          <cell r="E265">
            <v>4.5378981759140102E-3</v>
          </cell>
          <cell r="F265">
            <v>0.93412682015042603</v>
          </cell>
        </row>
        <row r="266">
          <cell r="A266" t="str">
            <v>CHF_TOIS_EOD</v>
          </cell>
          <cell r="C266">
            <v>49555</v>
          </cell>
          <cell r="E266">
            <v>6.0983775082711598E-3</v>
          </cell>
          <cell r="F266">
            <v>0.885073571889892</v>
          </cell>
        </row>
        <row r="267">
          <cell r="A267" t="str">
            <v>CHF_TOIS_EOD</v>
          </cell>
          <cell r="C267">
            <v>51382</v>
          </cell>
          <cell r="E267">
            <v>6.8360678028212699E-3</v>
          </cell>
          <cell r="F267">
            <v>0.84276236257707304</v>
          </cell>
        </row>
        <row r="268">
          <cell r="A268" t="str">
            <v>CHF_TOIS_EOD</v>
          </cell>
          <cell r="C268">
            <v>53209</v>
          </cell>
          <cell r="E268">
            <v>7.0824313998618703E-3</v>
          </cell>
          <cell r="F268">
            <v>0.80840962674218597</v>
          </cell>
        </row>
        <row r="269">
          <cell r="A269" t="str">
            <v>CHF_TOIS_EOD</v>
          </cell>
          <cell r="C269">
            <v>56860</v>
          </cell>
          <cell r="E269">
            <v>6.8894415720280799E-3</v>
          </cell>
          <cell r="F269">
            <v>0.758961547390266</v>
          </cell>
        </row>
        <row r="270">
          <cell r="A270" t="str">
            <v>CZK_PRIBOR_3M_EOD</v>
          </cell>
          <cell r="C270">
            <v>42341</v>
          </cell>
          <cell r="E270">
            <v>3.1418247318771202E-3</v>
          </cell>
          <cell r="F270">
            <v>0.99919980060422897</v>
          </cell>
        </row>
        <row r="271">
          <cell r="A271" t="str">
            <v>CZK_PRIBOR_3M_EOD</v>
          </cell>
          <cell r="C271">
            <v>42432</v>
          </cell>
          <cell r="E271">
            <v>3.1509937711797702E-3</v>
          </cell>
          <cell r="F271">
            <v>0.99841281473784604</v>
          </cell>
        </row>
        <row r="272">
          <cell r="A272" t="str">
            <v>CZK_PRIBOR_3M_EOD</v>
          </cell>
          <cell r="C272">
            <v>42524</v>
          </cell>
          <cell r="E272">
            <v>2.9953870937442801E-3</v>
          </cell>
          <cell r="F272">
            <v>0.99773755815305798</v>
          </cell>
        </row>
        <row r="273">
          <cell r="A273" t="str">
            <v>CZK_PRIBOR_3M_EOD</v>
          </cell>
          <cell r="C273">
            <v>42618</v>
          </cell>
          <cell r="E273">
            <v>2.86287842595986E-3</v>
          </cell>
          <cell r="F273">
            <v>0.99710211107107505</v>
          </cell>
        </row>
        <row r="274">
          <cell r="A274" t="str">
            <v>CZK_PRIBOR_3M_EOD</v>
          </cell>
          <cell r="C274">
            <v>42982</v>
          </cell>
          <cell r="E274">
            <v>2.6654057029416702E-3</v>
          </cell>
          <cell r="F274">
            <v>0.99465431795188097</v>
          </cell>
        </row>
        <row r="275">
          <cell r="A275" t="str">
            <v>CZK_PRIBOR_3M_EOD</v>
          </cell>
          <cell r="C275">
            <v>43346</v>
          </cell>
          <cell r="E275">
            <v>3.4722462257256899E-3</v>
          </cell>
          <cell r="F275">
            <v>0.98960908478405496</v>
          </cell>
        </row>
        <row r="276">
          <cell r="A276" t="str">
            <v>CZK_PRIBOR_3M_EOD</v>
          </cell>
          <cell r="C276">
            <v>43711</v>
          </cell>
          <cell r="E276">
            <v>4.5545284068134904E-3</v>
          </cell>
          <cell r="F276">
            <v>0.98191007503260797</v>
          </cell>
        </row>
        <row r="277">
          <cell r="A277" t="str">
            <v>CZK_PRIBOR_3M_EOD</v>
          </cell>
          <cell r="C277">
            <v>44077</v>
          </cell>
          <cell r="E277">
            <v>5.6843191570256999E-3</v>
          </cell>
          <cell r="F277">
            <v>0.97191795191591601</v>
          </cell>
        </row>
        <row r="278">
          <cell r="A278" t="str">
            <v>CZK_PRIBOR_3M_EOD</v>
          </cell>
          <cell r="C278">
            <v>44442</v>
          </cell>
          <cell r="E278">
            <v>6.7280112466933497E-3</v>
          </cell>
          <cell r="F278">
            <v>0.96036505698569197</v>
          </cell>
        </row>
        <row r="279">
          <cell r="A279" t="str">
            <v>CZK_PRIBOR_3M_EOD</v>
          </cell>
          <cell r="C279">
            <v>44809</v>
          </cell>
          <cell r="E279">
            <v>7.6835752654384297E-3</v>
          </cell>
          <cell r="F279">
            <v>0.94751611694214599</v>
          </cell>
        </row>
        <row r="280">
          <cell r="A280" t="str">
            <v>CZK_PRIBOR_3M_EOD</v>
          </cell>
          <cell r="C280">
            <v>45173</v>
          </cell>
          <cell r="E280">
            <v>8.7073515349829697E-3</v>
          </cell>
          <cell r="F280">
            <v>0.93260074938161397</v>
          </cell>
        </row>
        <row r="281">
          <cell r="A281" t="str">
            <v>CZK_PRIBOR_3M_EOD</v>
          </cell>
          <cell r="C281">
            <v>45538</v>
          </cell>
          <cell r="E281">
            <v>9.7615120354940608E-3</v>
          </cell>
          <cell r="F281">
            <v>0.91577248162784797</v>
          </cell>
        </row>
        <row r="282">
          <cell r="A282" t="str">
            <v>CZK_PRIBOR_3M_EOD</v>
          </cell>
          <cell r="C282">
            <v>45903</v>
          </cell>
          <cell r="E282">
            <v>1.07038144443666E-2</v>
          </cell>
          <cell r="F282">
            <v>0.898359665907004</v>
          </cell>
        </row>
        <row r="283">
          <cell r="A283" t="str">
            <v>CZK_PRIBOR_3M_EOD</v>
          </cell>
          <cell r="C283">
            <v>46633</v>
          </cell>
          <cell r="E283">
            <v>1.2142335140961601E-2</v>
          </cell>
          <cell r="F283">
            <v>0.86426628705773301</v>
          </cell>
        </row>
        <row r="284">
          <cell r="A284" t="str">
            <v>CZK_PRIBOR_3M_EOD</v>
          </cell>
          <cell r="C284">
            <v>47729</v>
          </cell>
          <cell r="E284">
            <v>1.40031776509789E-2</v>
          </cell>
          <cell r="F284">
            <v>0.81035905319298196</v>
          </cell>
        </row>
        <row r="285">
          <cell r="A285" t="str">
            <v>CZK_PRIBOR_3M_EOD</v>
          </cell>
          <cell r="C285">
            <v>49555</v>
          </cell>
          <cell r="E285">
            <v>1.5852354621053801E-2</v>
          </cell>
          <cell r="F285">
            <v>0.72807507567094798</v>
          </cell>
        </row>
        <row r="286">
          <cell r="A286" t="str">
            <v>CZK_PRIBOR_3M_EOD</v>
          </cell>
          <cell r="C286">
            <v>51382</v>
          </cell>
          <cell r="E286">
            <v>1.58593665970185E-2</v>
          </cell>
          <cell r="F286">
            <v>0.67241792618574203</v>
          </cell>
        </row>
        <row r="287">
          <cell r="A287" t="str">
            <v>CZK_PRIBOR_3M_EOD</v>
          </cell>
          <cell r="C287">
            <v>53209</v>
          </cell>
          <cell r="E287">
            <v>1.58938745417684E-2</v>
          </cell>
          <cell r="F287">
            <v>0.62045932421072703</v>
          </cell>
        </row>
        <row r="288">
          <cell r="A288" t="str">
            <v>CZK_PRIBOR_6M_EOD</v>
          </cell>
          <cell r="C288">
            <v>42432</v>
          </cell>
          <cell r="E288">
            <v>3.9502736336967702E-3</v>
          </cell>
          <cell r="F288">
            <v>0.99801061064528995</v>
          </cell>
        </row>
        <row r="289">
          <cell r="A289" t="str">
            <v>CZK_PRIBOR_6M_EOD</v>
          </cell>
          <cell r="C289">
            <v>42618</v>
          </cell>
          <cell r="E289">
            <v>3.6704281479188298E-3</v>
          </cell>
          <cell r="F289">
            <v>0.996286205271667</v>
          </cell>
        </row>
        <row r="290">
          <cell r="A290" t="str">
            <v>CZK_PRIBOR_6M_EOD</v>
          </cell>
          <cell r="C290">
            <v>42797</v>
          </cell>
          <cell r="E290">
            <v>3.5199977185226298E-3</v>
          </cell>
          <cell r="F290">
            <v>0.99471952864137303</v>
          </cell>
        </row>
        <row r="291">
          <cell r="A291" t="str">
            <v>CZK_PRIBOR_6M_EOD</v>
          </cell>
          <cell r="C291">
            <v>42982</v>
          </cell>
          <cell r="E291">
            <v>3.5930482419348499E-3</v>
          </cell>
          <cell r="F291">
            <v>0.992800568613184</v>
          </cell>
        </row>
        <row r="292">
          <cell r="A292" t="str">
            <v>CZK_PRIBOR_6M_EOD</v>
          </cell>
          <cell r="C292">
            <v>43346</v>
          </cell>
          <cell r="E292">
            <v>4.40188737353362E-3</v>
          </cell>
          <cell r="F292">
            <v>0.98684544546604702</v>
          </cell>
        </row>
        <row r="293">
          <cell r="A293" t="str">
            <v>CZK_PRIBOR_6M_EOD</v>
          </cell>
          <cell r="C293">
            <v>43711</v>
          </cell>
          <cell r="E293">
            <v>5.5512702509446102E-3</v>
          </cell>
          <cell r="F293">
            <v>0.97799501325405502</v>
          </cell>
        </row>
        <row r="294">
          <cell r="A294" t="str">
            <v>CZK_PRIBOR_6M_EOD</v>
          </cell>
          <cell r="C294">
            <v>44077</v>
          </cell>
          <cell r="E294">
            <v>6.7571195771162799E-3</v>
          </cell>
          <cell r="F294">
            <v>0.96670717390779604</v>
          </cell>
        </row>
        <row r="295">
          <cell r="A295" t="str">
            <v>CZK_PRIBOR_6M_EOD</v>
          </cell>
          <cell r="C295">
            <v>44442</v>
          </cell>
          <cell r="E295">
            <v>7.8532577227686008E-3</v>
          </cell>
          <cell r="F295">
            <v>0.95389124838542105</v>
          </cell>
        </row>
        <row r="296">
          <cell r="A296" t="str">
            <v>CZK_PRIBOR_6M_EOD</v>
          </cell>
          <cell r="C296">
            <v>44809</v>
          </cell>
          <cell r="E296">
            <v>8.8910012583646499E-3</v>
          </cell>
          <cell r="F296">
            <v>0.93952282813063703</v>
          </cell>
        </row>
        <row r="297">
          <cell r="A297" t="str">
            <v>CZK_PRIBOR_6M_EOD</v>
          </cell>
          <cell r="C297">
            <v>45173</v>
          </cell>
          <cell r="E297">
            <v>9.9552295356414699E-3</v>
          </cell>
          <cell r="F297">
            <v>0.92332110772047504</v>
          </cell>
        </row>
        <row r="298">
          <cell r="A298" t="str">
            <v>CZK_PRIBOR_6M_EOD</v>
          </cell>
          <cell r="C298">
            <v>45538</v>
          </cell>
          <cell r="E298">
            <v>1.10822923712127E-2</v>
          </cell>
          <cell r="F298">
            <v>0.90493474435667998</v>
          </cell>
        </row>
        <row r="299">
          <cell r="A299" t="str">
            <v>CZK_PRIBOR_6M_EOD</v>
          </cell>
          <cell r="C299">
            <v>45903</v>
          </cell>
          <cell r="E299">
            <v>1.19781548173549E-2</v>
          </cell>
          <cell r="F299">
            <v>0.88696865768713096</v>
          </cell>
        </row>
        <row r="300">
          <cell r="A300" t="str">
            <v>CZK_PRIBOR_6M_EOD</v>
          </cell>
          <cell r="C300">
            <v>46633</v>
          </cell>
          <cell r="E300">
            <v>1.34677905181285E-2</v>
          </cell>
          <cell r="F300">
            <v>0.85061303100600605</v>
          </cell>
        </row>
        <row r="301">
          <cell r="A301" t="str">
            <v>CZK_PRIBOR_6M_EOD</v>
          </cell>
          <cell r="C301">
            <v>47729</v>
          </cell>
          <cell r="E301">
            <v>1.52122265774573E-2</v>
          </cell>
          <cell r="F301">
            <v>0.79577924447682102</v>
          </cell>
        </row>
        <row r="302">
          <cell r="A302" t="str">
            <v>CZK_PRIBOR_6M_EOD</v>
          </cell>
          <cell r="C302">
            <v>49555</v>
          </cell>
          <cell r="E302">
            <v>1.68745689344574E-2</v>
          </cell>
          <cell r="F302">
            <v>0.71332724083301202</v>
          </cell>
        </row>
        <row r="303">
          <cell r="A303" t="str">
            <v>CZK_PRIBOR_6M_EOD</v>
          </cell>
          <cell r="C303">
            <v>51382</v>
          </cell>
          <cell r="E303">
            <v>1.6727707701617901E-2</v>
          </cell>
          <cell r="F303">
            <v>0.657963936726084</v>
          </cell>
        </row>
        <row r="304">
          <cell r="A304" t="str">
            <v>CZK_PRIBOR_6M_EOD</v>
          </cell>
          <cell r="C304">
            <v>53209</v>
          </cell>
          <cell r="E304">
            <v>1.6656408158517599E-2</v>
          </cell>
          <cell r="F304">
            <v>0.60641287155507695</v>
          </cell>
        </row>
        <row r="305">
          <cell r="A305" t="str">
            <v>CZK_PRIBOR_EOD</v>
          </cell>
          <cell r="C305">
            <v>42249</v>
          </cell>
          <cell r="E305">
            <v>1.4194416844029499E-3</v>
          </cell>
          <cell r="F305">
            <v>0.99999611112623399</v>
          </cell>
        </row>
        <row r="306">
          <cell r="A306" t="str">
            <v>CZK_PRIBOR_EOD</v>
          </cell>
          <cell r="C306">
            <v>42250</v>
          </cell>
          <cell r="E306">
            <v>1.4194416844152901E-3</v>
          </cell>
          <cell r="F306">
            <v>0.99999222226759199</v>
          </cell>
        </row>
        <row r="307">
          <cell r="A307" t="str">
            <v>CZK_PRIBOR_EOD</v>
          </cell>
          <cell r="C307">
            <v>42257</v>
          </cell>
          <cell r="E307">
            <v>1.4982846059457999E-3</v>
          </cell>
          <cell r="F307">
            <v>0.99996305667843899</v>
          </cell>
        </row>
        <row r="308">
          <cell r="A308" t="str">
            <v>CZK_PRIBOR_EOD</v>
          </cell>
          <cell r="C308">
            <v>42282</v>
          </cell>
          <cell r="E308">
            <v>2.1826377322307902E-3</v>
          </cell>
          <cell r="F308">
            <v>0.99979670646721697</v>
          </cell>
        </row>
        <row r="309">
          <cell r="A309" t="str">
            <v>CZK_PRIBOR_EOD</v>
          </cell>
          <cell r="C309">
            <v>42311</v>
          </cell>
          <cell r="E309">
            <v>2.4006673561561601E-3</v>
          </cell>
          <cell r="F309">
            <v>0.99958572407313595</v>
          </cell>
        </row>
        <row r="310">
          <cell r="A310" t="str">
            <v>CZK_PRIBOR_EOD</v>
          </cell>
          <cell r="C310">
            <v>42341</v>
          </cell>
          <cell r="E310">
            <v>3.1047842362323498E-3</v>
          </cell>
          <cell r="F310">
            <v>0.99920923081200297</v>
          </cell>
        </row>
        <row r="311">
          <cell r="A311" t="str">
            <v>CZK_PRIBOR_EOD</v>
          </cell>
          <cell r="C311">
            <v>42432</v>
          </cell>
          <cell r="E311">
            <v>3.13227221631599E-3</v>
          </cell>
          <cell r="F311">
            <v>0.998422237518237</v>
          </cell>
        </row>
        <row r="312">
          <cell r="A312" t="str">
            <v>CZK_PRIBOR_EOD</v>
          </cell>
          <cell r="C312">
            <v>42524</v>
          </cell>
          <cell r="E312">
            <v>2.9829060571693001E-3</v>
          </cell>
          <cell r="F312">
            <v>0.99774697456053896</v>
          </cell>
        </row>
        <row r="313">
          <cell r="A313" t="str">
            <v>CZK_PRIBOR_EOD</v>
          </cell>
          <cell r="C313">
            <v>42618</v>
          </cell>
          <cell r="E313">
            <v>2.8535682473259101E-3</v>
          </cell>
          <cell r="F313">
            <v>0.99711152148135795</v>
          </cell>
        </row>
        <row r="314">
          <cell r="A314" t="str">
            <v>CZK_PRIBOR_EOD</v>
          </cell>
          <cell r="C314">
            <v>42982</v>
          </cell>
          <cell r="E314">
            <v>3.5882349194965601E-3</v>
          </cell>
          <cell r="F314">
            <v>0.992810178367178</v>
          </cell>
        </row>
        <row r="315">
          <cell r="A315" t="str">
            <v>CZK_PRIBOR_EOD</v>
          </cell>
          <cell r="C315">
            <v>43346</v>
          </cell>
          <cell r="E315">
            <v>4.3999526075568897E-3</v>
          </cell>
          <cell r="F315">
            <v>0.98685118912073799</v>
          </cell>
        </row>
        <row r="316">
          <cell r="A316" t="str">
            <v>CZK_PRIBOR_EOD</v>
          </cell>
          <cell r="C316">
            <v>43711</v>
          </cell>
          <cell r="E316">
            <v>5.5503408344006102E-3</v>
          </cell>
          <cell r="F316">
            <v>0.97799865659076601</v>
          </cell>
        </row>
        <row r="317">
          <cell r="A317" t="str">
            <v>CZK_PRIBOR_EOD</v>
          </cell>
          <cell r="C317">
            <v>44077</v>
          </cell>
          <cell r="E317">
            <v>6.75636604289645E-3</v>
          </cell>
          <cell r="F317">
            <v>0.96671082413234799</v>
          </cell>
        </row>
        <row r="318">
          <cell r="A318" t="str">
            <v>CZK_PRIBOR_EOD</v>
          </cell>
          <cell r="C318">
            <v>44442</v>
          </cell>
          <cell r="E318">
            <v>7.8526320200833204E-3</v>
          </cell>
          <cell r="F318">
            <v>0.95389483604690795</v>
          </cell>
        </row>
        <row r="319">
          <cell r="A319" t="str">
            <v>CZK_PRIBOR_EOD</v>
          </cell>
          <cell r="C319">
            <v>44809</v>
          </cell>
          <cell r="E319">
            <v>8.8904651536955304E-3</v>
          </cell>
          <cell r="F319">
            <v>0.93952636219502195</v>
          </cell>
        </row>
        <row r="320">
          <cell r="A320" t="str">
            <v>CZK_PRIBOR_EOD</v>
          </cell>
          <cell r="C320">
            <v>45173</v>
          </cell>
          <cell r="E320">
            <v>9.9555104944149507E-3</v>
          </cell>
          <cell r="F320">
            <v>0.92331902884785499</v>
          </cell>
        </row>
        <row r="321">
          <cell r="A321" t="str">
            <v>CZK_PRIBOR_EOD</v>
          </cell>
          <cell r="C321">
            <v>45538</v>
          </cell>
          <cell r="E321">
            <v>1.10825402589403E-2</v>
          </cell>
          <cell r="F321">
            <v>0.90493272238607503</v>
          </cell>
        </row>
        <row r="322">
          <cell r="A322" t="str">
            <v>CZK_PRIBOR_EOD</v>
          </cell>
          <cell r="C322">
            <v>45903</v>
          </cell>
          <cell r="E322">
            <v>1.1978378133235001E-2</v>
          </cell>
          <cell r="F322">
            <v>0.886966674234139</v>
          </cell>
        </row>
        <row r="323">
          <cell r="A323" t="str">
            <v>CZK_PRIBOR_EOD</v>
          </cell>
          <cell r="C323">
            <v>46633</v>
          </cell>
          <cell r="E323">
            <v>1.3467976594814499E-2</v>
          </cell>
          <cell r="F323">
            <v>0.85061112948887596</v>
          </cell>
        </row>
        <row r="324">
          <cell r="A324" t="str">
            <v>CZK_PRIBOR_EOD</v>
          </cell>
          <cell r="C324">
            <v>47729</v>
          </cell>
          <cell r="E324">
            <v>1.5212499271745601E-2</v>
          </cell>
          <cell r="F324">
            <v>0.79577598584947595</v>
          </cell>
        </row>
        <row r="325">
          <cell r="A325" t="str">
            <v>CZK_PRIBOR_EOD</v>
          </cell>
          <cell r="C325">
            <v>49555</v>
          </cell>
          <cell r="E325">
            <v>1.6874605113032001E-2</v>
          </cell>
          <cell r="F325">
            <v>0.71332672419501097</v>
          </cell>
        </row>
        <row r="326">
          <cell r="A326" t="str">
            <v>CZK_PRIBOR_EOD</v>
          </cell>
          <cell r="C326">
            <v>51382</v>
          </cell>
          <cell r="E326">
            <v>1.6727774106996902E-2</v>
          </cell>
          <cell r="F326">
            <v>0.65796284334103405</v>
          </cell>
        </row>
        <row r="327">
          <cell r="A327" t="str">
            <v>CZK_PRIBOR_EOD</v>
          </cell>
          <cell r="C327">
            <v>53209</v>
          </cell>
          <cell r="E327">
            <v>1.6656502355136198E-2</v>
          </cell>
          <cell r="F327">
            <v>0.60641115617475705</v>
          </cell>
        </row>
        <row r="328">
          <cell r="A328" t="str">
            <v>DKK_CIBOR_3M_EOD</v>
          </cell>
          <cell r="C328">
            <v>42341</v>
          </cell>
          <cell r="E328">
            <v>-6.5908192467168997E-4</v>
          </cell>
          <cell r="F328">
            <v>1.0001679445641101</v>
          </cell>
        </row>
        <row r="329">
          <cell r="A329" t="str">
            <v>DKK_CIBOR_3M_EOD</v>
          </cell>
          <cell r="C329">
            <v>42354</v>
          </cell>
          <cell r="E329">
            <v>-2.7823426274375002E-4</v>
          </cell>
          <cell r="F329">
            <v>1.0000808055436401</v>
          </cell>
        </row>
        <row r="330">
          <cell r="A330" t="str">
            <v>DKK_CIBOR_3M_EOD</v>
          </cell>
          <cell r="C330">
            <v>42445</v>
          </cell>
          <cell r="E330">
            <v>1.1254461594626001E-4</v>
          </cell>
          <cell r="F330">
            <v>0.99993925858636501</v>
          </cell>
        </row>
        <row r="331">
          <cell r="A331" t="str">
            <v>DKK_CIBOR_3M_EOD</v>
          </cell>
          <cell r="C331">
            <v>42536</v>
          </cell>
          <cell r="E331">
            <v>4.1331777274341002E-4</v>
          </cell>
          <cell r="F331">
            <v>0.99967392846452596</v>
          </cell>
        </row>
        <row r="332">
          <cell r="A332" t="str">
            <v>DKK_CIBOR_3M_EOD</v>
          </cell>
          <cell r="C332">
            <v>42634</v>
          </cell>
          <cell r="E332">
            <v>6.9184859386966005E-4</v>
          </cell>
          <cell r="F332">
            <v>0.99926861401175404</v>
          </cell>
        </row>
        <row r="333">
          <cell r="A333" t="str">
            <v>DKK_CIBOR_3M_EOD</v>
          </cell>
          <cell r="C333">
            <v>42725</v>
          </cell>
          <cell r="E333">
            <v>9.4178043416529998E-4</v>
          </cell>
          <cell r="F333">
            <v>0.99876999196542304</v>
          </cell>
        </row>
        <row r="334">
          <cell r="A334" t="str">
            <v>DKK_CIBOR_3M_EOD</v>
          </cell>
          <cell r="C334">
            <v>42809</v>
          </cell>
          <cell r="E334">
            <v>1.18018512760609E-3</v>
          </cell>
          <cell r="F334">
            <v>0.99818771579957399</v>
          </cell>
        </row>
        <row r="335">
          <cell r="A335" t="str">
            <v>DKK_CIBOR_3M_EOD</v>
          </cell>
          <cell r="C335">
            <v>42982</v>
          </cell>
          <cell r="E335">
            <v>1.61733955574393E-3</v>
          </cell>
          <cell r="F335">
            <v>0.99675287995388595</v>
          </cell>
        </row>
        <row r="336">
          <cell r="A336" t="str">
            <v>DKK_CIBOR_3M_EOD</v>
          </cell>
          <cell r="C336">
            <v>43346</v>
          </cell>
          <cell r="E336">
            <v>2.9603022576651199E-3</v>
          </cell>
          <cell r="F336">
            <v>0.99113429616687598</v>
          </cell>
        </row>
        <row r="337">
          <cell r="A337" t="str">
            <v>DKK_CIBOR_3M_EOD</v>
          </cell>
          <cell r="C337">
            <v>43711</v>
          </cell>
          <cell r="E337">
            <v>4.6766588947761301E-3</v>
          </cell>
          <cell r="F337">
            <v>0.98142952238391801</v>
          </cell>
        </row>
        <row r="338">
          <cell r="A338" t="str">
            <v>DKK_CIBOR_3M_EOD</v>
          </cell>
          <cell r="C338">
            <v>44077</v>
          </cell>
          <cell r="E338">
            <v>6.3886764315125499E-3</v>
          </cell>
          <cell r="F338">
            <v>0.96849360897202896</v>
          </cell>
        </row>
        <row r="339">
          <cell r="A339" t="str">
            <v>DKK_CIBOR_3M_EOD</v>
          </cell>
          <cell r="C339">
            <v>44442</v>
          </cell>
          <cell r="E339">
            <v>7.9904132115780901E-3</v>
          </cell>
          <cell r="F339">
            <v>0.95310515018212705</v>
          </cell>
        </row>
        <row r="340">
          <cell r="A340" t="str">
            <v>DKK_CIBOR_3M_EOD</v>
          </cell>
          <cell r="C340">
            <v>44809</v>
          </cell>
          <cell r="E340">
            <v>9.5628683385207292E-3</v>
          </cell>
          <cell r="F340">
            <v>0.93510423352090599</v>
          </cell>
        </row>
        <row r="341">
          <cell r="A341" t="str">
            <v>DKK_CIBOR_3M_EOD</v>
          </cell>
          <cell r="C341">
            <v>45173</v>
          </cell>
          <cell r="E341">
            <v>1.1063507111737999E-2</v>
          </cell>
          <cell r="F341">
            <v>0.91515702923037801</v>
          </cell>
        </row>
        <row r="342">
          <cell r="A342" t="str">
            <v>DKK_CIBOR_3M_EOD</v>
          </cell>
          <cell r="C342">
            <v>45538</v>
          </cell>
          <cell r="E342">
            <v>1.24500227499941E-2</v>
          </cell>
          <cell r="F342">
            <v>0.89384691632493596</v>
          </cell>
        </row>
        <row r="343">
          <cell r="A343" t="str">
            <v>DKK_CIBOR_3M_EOD</v>
          </cell>
          <cell r="C343">
            <v>45903</v>
          </cell>
          <cell r="E343">
            <v>1.3667590405855801E-2</v>
          </cell>
          <cell r="F343">
            <v>0.87208957970982703</v>
          </cell>
        </row>
        <row r="344">
          <cell r="A344" t="str">
            <v>DKK_CIBOR_3M_EOD</v>
          </cell>
          <cell r="C344">
            <v>46633</v>
          </cell>
          <cell r="E344">
            <v>1.5616704160193199E-2</v>
          </cell>
          <cell r="F344">
            <v>0.82893430142731395</v>
          </cell>
        </row>
        <row r="345">
          <cell r="A345" t="str">
            <v>DKK_CIBOR_3M_EOD</v>
          </cell>
          <cell r="C345">
            <v>47729</v>
          </cell>
          <cell r="E345">
            <v>1.7666018634837601E-2</v>
          </cell>
          <cell r="F345">
            <v>0.76699064095895597</v>
          </cell>
        </row>
        <row r="346">
          <cell r="A346" t="str">
            <v>DKK_CIBOR_3M_EOD</v>
          </cell>
          <cell r="C346">
            <v>49555</v>
          </cell>
          <cell r="E346">
            <v>1.92695471812841E-2</v>
          </cell>
          <cell r="F346">
            <v>0.67993335254043397</v>
          </cell>
        </row>
        <row r="347">
          <cell r="A347" t="str">
            <v>DKK_CIBOR_3M_EOD</v>
          </cell>
          <cell r="C347">
            <v>51382</v>
          </cell>
          <cell r="E347">
            <v>1.9509264180623601E-2</v>
          </cell>
          <cell r="F347">
            <v>0.61372234812168902</v>
          </cell>
        </row>
        <row r="348">
          <cell r="A348" t="str">
            <v>DKK_CIBOR_3M_EOD</v>
          </cell>
          <cell r="C348">
            <v>53209</v>
          </cell>
          <cell r="E348">
            <v>1.9495204088900101E-2</v>
          </cell>
          <cell r="F348">
            <v>0.556858756968032</v>
          </cell>
        </row>
        <row r="349">
          <cell r="A349" t="str">
            <v>DKK_CIBOR_6M_EOD</v>
          </cell>
          <cell r="C349">
            <v>42432</v>
          </cell>
          <cell r="E349">
            <v>1.5962395814196301E-3</v>
          </cell>
          <cell r="F349">
            <v>0.99919564398847105</v>
          </cell>
        </row>
        <row r="350">
          <cell r="A350" t="str">
            <v>DKK_CIBOR_6M_EOD</v>
          </cell>
          <cell r="C350">
            <v>42618</v>
          </cell>
          <cell r="E350">
            <v>2.2139746142770399E-3</v>
          </cell>
          <cell r="F350">
            <v>0.99775821353140604</v>
          </cell>
        </row>
        <row r="351">
          <cell r="A351" t="str">
            <v>DKK_CIBOR_6M_EOD</v>
          </cell>
          <cell r="C351">
            <v>42982</v>
          </cell>
          <cell r="E351">
            <v>3.2243391249401E-3</v>
          </cell>
          <cell r="F351">
            <v>0.99353696238179801</v>
          </cell>
        </row>
        <row r="352">
          <cell r="A352" t="str">
            <v>DKK_CIBOR_6M_EOD</v>
          </cell>
          <cell r="C352">
            <v>43346</v>
          </cell>
          <cell r="E352">
            <v>4.4776733570087201E-3</v>
          </cell>
          <cell r="F352">
            <v>0.98662048924746604</v>
          </cell>
        </row>
        <row r="353">
          <cell r="A353" t="str">
            <v>DKK_CIBOR_6M_EOD</v>
          </cell>
          <cell r="C353">
            <v>43711</v>
          </cell>
          <cell r="E353">
            <v>6.1161910990880199E-3</v>
          </cell>
          <cell r="F353">
            <v>0.97578301843719095</v>
          </cell>
        </row>
        <row r="354">
          <cell r="A354" t="str">
            <v>DKK_CIBOR_6M_EOD</v>
          </cell>
          <cell r="C354">
            <v>44077</v>
          </cell>
          <cell r="E354">
            <v>7.7736849957387496E-3</v>
          </cell>
          <cell r="F354">
            <v>0.96179531998052803</v>
          </cell>
        </row>
        <row r="355">
          <cell r="A355" t="str">
            <v>DKK_CIBOR_6M_EOD</v>
          </cell>
          <cell r="C355">
            <v>44442</v>
          </cell>
          <cell r="E355">
            <v>9.3204923352101007E-3</v>
          </cell>
          <cell r="F355">
            <v>0.94551540656639099</v>
          </cell>
        </row>
        <row r="356">
          <cell r="A356" t="str">
            <v>DKK_CIBOR_6M_EOD</v>
          </cell>
          <cell r="C356">
            <v>44809</v>
          </cell>
          <cell r="E356">
            <v>1.08385788685262E-2</v>
          </cell>
          <cell r="F356">
            <v>0.92677151609651998</v>
          </cell>
        </row>
        <row r="357">
          <cell r="A357" t="str">
            <v>DKK_CIBOR_6M_EOD</v>
          </cell>
          <cell r="C357">
            <v>45173</v>
          </cell>
          <cell r="E357">
            <v>1.22842178611844E-2</v>
          </cell>
          <cell r="F357">
            <v>0.90624823550285705</v>
          </cell>
        </row>
        <row r="358">
          <cell r="A358" t="str">
            <v>DKK_CIBOR_6M_EOD</v>
          </cell>
          <cell r="C358">
            <v>45538</v>
          </cell>
          <cell r="E358">
            <v>1.36107624828008E-2</v>
          </cell>
          <cell r="F358">
            <v>0.88454374335334096</v>
          </cell>
        </row>
        <row r="359">
          <cell r="A359" t="str">
            <v>DKK_CIBOR_6M_EOD</v>
          </cell>
          <cell r="C359">
            <v>45903</v>
          </cell>
          <cell r="E359">
            <v>1.4766155736565201E-2</v>
          </cell>
          <cell r="F359">
            <v>0.86254855718859302</v>
          </cell>
        </row>
        <row r="360">
          <cell r="A360" t="str">
            <v>DKK_CIBOR_6M_EOD</v>
          </cell>
          <cell r="C360">
            <v>46633</v>
          </cell>
          <cell r="E360">
            <v>1.6579391920576E-2</v>
          </cell>
          <cell r="F360">
            <v>0.81940253675541097</v>
          </cell>
        </row>
        <row r="361">
          <cell r="A361" t="str">
            <v>DKK_CIBOR_6M_EOD</v>
          </cell>
          <cell r="C361">
            <v>47729</v>
          </cell>
          <cell r="E361">
            <v>1.8469564627162299E-2</v>
          </cell>
          <cell r="F361">
            <v>0.75779143820318895</v>
          </cell>
        </row>
        <row r="362">
          <cell r="A362" t="str">
            <v>DKK_CIBOR_6M_EOD</v>
          </cell>
          <cell r="C362">
            <v>49555</v>
          </cell>
          <cell r="E362">
            <v>1.9907182494667799E-2</v>
          </cell>
          <cell r="F362">
            <v>0.67130920799121196</v>
          </cell>
        </row>
        <row r="363">
          <cell r="A363" t="str">
            <v>DKK_CIBOR_6M_EOD</v>
          </cell>
          <cell r="C363">
            <v>51382</v>
          </cell>
          <cell r="E363">
            <v>2.0041777933231499E-2</v>
          </cell>
          <cell r="F363">
            <v>0.60559815153136998</v>
          </cell>
        </row>
        <row r="364">
          <cell r="A364" t="str">
            <v>DKK_CIBOR_6M_EOD</v>
          </cell>
          <cell r="C364">
            <v>53209</v>
          </cell>
          <cell r="E364">
            <v>1.9955364745462299E-2</v>
          </cell>
          <cell r="F364">
            <v>0.54921662353080802</v>
          </cell>
        </row>
        <row r="365">
          <cell r="A365" t="str">
            <v>DKK_CIBOR_EOD</v>
          </cell>
          <cell r="C365">
            <v>42249</v>
          </cell>
          <cell r="E365">
            <v>-4.13973180909296E-3</v>
          </cell>
          <cell r="F365">
            <v>1.0000113417953</v>
          </cell>
        </row>
        <row r="366">
          <cell r="A366" t="str">
            <v>DKK_CIBOR_EOD</v>
          </cell>
          <cell r="C366">
            <v>42250</v>
          </cell>
          <cell r="E366">
            <v>-1.7570814503953299E-3</v>
          </cell>
          <cell r="F366">
            <v>1.00000962788991</v>
          </cell>
        </row>
        <row r="367">
          <cell r="A367" t="str">
            <v>DKK_CIBOR_EOD</v>
          </cell>
          <cell r="C367">
            <v>42257</v>
          </cell>
          <cell r="E367">
            <v>-3.24916669024806E-3</v>
          </cell>
          <cell r="F367">
            <v>1.00008011964835</v>
          </cell>
        </row>
        <row r="368">
          <cell r="A368" t="str">
            <v>DKK_CIBOR_EOD</v>
          </cell>
          <cell r="C368">
            <v>42354</v>
          </cell>
          <cell r="E368">
            <v>-7.3196839905971002E-4</v>
          </cell>
          <cell r="F368">
            <v>1.0002125942396101</v>
          </cell>
        </row>
        <row r="369">
          <cell r="A369" t="str">
            <v>DKK_CIBOR_EOD</v>
          </cell>
          <cell r="C369">
            <v>42445</v>
          </cell>
          <cell r="E369">
            <v>-1.3159659445678999E-4</v>
          </cell>
          <cell r="F369">
            <v>1.00007102862956</v>
          </cell>
        </row>
        <row r="370">
          <cell r="A370" t="str">
            <v>DKK_CIBOR_EOD</v>
          </cell>
          <cell r="C370">
            <v>42536</v>
          </cell>
          <cell r="E370">
            <v>2.4631840313710002E-4</v>
          </cell>
          <cell r="F370">
            <v>0.99980566354302702</v>
          </cell>
        </row>
        <row r="371">
          <cell r="A371" t="str">
            <v>DKK_CIBOR_EOD</v>
          </cell>
          <cell r="C371">
            <v>42634</v>
          </cell>
          <cell r="E371">
            <v>5.6724802799817996E-4</v>
          </cell>
          <cell r="F371">
            <v>0.99940029567865196</v>
          </cell>
        </row>
        <row r="372">
          <cell r="A372" t="str">
            <v>DKK_CIBOR_EOD</v>
          </cell>
          <cell r="C372">
            <v>42725</v>
          </cell>
          <cell r="E372">
            <v>8.4095062641346995E-4</v>
          </cell>
          <cell r="F372">
            <v>0.99890160792452898</v>
          </cell>
        </row>
        <row r="373">
          <cell r="A373" t="str">
            <v>DKK_CIBOR_EOD</v>
          </cell>
          <cell r="C373">
            <v>42809</v>
          </cell>
          <cell r="E373">
            <v>1.0944528322837099E-3</v>
          </cell>
          <cell r="F373">
            <v>0.99831925502576402</v>
          </cell>
        </row>
        <row r="374">
          <cell r="A374" t="str">
            <v>DKK_CIBOR_EOD</v>
          </cell>
          <cell r="C374">
            <v>42982</v>
          </cell>
          <cell r="E374">
            <v>3.2212256629471098E-3</v>
          </cell>
          <cell r="F374">
            <v>0.99354318298002597</v>
          </cell>
        </row>
        <row r="375">
          <cell r="A375" t="str">
            <v>DKK_CIBOR_EOD</v>
          </cell>
          <cell r="C375">
            <v>43346</v>
          </cell>
          <cell r="E375">
            <v>4.4767162377026401E-3</v>
          </cell>
          <cell r="F375">
            <v>0.98662332995359103</v>
          </cell>
        </row>
        <row r="376">
          <cell r="A376" t="str">
            <v>DKK_CIBOR_EOD</v>
          </cell>
          <cell r="C376">
            <v>43711</v>
          </cell>
          <cell r="E376">
            <v>6.1163735983405399E-3</v>
          </cell>
          <cell r="F376">
            <v>0.97578230465509697</v>
          </cell>
        </row>
        <row r="377">
          <cell r="A377" t="str">
            <v>DKK_CIBOR_EOD</v>
          </cell>
          <cell r="C377">
            <v>44077</v>
          </cell>
          <cell r="E377">
            <v>7.7737483455747498E-3</v>
          </cell>
          <cell r="F377">
            <v>0.96179501466497597</v>
          </cell>
        </row>
        <row r="378">
          <cell r="A378" t="str">
            <v>DKK_CIBOR_EOD</v>
          </cell>
          <cell r="C378">
            <v>44442</v>
          </cell>
          <cell r="E378">
            <v>9.3205669721744093E-3</v>
          </cell>
          <cell r="F378">
            <v>0.94551498237071396</v>
          </cell>
        </row>
        <row r="379">
          <cell r="A379" t="str">
            <v>DKK_CIBOR_EOD</v>
          </cell>
          <cell r="C379">
            <v>44809</v>
          </cell>
          <cell r="E379">
            <v>1.08386375527878E-2</v>
          </cell>
          <cell r="F379">
            <v>0.92677113449425197</v>
          </cell>
        </row>
        <row r="380">
          <cell r="A380" t="str">
            <v>DKK_CIBOR_EOD</v>
          </cell>
          <cell r="C380">
            <v>45173</v>
          </cell>
          <cell r="E380">
            <v>1.22849840847465E-2</v>
          </cell>
          <cell r="F380">
            <v>0.90624267089775701</v>
          </cell>
        </row>
        <row r="381">
          <cell r="A381" t="str">
            <v>DKK_CIBOR_EOD</v>
          </cell>
          <cell r="C381">
            <v>45538</v>
          </cell>
          <cell r="E381">
            <v>1.36115677557836E-2</v>
          </cell>
          <cell r="F381">
            <v>0.88453732292651199</v>
          </cell>
        </row>
        <row r="382">
          <cell r="A382" t="str">
            <v>DKK_CIBOR_EOD</v>
          </cell>
          <cell r="C382">
            <v>45903</v>
          </cell>
          <cell r="E382">
            <v>1.4766880758668E-2</v>
          </cell>
          <cell r="F382">
            <v>0.86254229497696999</v>
          </cell>
        </row>
        <row r="383">
          <cell r="A383" t="str">
            <v>DKK_CIBOR_EOD</v>
          </cell>
          <cell r="C383">
            <v>46633</v>
          </cell>
          <cell r="E383">
            <v>1.65799961138056E-2</v>
          </cell>
          <cell r="F383">
            <v>0.81939658906553403</v>
          </cell>
        </row>
        <row r="384">
          <cell r="A384" t="str">
            <v>DKK_CIBOR_EOD</v>
          </cell>
          <cell r="C384">
            <v>47729</v>
          </cell>
          <cell r="E384">
            <v>1.8470108252822099E-2</v>
          </cell>
          <cell r="F384">
            <v>0.75778525213351899</v>
          </cell>
        </row>
        <row r="385">
          <cell r="A385" t="str">
            <v>DKK_CIBOR_EOD</v>
          </cell>
          <cell r="C385">
            <v>49555</v>
          </cell>
          <cell r="E385">
            <v>1.99075384515746E-2</v>
          </cell>
          <cell r="F385">
            <v>0.67130442428253301</v>
          </cell>
        </row>
        <row r="386">
          <cell r="A386" t="str">
            <v>DKK_CIBOR_EOD</v>
          </cell>
          <cell r="C386">
            <v>51382</v>
          </cell>
          <cell r="E386">
            <v>2.0042078021460599E-2</v>
          </cell>
          <cell r="F386">
            <v>0.60559360374544102</v>
          </cell>
        </row>
        <row r="387">
          <cell r="A387" t="str">
            <v>DKK_CIBOR_EOD</v>
          </cell>
          <cell r="C387">
            <v>53209</v>
          </cell>
          <cell r="E387">
            <v>1.9955646182396598E-2</v>
          </cell>
          <cell r="F387">
            <v>0.54921198179687103</v>
          </cell>
        </row>
        <row r="388">
          <cell r="A388" t="str">
            <v>EUR_EONIA_EOD</v>
          </cell>
          <cell r="C388">
            <v>42249</v>
          </cell>
          <cell r="E388">
            <v>-1.2673633114039201E-3</v>
          </cell>
          <cell r="F388">
            <v>1.0000034722342801</v>
          </cell>
        </row>
        <row r="389">
          <cell r="A389" t="str">
            <v>EUR_EONIA_EOD</v>
          </cell>
          <cell r="C389">
            <v>42250</v>
          </cell>
          <cell r="E389">
            <v>-1.26736331138309E-3</v>
          </cell>
          <cell r="F389">
            <v>1.0000069444806099</v>
          </cell>
        </row>
        <row r="390">
          <cell r="A390" t="str">
            <v>EUR_EONIA_EOD</v>
          </cell>
          <cell r="C390">
            <v>42257</v>
          </cell>
          <cell r="E390">
            <v>-1.3225755761171599E-3</v>
          </cell>
          <cell r="F390">
            <v>1.0000326119843199</v>
          </cell>
        </row>
        <row r="391">
          <cell r="A391" t="str">
            <v>EUR_EONIA_EOD</v>
          </cell>
          <cell r="C391">
            <v>42264</v>
          </cell>
          <cell r="E391">
            <v>-1.29400423313425E-3</v>
          </cell>
          <cell r="F391">
            <v>1.00005672508204</v>
          </cell>
        </row>
        <row r="392">
          <cell r="A392" t="str">
            <v>EUR_EONIA_EOD</v>
          </cell>
          <cell r="C392">
            <v>42271</v>
          </cell>
          <cell r="E392">
            <v>-1.29054831292389E-3</v>
          </cell>
          <cell r="F392">
            <v>1.0000813255292</v>
          </cell>
        </row>
        <row r="393">
          <cell r="A393" t="str">
            <v>EUR_EONIA_EOD</v>
          </cell>
          <cell r="C393">
            <v>42282</v>
          </cell>
          <cell r="E393">
            <v>-1.25947456544536E-3</v>
          </cell>
          <cell r="F393">
            <v>1.00011732780079</v>
          </cell>
        </row>
        <row r="394">
          <cell r="A394" t="str">
            <v>EUR_EONIA_EOD</v>
          </cell>
          <cell r="C394">
            <v>42311</v>
          </cell>
          <cell r="E394">
            <v>-1.3116772701431401E-3</v>
          </cell>
          <cell r="F394">
            <v>1.00022642472067</v>
          </cell>
        </row>
        <row r="395">
          <cell r="A395" t="str">
            <v>EUR_EONIA_EOD</v>
          </cell>
          <cell r="C395">
            <v>42341</v>
          </cell>
          <cell r="E395">
            <v>-1.32462044190326E-3</v>
          </cell>
          <cell r="F395">
            <v>1.00033756299197</v>
          </cell>
        </row>
        <row r="396">
          <cell r="A396" t="str">
            <v>EUR_EONIA_EOD</v>
          </cell>
          <cell r="C396">
            <v>42373</v>
          </cell>
          <cell r="E396">
            <v>-1.30422449505967E-3</v>
          </cell>
          <cell r="F396">
            <v>1.00044675198829</v>
          </cell>
        </row>
        <row r="397">
          <cell r="A397" t="str">
            <v>EUR_EONIA_EOD</v>
          </cell>
          <cell r="C397">
            <v>42403</v>
          </cell>
          <cell r="E397">
            <v>-1.3427951347774201E-3</v>
          </cell>
          <cell r="F397">
            <v>1.0005703906818699</v>
          </cell>
        </row>
        <row r="398">
          <cell r="A398" t="str">
            <v>EUR_EONIA_EOD</v>
          </cell>
          <cell r="C398">
            <v>42432</v>
          </cell>
          <cell r="E398">
            <v>-1.3681101900142999E-3</v>
          </cell>
          <cell r="F398">
            <v>1.0006899153478399</v>
          </cell>
        </row>
        <row r="399">
          <cell r="A399" t="str">
            <v>EUR_EONIA_EOD</v>
          </cell>
          <cell r="C399">
            <v>42464</v>
          </cell>
          <cell r="E399">
            <v>-1.38092204537743E-3</v>
          </cell>
          <cell r="F399">
            <v>1.00081753718452</v>
          </cell>
        </row>
        <row r="400">
          <cell r="A400" t="str">
            <v>EUR_EONIA_EOD</v>
          </cell>
          <cell r="C400">
            <v>42493</v>
          </cell>
          <cell r="E400">
            <v>-1.3861556448076799E-3</v>
          </cell>
          <cell r="F400">
            <v>1.0009308662283201</v>
          </cell>
        </row>
        <row r="401">
          <cell r="A401" t="str">
            <v>EUR_EONIA_EOD</v>
          </cell>
          <cell r="C401">
            <v>42524</v>
          </cell>
          <cell r="E401">
            <v>-1.39894155217211E-3</v>
          </cell>
          <cell r="F401">
            <v>1.0010583894756899</v>
          </cell>
        </row>
        <row r="402">
          <cell r="A402" t="str">
            <v>EUR_EONIA_EOD</v>
          </cell>
          <cell r="C402">
            <v>42555</v>
          </cell>
          <cell r="E402">
            <v>-1.40668474294056E-3</v>
          </cell>
          <cell r="F402">
            <v>1.00118385696247</v>
          </cell>
        </row>
        <row r="403">
          <cell r="A403" t="str">
            <v>EUR_EONIA_EOD</v>
          </cell>
          <cell r="C403">
            <v>42585</v>
          </cell>
          <cell r="E403">
            <v>-1.4564659429565901E-3</v>
          </cell>
          <cell r="F403">
            <v>1.00134564161299</v>
          </cell>
        </row>
        <row r="404">
          <cell r="A404" t="str">
            <v>EUR_EONIA_EOD</v>
          </cell>
          <cell r="C404">
            <v>42618</v>
          </cell>
          <cell r="E404">
            <v>-1.45666221466099E-3</v>
          </cell>
          <cell r="F404">
            <v>1.00147770722651</v>
          </cell>
        </row>
        <row r="405">
          <cell r="A405" t="str">
            <v>EUR_EONIA_EOD</v>
          </cell>
          <cell r="C405">
            <v>42709</v>
          </cell>
          <cell r="E405">
            <v>-1.4600657011261801E-3</v>
          </cell>
          <cell r="F405">
            <v>1.0018457843480999</v>
          </cell>
        </row>
        <row r="406">
          <cell r="A406" t="str">
            <v>EUR_EONIA_EOD</v>
          </cell>
          <cell r="C406">
            <v>42797</v>
          </cell>
          <cell r="E406">
            <v>-1.4230860071990201E-3</v>
          </cell>
          <cell r="F406">
            <v>1.0021427697663701</v>
          </cell>
        </row>
        <row r="407">
          <cell r="A407" t="str">
            <v>EUR_EONIA_EOD</v>
          </cell>
          <cell r="C407">
            <v>42891</v>
          </cell>
          <cell r="E407">
            <v>-1.3288244150140799E-3</v>
          </cell>
          <cell r="F407">
            <v>1.0023436574208799</v>
          </cell>
        </row>
        <row r="408">
          <cell r="A408" t="str">
            <v>EUR_EONIA_EOD</v>
          </cell>
          <cell r="C408">
            <v>42982</v>
          </cell>
          <cell r="E408">
            <v>-1.1923968586620801E-3</v>
          </cell>
          <cell r="F408">
            <v>1.00240073824826</v>
          </cell>
        </row>
        <row r="409">
          <cell r="A409" t="str">
            <v>EUR_EONIA_EOD</v>
          </cell>
          <cell r="C409">
            <v>43346</v>
          </cell>
          <cell r="E409">
            <v>-4.9062081552430996E-4</v>
          </cell>
          <cell r="F409">
            <v>1.0014769846153899</v>
          </cell>
        </row>
        <row r="410">
          <cell r="A410" t="str">
            <v>EUR_EONIA_EOD</v>
          </cell>
          <cell r="C410">
            <v>43711</v>
          </cell>
          <cell r="E410">
            <v>6.9095720421521003E-4</v>
          </cell>
          <cell r="F410">
            <v>0.99723432363189701</v>
          </cell>
        </row>
        <row r="411">
          <cell r="A411" t="str">
            <v>EUR_EONIA_EOD</v>
          </cell>
          <cell r="C411">
            <v>44077</v>
          </cell>
          <cell r="E411">
            <v>2.0752602288998602E-3</v>
          </cell>
          <cell r="F411">
            <v>0.98965483939344701</v>
          </cell>
        </row>
        <row r="412">
          <cell r="A412" t="str">
            <v>EUR_EONIA_EOD</v>
          </cell>
          <cell r="C412">
            <v>44442</v>
          </cell>
          <cell r="E412">
            <v>3.57227235772835E-3</v>
          </cell>
          <cell r="F412">
            <v>0.97875611656115802</v>
          </cell>
        </row>
        <row r="413">
          <cell r="A413" t="str">
            <v>EUR_EONIA_EOD</v>
          </cell>
          <cell r="C413">
            <v>44809</v>
          </cell>
          <cell r="E413">
            <v>5.0981648542883602E-3</v>
          </cell>
          <cell r="F413">
            <v>0.96486126055034405</v>
          </cell>
        </row>
        <row r="414">
          <cell r="A414" t="str">
            <v>EUR_EONIA_EOD</v>
          </cell>
          <cell r="C414">
            <v>45173</v>
          </cell>
          <cell r="E414">
            <v>6.5590756173417699E-3</v>
          </cell>
          <cell r="F414">
            <v>0.94879506193487995</v>
          </cell>
        </row>
        <row r="415">
          <cell r="A415" t="str">
            <v>EUR_EONIA_EOD</v>
          </cell>
          <cell r="C415">
            <v>45538</v>
          </cell>
          <cell r="E415">
            <v>7.9204832724662499E-3</v>
          </cell>
          <cell r="F415">
            <v>0.93109603991405099</v>
          </cell>
        </row>
        <row r="416">
          <cell r="A416" t="str">
            <v>EUR_EONIA_EOD</v>
          </cell>
          <cell r="C416">
            <v>45903</v>
          </cell>
          <cell r="E416">
            <v>9.13102811891945E-3</v>
          </cell>
          <cell r="F416">
            <v>0.91262030258493998</v>
          </cell>
        </row>
        <row r="417">
          <cell r="A417" t="str">
            <v>EUR_EONIA_EOD</v>
          </cell>
          <cell r="C417">
            <v>46633</v>
          </cell>
          <cell r="E417">
            <v>1.11205477831122E-2</v>
          </cell>
          <cell r="F417">
            <v>0.87494092458097406</v>
          </cell>
        </row>
        <row r="418">
          <cell r="A418" t="str">
            <v>EUR_EONIA_EOD</v>
          </cell>
          <cell r="C418">
            <v>47729</v>
          </cell>
          <cell r="E418">
            <v>1.32587724993451E-2</v>
          </cell>
          <cell r="F418">
            <v>0.81946831946634502</v>
          </cell>
        </row>
        <row r="419">
          <cell r="A419" t="str">
            <v>EUR_EONIA_EOD</v>
          </cell>
          <cell r="C419">
            <v>49555</v>
          </cell>
          <cell r="E419">
            <v>1.50508987393223E-2</v>
          </cell>
          <cell r="F419">
            <v>0.73985088328825399</v>
          </cell>
        </row>
        <row r="420">
          <cell r="A420" t="str">
            <v>EUR_EONIA_EOD</v>
          </cell>
          <cell r="C420">
            <v>51382</v>
          </cell>
          <cell r="E420">
            <v>1.55584657293216E-2</v>
          </cell>
          <cell r="F420">
            <v>0.67750030459979804</v>
          </cell>
        </row>
        <row r="421">
          <cell r="A421" t="str">
            <v>EUR_EONIA_EOD</v>
          </cell>
          <cell r="C421">
            <v>53209</v>
          </cell>
          <cell r="E421">
            <v>1.5753172360218601E-2</v>
          </cell>
          <cell r="F421">
            <v>0.62308650098741503</v>
          </cell>
        </row>
        <row r="422">
          <cell r="A422" t="str">
            <v>EUR_EONIA_EOD</v>
          </cell>
          <cell r="C422">
            <v>56860</v>
          </cell>
          <cell r="E422">
            <v>1.6063031011923301E-2</v>
          </cell>
          <cell r="F422">
            <v>0.52568697911377904</v>
          </cell>
        </row>
        <row r="423">
          <cell r="A423" t="str">
            <v>EUR_EONIA_EOD</v>
          </cell>
          <cell r="C423">
            <v>60513</v>
          </cell>
          <cell r="E423">
            <v>1.5656961494253299E-2</v>
          </cell>
          <cell r="F423">
            <v>0.45680827233642102</v>
          </cell>
        </row>
        <row r="424">
          <cell r="A424" t="str">
            <v>EUR_EONIA_EOD</v>
          </cell>
          <cell r="C424">
            <v>64165</v>
          </cell>
          <cell r="E424">
            <v>1.53164239318823E-2</v>
          </cell>
          <cell r="F424">
            <v>0.39863909166235201</v>
          </cell>
        </row>
        <row r="425">
          <cell r="A425" t="str">
            <v>EUR_EURIBOR_12M_EOD</v>
          </cell>
          <cell r="C425">
            <v>42618</v>
          </cell>
          <cell r="E425">
            <v>1.63101933126946E-3</v>
          </cell>
          <cell r="F425">
            <v>0.99834800398825696</v>
          </cell>
        </row>
        <row r="426">
          <cell r="A426" t="str">
            <v>EUR_EURIBOR_12M_EOD</v>
          </cell>
          <cell r="C426">
            <v>42646</v>
          </cell>
          <cell r="E426">
            <v>1.5728304818866999E-3</v>
          </cell>
          <cell r="F426">
            <v>0.99828643823234997</v>
          </cell>
        </row>
        <row r="427">
          <cell r="A427" t="str">
            <v>EUR_EURIBOR_12M_EOD</v>
          </cell>
          <cell r="C427">
            <v>42677</v>
          </cell>
          <cell r="E427">
            <v>1.6569326286691099E-3</v>
          </cell>
          <cell r="F427">
            <v>0.99805443179485198</v>
          </cell>
        </row>
        <row r="428">
          <cell r="A428" t="str">
            <v>EUR_EURIBOR_12M_EOD</v>
          </cell>
          <cell r="C428">
            <v>42709</v>
          </cell>
          <cell r="E428">
            <v>1.6471796028799299E-3</v>
          </cell>
          <cell r="F428">
            <v>0.997921752151254</v>
          </cell>
        </row>
        <row r="429">
          <cell r="A429" t="str">
            <v>EUR_EURIBOR_12M_EOD</v>
          </cell>
          <cell r="C429">
            <v>42738</v>
          </cell>
          <cell r="E429">
            <v>1.68528988091422E-3</v>
          </cell>
          <cell r="F429">
            <v>0.99774011344757296</v>
          </cell>
        </row>
        <row r="430">
          <cell r="A430" t="str">
            <v>EUR_EURIBOR_12M_EOD</v>
          </cell>
          <cell r="C430">
            <v>42769</v>
          </cell>
          <cell r="E430">
            <v>1.75189900518717E-3</v>
          </cell>
          <cell r="F430">
            <v>0.99750246819494703</v>
          </cell>
        </row>
        <row r="431">
          <cell r="A431" t="str">
            <v>EUR_EURIBOR_12M_EOD</v>
          </cell>
          <cell r="C431">
            <v>42797</v>
          </cell>
          <cell r="E431">
            <v>1.78579411524989E-3</v>
          </cell>
          <cell r="F431">
            <v>0.99731757409824695</v>
          </cell>
        </row>
        <row r="432">
          <cell r="A432" t="str">
            <v>EUR_EURIBOR_12M_EOD</v>
          </cell>
          <cell r="C432">
            <v>42828</v>
          </cell>
          <cell r="E432">
            <v>1.8951090011345799E-3</v>
          </cell>
          <cell r="F432">
            <v>0.99699312365120796</v>
          </cell>
        </row>
        <row r="433">
          <cell r="A433" t="str">
            <v>EUR_EURIBOR_12M_EOD</v>
          </cell>
          <cell r="C433">
            <v>42858</v>
          </cell>
          <cell r="E433">
            <v>1.95195153074303E-3</v>
          </cell>
          <cell r="F433">
            <v>0.99674314950905396</v>
          </cell>
        </row>
        <row r="434">
          <cell r="A434" t="str">
            <v>EUR_EURIBOR_12M_EOD</v>
          </cell>
          <cell r="C434">
            <v>42891</v>
          </cell>
          <cell r="E434">
            <v>2.01220249450489E-3</v>
          </cell>
          <cell r="F434">
            <v>0.99646149120968697</v>
          </cell>
        </row>
        <row r="435">
          <cell r="A435" t="str">
            <v>EUR_EURIBOR_12M_EOD</v>
          </cell>
          <cell r="C435">
            <v>42919</v>
          </cell>
          <cell r="E435">
            <v>2.0632338030138401E-3</v>
          </cell>
          <cell r="F435">
            <v>0.99621422560108996</v>
          </cell>
        </row>
        <row r="436">
          <cell r="A436" t="str">
            <v>EUR_EURIBOR_12M_EOD</v>
          </cell>
          <cell r="C436">
            <v>42950</v>
          </cell>
          <cell r="E436">
            <v>2.12551680524555E-3</v>
          </cell>
          <cell r="F436">
            <v>0.99592036415032703</v>
          </cell>
        </row>
        <row r="437">
          <cell r="A437" t="str">
            <v>EUR_EURIBOR_12M_EOD</v>
          </cell>
          <cell r="C437">
            <v>42982</v>
          </cell>
          <cell r="E437">
            <v>2.17720468029257E-3</v>
          </cell>
          <cell r="F437">
            <v>0.99563130150970003</v>
          </cell>
        </row>
        <row r="438">
          <cell r="A438" t="str">
            <v>EUR_EURIBOR_12M_EOD</v>
          </cell>
          <cell r="C438">
            <v>43346</v>
          </cell>
          <cell r="E438">
            <v>3.1142375870218701E-3</v>
          </cell>
          <cell r="F438">
            <v>0.99067543665963498</v>
          </cell>
        </row>
        <row r="439">
          <cell r="A439" t="str">
            <v>EUR_EURIBOR_12M_EOD</v>
          </cell>
          <cell r="C439">
            <v>43711</v>
          </cell>
          <cell r="E439">
            <v>4.4415878848034799E-3</v>
          </cell>
          <cell r="F439">
            <v>0.98235467689004796</v>
          </cell>
        </row>
        <row r="440">
          <cell r="A440" t="str">
            <v>EUR_EURIBOR_12M_EOD</v>
          </cell>
          <cell r="C440">
            <v>44077</v>
          </cell>
          <cell r="E440">
            <v>5.8758599805812297E-3</v>
          </cell>
          <cell r="F440">
            <v>0.97098554949309301</v>
          </cell>
        </row>
        <row r="441">
          <cell r="A441" t="str">
            <v>EUR_EURIBOR_12M_EOD</v>
          </cell>
          <cell r="C441">
            <v>44442</v>
          </cell>
          <cell r="E441">
            <v>7.3441839794439997E-3</v>
          </cell>
          <cell r="F441">
            <v>0.95681464652052595</v>
          </cell>
        </row>
        <row r="442">
          <cell r="A442" t="str">
            <v>EUR_EURIBOR_12M_EOD</v>
          </cell>
          <cell r="C442">
            <v>44809</v>
          </cell>
          <cell r="E442">
            <v>8.8247988632205107E-3</v>
          </cell>
          <cell r="F442">
            <v>0.93995934257872105</v>
          </cell>
        </row>
        <row r="443">
          <cell r="A443" t="str">
            <v>EUR_EURIBOR_12M_EOD</v>
          </cell>
          <cell r="C443">
            <v>45173</v>
          </cell>
          <cell r="E443">
            <v>1.0194890229064699E-2</v>
          </cell>
          <cell r="F443">
            <v>0.92154950800435598</v>
          </cell>
        </row>
        <row r="444">
          <cell r="A444" t="str">
            <v>EUR_EURIBOR_12M_EOD</v>
          </cell>
          <cell r="C444">
            <v>45538</v>
          </cell>
          <cell r="E444">
            <v>1.1445987964583701E-2</v>
          </cell>
          <cell r="F444">
            <v>0.90197300614401399</v>
          </cell>
        </row>
        <row r="445">
          <cell r="A445" t="str">
            <v>EUR_EURIBOR_12M_EOD</v>
          </cell>
          <cell r="C445">
            <v>45903</v>
          </cell>
          <cell r="E445">
            <v>1.25440325531989E-2</v>
          </cell>
          <cell r="F445">
            <v>0.88195683719420104</v>
          </cell>
        </row>
        <row r="446">
          <cell r="A446" t="str">
            <v>EUR_EURIBOR_12M_EOD</v>
          </cell>
          <cell r="C446">
            <v>46633</v>
          </cell>
          <cell r="E446">
            <v>1.42850584863865E-2</v>
          </cell>
          <cell r="F446">
            <v>0.84230222880581096</v>
          </cell>
        </row>
        <row r="447">
          <cell r="A447" t="str">
            <v>EUR_EURIBOR_12M_EOD</v>
          </cell>
          <cell r="C447">
            <v>47729</v>
          </cell>
          <cell r="E447">
            <v>1.6022757819501101E-2</v>
          </cell>
          <cell r="F447">
            <v>0.78615228767904499</v>
          </cell>
        </row>
        <row r="448">
          <cell r="A448" t="str">
            <v>EUR_EURIBOR_12M_EOD</v>
          </cell>
          <cell r="C448">
            <v>49555</v>
          </cell>
          <cell r="E448">
            <v>1.7352609584812901E-2</v>
          </cell>
          <cell r="F448">
            <v>0.70653327367544305</v>
          </cell>
        </row>
        <row r="449">
          <cell r="A449" t="str">
            <v>EUR_EURIBOR_12M_EOD</v>
          </cell>
          <cell r="C449">
            <v>51382</v>
          </cell>
          <cell r="E449">
            <v>1.7526463662435501E-2</v>
          </cell>
          <cell r="F449">
            <v>0.64494273379697198</v>
          </cell>
        </row>
        <row r="450">
          <cell r="A450" t="str">
            <v>EUR_EURIBOR_12M_EOD</v>
          </cell>
          <cell r="C450">
            <v>53209</v>
          </cell>
          <cell r="E450">
            <v>1.7466501234129399E-2</v>
          </cell>
          <cell r="F450">
            <v>0.59183853588770996</v>
          </cell>
        </row>
        <row r="451">
          <cell r="A451" t="str">
            <v>EUR_EURIBOR_12M_EOD</v>
          </cell>
          <cell r="C451">
            <v>56860</v>
          </cell>
          <cell r="E451">
            <v>1.7457643043438501E-2</v>
          </cell>
          <cell r="F451">
            <v>0.49714195414488199</v>
          </cell>
        </row>
        <row r="452">
          <cell r="A452" t="str">
            <v>EUR_EURIBOR_12M_EOD</v>
          </cell>
          <cell r="C452">
            <v>60513</v>
          </cell>
          <cell r="E452">
            <v>1.6776031284634702E-2</v>
          </cell>
          <cell r="F452">
            <v>0.43193032426273298</v>
          </cell>
        </row>
        <row r="453">
          <cell r="A453" t="str">
            <v>EUR_EURIBOR_12M_EOD</v>
          </cell>
          <cell r="C453">
            <v>64165</v>
          </cell>
          <cell r="E453">
            <v>1.6463300297000601E-2</v>
          </cell>
          <cell r="F453">
            <v>0.37211036013756599</v>
          </cell>
        </row>
        <row r="454">
          <cell r="A454" t="str">
            <v>EUR_EURIBOR_1M_EOD</v>
          </cell>
          <cell r="C454">
            <v>42282</v>
          </cell>
          <cell r="E454">
            <v>-1.0037941675914101E-3</v>
          </cell>
          <cell r="F454">
            <v>1.00009350848589</v>
          </cell>
        </row>
        <row r="455">
          <cell r="A455" t="str">
            <v>EUR_EURIBOR_1M_EOD</v>
          </cell>
          <cell r="C455">
            <v>42311</v>
          </cell>
          <cell r="E455">
            <v>-1.01247630351913E-3</v>
          </cell>
          <cell r="F455">
            <v>1.0001747714546501</v>
          </cell>
        </row>
        <row r="456">
          <cell r="A456" t="str">
            <v>EUR_EURIBOR_1M_EOD</v>
          </cell>
          <cell r="C456">
            <v>42341</v>
          </cell>
          <cell r="E456">
            <v>-1.03683158820033E-3</v>
          </cell>
          <cell r="F456">
            <v>1.00026421390575</v>
          </cell>
        </row>
        <row r="457">
          <cell r="A457" t="str">
            <v>EUR_EURIBOR_1M_EOD</v>
          </cell>
          <cell r="C457">
            <v>42432</v>
          </cell>
          <cell r="E457">
            <v>-1.0363436609338601E-3</v>
          </cell>
          <cell r="F457">
            <v>1.00052256726775</v>
          </cell>
        </row>
        <row r="458">
          <cell r="A458" t="str">
            <v>EUR_EURIBOR_1M_EOD</v>
          </cell>
          <cell r="C458">
            <v>42524</v>
          </cell>
          <cell r="E458">
            <v>-1.04172311680532E-3</v>
          </cell>
          <cell r="F458">
            <v>1.0007880242465499</v>
          </cell>
        </row>
        <row r="459">
          <cell r="A459" t="str">
            <v>EUR_EURIBOR_1M_EOD</v>
          </cell>
          <cell r="C459">
            <v>42618</v>
          </cell>
          <cell r="E459">
            <v>-1.0769169443998899E-3</v>
          </cell>
          <cell r="F459">
            <v>1.0010922653190599</v>
          </cell>
        </row>
        <row r="460">
          <cell r="A460" t="str">
            <v>EUR_EURIBOR_1M_EOD</v>
          </cell>
          <cell r="C460">
            <v>42982</v>
          </cell>
          <cell r="E460">
            <v>-7.8303629591857001E-4</v>
          </cell>
          <cell r="F460">
            <v>1.0015758942298201</v>
          </cell>
        </row>
        <row r="461">
          <cell r="A461" t="str">
            <v>EUR_EURIBOR_1M_EOD</v>
          </cell>
          <cell r="C461">
            <v>43346</v>
          </cell>
          <cell r="E461">
            <v>-2.8296875130430001E-5</v>
          </cell>
          <cell r="F461">
            <v>1.00008512682553</v>
          </cell>
        </row>
        <row r="462">
          <cell r="A462" t="str">
            <v>EUR_EURIBOR_1M_EOD</v>
          </cell>
          <cell r="C462">
            <v>43711</v>
          </cell>
          <cell r="E462">
            <v>1.1441477779394001E-3</v>
          </cell>
          <cell r="F462">
            <v>0.99542450455274401</v>
          </cell>
        </row>
        <row r="463">
          <cell r="A463" t="str">
            <v>EUR_EURIBOR_1M_EOD</v>
          </cell>
          <cell r="C463">
            <v>44077</v>
          </cell>
          <cell r="E463">
            <v>2.5358409798290002E-3</v>
          </cell>
          <cell r="F463">
            <v>0.98737339804487501</v>
          </cell>
        </row>
        <row r="464">
          <cell r="A464" t="str">
            <v>EUR_EURIBOR_1M_EOD</v>
          </cell>
          <cell r="C464">
            <v>44442</v>
          </cell>
          <cell r="E464">
            <v>4.0385106425610299E-3</v>
          </cell>
          <cell r="F464">
            <v>0.97601695430455004</v>
          </cell>
        </row>
        <row r="465">
          <cell r="A465" t="str">
            <v>EUR_EURIBOR_1M_EOD</v>
          </cell>
          <cell r="C465">
            <v>44809</v>
          </cell>
          <cell r="E465">
            <v>5.5596186564748499E-3</v>
          </cell>
          <cell r="F465">
            <v>0.96174232119052305</v>
          </cell>
        </row>
        <row r="466">
          <cell r="A466" t="str">
            <v>EUR_EURIBOR_1M_EOD</v>
          </cell>
          <cell r="C466">
            <v>45173</v>
          </cell>
          <cell r="E466">
            <v>7.0167965713157599E-3</v>
          </cell>
          <cell r="F466">
            <v>0.94532122078566405</v>
          </cell>
        </row>
        <row r="467">
          <cell r="A467" t="str">
            <v>EUR_EURIBOR_1M_EOD</v>
          </cell>
          <cell r="C467">
            <v>45538</v>
          </cell>
          <cell r="E467">
            <v>8.3775792295696198E-3</v>
          </cell>
          <cell r="F467">
            <v>0.92726769969032397</v>
          </cell>
        </row>
        <row r="468">
          <cell r="A468" t="str">
            <v>EUR_EURIBOR_1M_EOD</v>
          </cell>
          <cell r="C468">
            <v>45903</v>
          </cell>
          <cell r="E468">
            <v>9.5733852950231398E-3</v>
          </cell>
          <cell r="F468">
            <v>0.90858667133762505</v>
          </cell>
        </row>
        <row r="469">
          <cell r="A469" t="str">
            <v>EUR_EURIBOR_1M_EOD</v>
          </cell>
          <cell r="C469">
            <v>46633</v>
          </cell>
          <cell r="E469">
            <v>1.15445530811713E-2</v>
          </cell>
          <cell r="F469">
            <v>0.87049541964743005</v>
          </cell>
        </row>
        <row r="470">
          <cell r="A470" t="str">
            <v>EUR_EURIBOR_1M_EOD</v>
          </cell>
          <cell r="C470">
            <v>47729</v>
          </cell>
          <cell r="E470">
            <v>1.3628308221904899E-2</v>
          </cell>
          <cell r="F470">
            <v>0.81493359277962696</v>
          </cell>
        </row>
        <row r="471">
          <cell r="A471" t="str">
            <v>EUR_EURIBOR_1M_EOD</v>
          </cell>
          <cell r="C471">
            <v>49555</v>
          </cell>
          <cell r="E471">
            <v>1.5380608678105799E-2</v>
          </cell>
          <cell r="F471">
            <v>0.73498356237171003</v>
          </cell>
        </row>
        <row r="472">
          <cell r="A472" t="str">
            <v>EUR_EURIBOR_1M_EOD</v>
          </cell>
          <cell r="C472">
            <v>51382</v>
          </cell>
          <cell r="E472">
            <v>1.5815278169003098E-2</v>
          </cell>
          <cell r="F472">
            <v>0.67316021281897198</v>
          </cell>
        </row>
        <row r="473">
          <cell r="A473" t="str">
            <v>EUR_EURIBOR_1M_EOD</v>
          </cell>
          <cell r="C473">
            <v>53209</v>
          </cell>
          <cell r="E473">
            <v>1.5957975149219299E-2</v>
          </cell>
          <cell r="F473">
            <v>0.61926611981838597</v>
          </cell>
        </row>
        <row r="474">
          <cell r="A474" t="str">
            <v>EUR_EURIBOR_1M_EOD</v>
          </cell>
          <cell r="C474">
            <v>56860</v>
          </cell>
          <cell r="E474">
            <v>1.5981491799444001E-2</v>
          </cell>
          <cell r="F474">
            <v>0.52740575616821095</v>
          </cell>
        </row>
        <row r="475">
          <cell r="A475" t="str">
            <v>EUR_EURIBOR_1M_EOD</v>
          </cell>
          <cell r="C475">
            <v>60513</v>
          </cell>
          <cell r="E475">
            <v>1.5705782956737899E-2</v>
          </cell>
          <cell r="F475">
            <v>0.45569361556933202</v>
          </cell>
        </row>
        <row r="476">
          <cell r="A476" t="str">
            <v>EUR_EURIBOR_1M_EOD</v>
          </cell>
          <cell r="C476">
            <v>64165</v>
          </cell>
          <cell r="E476">
            <v>1.53430295587784E-2</v>
          </cell>
          <cell r="F476">
            <v>0.39800274354876097</v>
          </cell>
        </row>
        <row r="477">
          <cell r="A477" t="str">
            <v>EUR_EURIBOR_3M_EOD</v>
          </cell>
          <cell r="C477">
            <v>42341</v>
          </cell>
          <cell r="E477">
            <v>-3.3459728902308997E-4</v>
          </cell>
          <cell r="F477">
            <v>1.0000852571900201</v>
          </cell>
        </row>
        <row r="478">
          <cell r="A478" t="str">
            <v>EUR_EURIBOR_3M_EOD</v>
          </cell>
          <cell r="C478">
            <v>42354</v>
          </cell>
          <cell r="E478">
            <v>-3.5200706621915E-4</v>
          </cell>
          <cell r="F478">
            <v>1.0001022319349699</v>
          </cell>
        </row>
        <row r="479">
          <cell r="A479" t="str">
            <v>EUR_EURIBOR_3M_EOD</v>
          </cell>
          <cell r="C479">
            <v>42445</v>
          </cell>
          <cell r="E479">
            <v>-3.5520622892996998E-4</v>
          </cell>
          <cell r="F479">
            <v>1.0001917324251599</v>
          </cell>
        </row>
        <row r="480">
          <cell r="A480" t="str">
            <v>EUR_EURIBOR_3M_EOD</v>
          </cell>
          <cell r="C480">
            <v>42536</v>
          </cell>
          <cell r="E480">
            <v>-3.4196664852660999E-4</v>
          </cell>
          <cell r="F480">
            <v>1.0002698621453501</v>
          </cell>
        </row>
        <row r="481">
          <cell r="A481" t="str">
            <v>EUR_EURIBOR_3M_EOD</v>
          </cell>
          <cell r="C481">
            <v>42634</v>
          </cell>
          <cell r="E481">
            <v>-3.2387750409026999E-4</v>
          </cell>
          <cell r="F481">
            <v>1.00034257021605</v>
          </cell>
        </row>
        <row r="482">
          <cell r="A482" t="str">
            <v>EUR_EURIBOR_3M_EOD</v>
          </cell>
          <cell r="C482">
            <v>42725</v>
          </cell>
          <cell r="E482">
            <v>-2.7679001989501002E-4</v>
          </cell>
          <cell r="F482">
            <v>1.00036178827752</v>
          </cell>
        </row>
        <row r="483">
          <cell r="A483" t="str">
            <v>EUR_EURIBOR_3M_EOD</v>
          </cell>
          <cell r="C483">
            <v>42809</v>
          </cell>
          <cell r="E483">
            <v>-1.9541817204057999E-4</v>
          </cell>
          <cell r="F483">
            <v>1.0003004001645599</v>
          </cell>
        </row>
        <row r="484">
          <cell r="A484" t="str">
            <v>EUR_EURIBOR_3M_EOD</v>
          </cell>
          <cell r="C484">
            <v>42907</v>
          </cell>
          <cell r="E484">
            <v>-6.8363240214359996E-5</v>
          </cell>
          <cell r="F484">
            <v>1.00012343604308</v>
          </cell>
        </row>
        <row r="485">
          <cell r="A485" t="str">
            <v>EUR_EURIBOR_3M_EOD</v>
          </cell>
          <cell r="C485">
            <v>42998</v>
          </cell>
          <cell r="E485">
            <v>7.338712669739E-5</v>
          </cell>
          <cell r="F485">
            <v>0.99984921590324805</v>
          </cell>
        </row>
        <row r="486">
          <cell r="A486" t="str">
            <v>EUR_EURIBOR_3M_EOD</v>
          </cell>
          <cell r="C486">
            <v>43089</v>
          </cell>
          <cell r="E486">
            <v>2.4302618759890001E-4</v>
          </cell>
          <cell r="F486">
            <v>0.99944019777852999</v>
          </cell>
        </row>
        <row r="487">
          <cell r="A487" t="str">
            <v>EUR_EURIBOR_3M_EOD</v>
          </cell>
          <cell r="C487">
            <v>43180</v>
          </cell>
          <cell r="E487">
            <v>4.3712660224504997E-4</v>
          </cell>
          <cell r="F487">
            <v>0.99888445284122795</v>
          </cell>
        </row>
        <row r="488">
          <cell r="A488" t="str">
            <v>EUR_EURIBOR_3M_EOD</v>
          </cell>
          <cell r="C488">
            <v>43271</v>
          </cell>
          <cell r="E488">
            <v>6.6257909887618995E-4</v>
          </cell>
          <cell r="F488">
            <v>0.99814468646384902</v>
          </cell>
        </row>
        <row r="489">
          <cell r="A489" t="str">
            <v>EUR_EURIBOR_3M_EOD</v>
          </cell>
          <cell r="C489">
            <v>43362</v>
          </cell>
          <cell r="E489">
            <v>9.1566198936165002E-4</v>
          </cell>
          <cell r="F489">
            <v>0.99720925083590095</v>
          </cell>
        </row>
        <row r="490">
          <cell r="A490" t="str">
            <v>EUR_EURIBOR_3M_EOD</v>
          </cell>
          <cell r="C490">
            <v>43711</v>
          </cell>
          <cell r="E490">
            <v>2.1467608750013801E-3</v>
          </cell>
          <cell r="F490">
            <v>0.99143222626402805</v>
          </cell>
        </row>
        <row r="491">
          <cell r="A491" t="str">
            <v>EUR_EURIBOR_3M_EOD</v>
          </cell>
          <cell r="C491">
            <v>44077</v>
          </cell>
          <cell r="E491">
            <v>3.5489135266859001E-3</v>
          </cell>
          <cell r="F491">
            <v>0.98237373269712103</v>
          </cell>
        </row>
        <row r="492">
          <cell r="A492" t="str">
            <v>EUR_EURIBOR_3M_EOD</v>
          </cell>
          <cell r="C492">
            <v>44442</v>
          </cell>
          <cell r="E492">
            <v>5.0336482263169001E-3</v>
          </cell>
          <cell r="F492">
            <v>0.97019611003444695</v>
          </cell>
        </row>
        <row r="493">
          <cell r="A493" t="str">
            <v>EUR_EURIBOR_3M_EOD</v>
          </cell>
          <cell r="C493">
            <v>44809</v>
          </cell>
          <cell r="E493">
            <v>6.5318567252302898E-3</v>
          </cell>
          <cell r="F493">
            <v>0.95520397963887305</v>
          </cell>
        </row>
        <row r="494">
          <cell r="A494" t="str">
            <v>EUR_EURIBOR_3M_EOD</v>
          </cell>
          <cell r="C494">
            <v>45173</v>
          </cell>
          <cell r="E494">
            <v>7.9656267048257099E-3</v>
          </cell>
          <cell r="F494">
            <v>0.93816059762376203</v>
          </cell>
        </row>
        <row r="495">
          <cell r="A495" t="str">
            <v>EUR_EURIBOR_3M_EOD</v>
          </cell>
          <cell r="C495">
            <v>45538</v>
          </cell>
          <cell r="E495">
            <v>9.2938611824753305E-3</v>
          </cell>
          <cell r="F495">
            <v>0.91964085163967502</v>
          </cell>
        </row>
        <row r="496">
          <cell r="A496" t="str">
            <v>EUR_EURIBOR_3M_EOD</v>
          </cell>
          <cell r="C496">
            <v>45903</v>
          </cell>
          <cell r="E496">
            <v>1.0465784834274801E-2</v>
          </cell>
          <cell r="F496">
            <v>0.90050351115345495</v>
          </cell>
        </row>
        <row r="497">
          <cell r="A497" t="str">
            <v>EUR_EURIBOR_3M_EOD</v>
          </cell>
          <cell r="C497">
            <v>46633</v>
          </cell>
          <cell r="E497">
            <v>1.2384067196162399E-2</v>
          </cell>
          <cell r="F497">
            <v>0.86176001572612304</v>
          </cell>
        </row>
        <row r="498">
          <cell r="A498" t="str">
            <v>EUR_EURIBOR_3M_EOD</v>
          </cell>
          <cell r="C498">
            <v>47729</v>
          </cell>
          <cell r="E498">
            <v>1.4379976960742899E-2</v>
          </cell>
          <cell r="F498">
            <v>0.80578684029018099</v>
          </cell>
        </row>
        <row r="499">
          <cell r="A499" t="str">
            <v>EUR_EURIBOR_3M_EOD</v>
          </cell>
          <cell r="C499">
            <v>49555</v>
          </cell>
          <cell r="E499">
            <v>1.5983196527807501E-2</v>
          </cell>
          <cell r="F499">
            <v>0.72617048956655195</v>
          </cell>
        </row>
        <row r="500">
          <cell r="A500" t="str">
            <v>EUR_EURIBOR_3M_EOD</v>
          </cell>
          <cell r="C500">
            <v>51382</v>
          </cell>
          <cell r="E500">
            <v>1.6325860230796501E-2</v>
          </cell>
          <cell r="F500">
            <v>0.66461386491948904</v>
          </cell>
        </row>
        <row r="501">
          <cell r="A501" t="str">
            <v>EUR_EURIBOR_3M_EOD</v>
          </cell>
          <cell r="C501">
            <v>53209</v>
          </cell>
          <cell r="E501">
            <v>1.6395713153149499E-2</v>
          </cell>
          <cell r="F501">
            <v>0.61117893178121796</v>
          </cell>
        </row>
        <row r="502">
          <cell r="A502" t="str">
            <v>EUR_EURIBOR_3M_EOD</v>
          </cell>
          <cell r="C502">
            <v>56860</v>
          </cell>
          <cell r="E502">
            <v>1.65217244389252E-2</v>
          </cell>
          <cell r="F502">
            <v>0.51612197409048299</v>
          </cell>
        </row>
        <row r="503">
          <cell r="A503" t="str">
            <v>EUR_EURIBOR_3M_EOD</v>
          </cell>
          <cell r="C503">
            <v>60513</v>
          </cell>
          <cell r="E503">
            <v>1.59716219272838E-2</v>
          </cell>
          <cell r="F503">
            <v>0.44967172412034101</v>
          </cell>
        </row>
        <row r="504">
          <cell r="A504" t="str">
            <v>EUR_EURIBOR_3M_EOD</v>
          </cell>
          <cell r="C504">
            <v>64165</v>
          </cell>
          <cell r="E504">
            <v>1.5660749825288801E-2</v>
          </cell>
          <cell r="F504">
            <v>0.39048161389604003</v>
          </cell>
        </row>
        <row r="505">
          <cell r="A505" t="str">
            <v>EUR_EURIBOR_6M_EOD</v>
          </cell>
          <cell r="C505">
            <v>42432</v>
          </cell>
          <cell r="E505">
            <v>3.9537769029722003E-4</v>
          </cell>
          <cell r="F505">
            <v>0.99980070617668104</v>
          </cell>
        </row>
        <row r="506">
          <cell r="A506" t="str">
            <v>EUR_EURIBOR_6M_EOD</v>
          </cell>
          <cell r="C506">
            <v>42464</v>
          </cell>
          <cell r="E506">
            <v>3.7305014256061998E-4</v>
          </cell>
          <cell r="F506">
            <v>0.99977926044658005</v>
          </cell>
        </row>
        <row r="507">
          <cell r="A507" t="str">
            <v>EUR_EURIBOR_6M_EOD</v>
          </cell>
          <cell r="C507">
            <v>42493</v>
          </cell>
          <cell r="E507">
            <v>4.1796830296429998E-4</v>
          </cell>
          <cell r="F507">
            <v>0.99971948528523902</v>
          </cell>
        </row>
        <row r="508">
          <cell r="A508" t="str">
            <v>EUR_EURIBOR_6M_EOD</v>
          </cell>
          <cell r="C508">
            <v>42524</v>
          </cell>
          <cell r="E508">
            <v>4.2450239266761999E-4</v>
          </cell>
          <cell r="F508">
            <v>0.99967905792285905</v>
          </cell>
        </row>
        <row r="509">
          <cell r="A509" t="str">
            <v>EUR_EURIBOR_6M_EOD</v>
          </cell>
          <cell r="C509">
            <v>42555</v>
          </cell>
          <cell r="E509">
            <v>4.2542477025693997E-4</v>
          </cell>
          <cell r="F509">
            <v>0.99964224098508203</v>
          </cell>
        </row>
        <row r="510">
          <cell r="A510" t="str">
            <v>EUR_EURIBOR_6M_EOD</v>
          </cell>
          <cell r="C510">
            <v>42585</v>
          </cell>
          <cell r="E510">
            <v>4.3826060044358E-4</v>
          </cell>
          <cell r="F510">
            <v>0.999595441246794</v>
          </cell>
        </row>
        <row r="511">
          <cell r="A511" t="str">
            <v>EUR_EURIBOR_6M_EOD</v>
          </cell>
          <cell r="C511">
            <v>42618</v>
          </cell>
          <cell r="E511">
            <v>4.5270356947366998E-4</v>
          </cell>
          <cell r="F511">
            <v>0.999541200292555</v>
          </cell>
        </row>
        <row r="512">
          <cell r="A512" t="str">
            <v>EUR_EURIBOR_6M_EOD</v>
          </cell>
          <cell r="C512">
            <v>42797</v>
          </cell>
          <cell r="E512">
            <v>6.218359267166E-4</v>
          </cell>
          <cell r="F512">
            <v>0.999065127885297</v>
          </cell>
        </row>
        <row r="513">
          <cell r="A513" t="str">
            <v>EUR_EURIBOR_6M_EOD</v>
          </cell>
          <cell r="C513">
            <v>42982</v>
          </cell>
          <cell r="E513">
            <v>9.3447512545083997E-4</v>
          </cell>
          <cell r="F513">
            <v>0.998122573499855</v>
          </cell>
        </row>
        <row r="514">
          <cell r="A514" t="str">
            <v>EUR_EURIBOR_6M_EOD</v>
          </cell>
          <cell r="C514">
            <v>43346</v>
          </cell>
          <cell r="E514">
            <v>1.83653965529012E-3</v>
          </cell>
          <cell r="F514">
            <v>0.99449051935313104</v>
          </cell>
        </row>
        <row r="515">
          <cell r="A515" t="str">
            <v>EUR_EURIBOR_6M_EOD</v>
          </cell>
          <cell r="C515">
            <v>43711</v>
          </cell>
          <cell r="E515">
            <v>3.11105034120714E-3</v>
          </cell>
          <cell r="F515">
            <v>0.98760765380078297</v>
          </cell>
        </row>
        <row r="516">
          <cell r="A516" t="str">
            <v>EUR_EURIBOR_6M_EOD</v>
          </cell>
          <cell r="C516">
            <v>44077</v>
          </cell>
          <cell r="E516">
            <v>4.5393382213784004E-3</v>
          </cell>
          <cell r="F516">
            <v>0.97751031252635601</v>
          </cell>
        </row>
        <row r="517">
          <cell r="A517" t="str">
            <v>EUR_EURIBOR_6M_EOD</v>
          </cell>
          <cell r="C517">
            <v>44442</v>
          </cell>
          <cell r="E517">
            <v>6.0192531412603398E-3</v>
          </cell>
          <cell r="F517">
            <v>0.96446524329740202</v>
          </cell>
        </row>
        <row r="518">
          <cell r="A518" t="str">
            <v>EUR_EURIBOR_6M_EOD</v>
          </cell>
          <cell r="C518">
            <v>44809</v>
          </cell>
          <cell r="E518">
            <v>7.4968447033105998E-3</v>
          </cell>
          <cell r="F518">
            <v>0.94875835050330803</v>
          </cell>
        </row>
        <row r="519">
          <cell r="A519" t="str">
            <v>EUR_EURIBOR_6M_EOD</v>
          </cell>
          <cell r="C519">
            <v>45173</v>
          </cell>
          <cell r="E519">
            <v>8.9005299237626592E-3</v>
          </cell>
          <cell r="F519">
            <v>0.93115813190540497</v>
          </cell>
        </row>
        <row r="520">
          <cell r="A520" t="str">
            <v>EUR_EURIBOR_6M_EOD</v>
          </cell>
          <cell r="C520">
            <v>45538</v>
          </cell>
          <cell r="E520">
            <v>1.01859437129581E-2</v>
          </cell>
          <cell r="F520">
            <v>0.912275704623703</v>
          </cell>
        </row>
        <row r="521">
          <cell r="A521" t="str">
            <v>EUR_EURIBOR_6M_EOD</v>
          </cell>
          <cell r="C521">
            <v>45903</v>
          </cell>
          <cell r="E521">
            <v>1.13117354198164E-2</v>
          </cell>
          <cell r="F521">
            <v>0.892907479837734</v>
          </cell>
        </row>
        <row r="522">
          <cell r="A522" t="str">
            <v>EUR_EURIBOR_6M_EOD</v>
          </cell>
          <cell r="C522">
            <v>46633</v>
          </cell>
          <cell r="E522">
            <v>1.31480477626043E-2</v>
          </cell>
          <cell r="F522">
            <v>0.85388676864364299</v>
          </cell>
        </row>
        <row r="523">
          <cell r="A523" t="str">
            <v>EUR_EURIBOR_6M_EOD</v>
          </cell>
          <cell r="C523">
            <v>47729</v>
          </cell>
          <cell r="E523">
            <v>1.5036600026284401E-2</v>
          </cell>
          <cell r="F523">
            <v>0.79788071122957005</v>
          </cell>
        </row>
        <row r="524">
          <cell r="A524" t="str">
            <v>EUR_EURIBOR_6M_EOD</v>
          </cell>
          <cell r="C524">
            <v>49555</v>
          </cell>
          <cell r="E524">
            <v>1.6517790020797202E-2</v>
          </cell>
          <cell r="F524">
            <v>0.71844036231389996</v>
          </cell>
        </row>
        <row r="525">
          <cell r="A525" t="str">
            <v>EUR_EURIBOR_6M_EOD</v>
          </cell>
          <cell r="C525">
            <v>51382</v>
          </cell>
          <cell r="E525">
            <v>1.6774898447442298E-2</v>
          </cell>
          <cell r="F525">
            <v>0.657187384509894</v>
          </cell>
        </row>
        <row r="526">
          <cell r="A526" t="str">
            <v>EUR_EURIBOR_6M_EOD</v>
          </cell>
          <cell r="C526">
            <v>53209</v>
          </cell>
          <cell r="E526">
            <v>1.6778821723119699E-2</v>
          </cell>
          <cell r="F526">
            <v>0.60418773197378695</v>
          </cell>
        </row>
        <row r="527">
          <cell r="A527" t="str">
            <v>EUR_EURIBOR_6M_EOD</v>
          </cell>
          <cell r="C527">
            <v>56860</v>
          </cell>
          <cell r="E527">
            <v>1.6825419333313101E-2</v>
          </cell>
          <cell r="F527">
            <v>0.50988506683717105</v>
          </cell>
        </row>
        <row r="528">
          <cell r="A528" t="str">
            <v>EUR_EURIBOR_6M_EOD</v>
          </cell>
          <cell r="C528">
            <v>60513</v>
          </cell>
          <cell r="E528">
            <v>1.6223637354772599E-2</v>
          </cell>
          <cell r="F528">
            <v>0.44403646454817303</v>
          </cell>
        </row>
        <row r="529">
          <cell r="A529" t="str">
            <v>EUR_EURIBOR_6M_EOD</v>
          </cell>
          <cell r="C529">
            <v>64165</v>
          </cell>
          <cell r="E529">
            <v>1.5897544001326699E-2</v>
          </cell>
          <cell r="F529">
            <v>0.38496876662451401</v>
          </cell>
        </row>
        <row r="530">
          <cell r="A530" t="str">
            <v>EUR_EURIBOR_EOD</v>
          </cell>
          <cell r="C530">
            <v>42249</v>
          </cell>
          <cell r="E530">
            <v>-1.11527948162627E-3</v>
          </cell>
          <cell r="F530">
            <v>1.00000305556489</v>
          </cell>
        </row>
        <row r="531">
          <cell r="A531" t="str">
            <v>EUR_EURIBOR_EOD</v>
          </cell>
          <cell r="C531">
            <v>42250</v>
          </cell>
          <cell r="E531">
            <v>-1.11527948165517E-3</v>
          </cell>
          <cell r="F531">
            <v>1.0000061111391201</v>
          </cell>
        </row>
        <row r="532">
          <cell r="A532" t="str">
            <v>EUR_EURIBOR_EOD</v>
          </cell>
          <cell r="C532">
            <v>42257</v>
          </cell>
          <cell r="E532">
            <v>-1.3755253159429799E-3</v>
          </cell>
          <cell r="F532">
            <v>1.0000339176377699</v>
          </cell>
        </row>
        <row r="533">
          <cell r="A533" t="str">
            <v>EUR_EURIBOR_EOD</v>
          </cell>
          <cell r="C533">
            <v>42354</v>
          </cell>
          <cell r="E533">
            <v>-5.0128960070850001E-4</v>
          </cell>
          <cell r="F533">
            <v>1.00014559059091</v>
          </cell>
        </row>
        <row r="534">
          <cell r="A534" t="str">
            <v>EUR_EURIBOR_EOD</v>
          </cell>
          <cell r="C534">
            <v>42445</v>
          </cell>
          <cell r="E534">
            <v>-4.3553084139660002E-4</v>
          </cell>
          <cell r="F534">
            <v>1.0002350949613299</v>
          </cell>
        </row>
        <row r="535">
          <cell r="A535" t="str">
            <v>EUR_EURIBOR_EOD</v>
          </cell>
          <cell r="C535">
            <v>42536</v>
          </cell>
          <cell r="E535">
            <v>-3.9691091469301002E-4</v>
          </cell>
          <cell r="F535">
            <v>1.0003132280687701</v>
          </cell>
        </row>
        <row r="536">
          <cell r="A536" t="str">
            <v>EUR_EURIBOR_EOD</v>
          </cell>
          <cell r="C536">
            <v>42634</v>
          </cell>
          <cell r="E536">
            <v>-3.6487218972739002E-4</v>
          </cell>
          <cell r="F536">
            <v>1.0003859392916701</v>
          </cell>
        </row>
        <row r="537">
          <cell r="A537" t="str">
            <v>EUR_EURIBOR_EOD</v>
          </cell>
          <cell r="C537">
            <v>42725</v>
          </cell>
          <cell r="E537">
            <v>-3.0996391644830002E-4</v>
          </cell>
          <cell r="F537">
            <v>1.00040515818632</v>
          </cell>
        </row>
        <row r="538">
          <cell r="A538" t="str">
            <v>EUR_EURIBOR_EOD</v>
          </cell>
          <cell r="C538">
            <v>42809</v>
          </cell>
          <cell r="E538">
            <v>-2.2362485413665001E-4</v>
          </cell>
          <cell r="F538">
            <v>1.00034376741193</v>
          </cell>
        </row>
        <row r="539">
          <cell r="A539" t="str">
            <v>EUR_EURIBOR_EOD</v>
          </cell>
          <cell r="C539">
            <v>42907</v>
          </cell>
          <cell r="E539">
            <v>-9.2375301907699994E-5</v>
          </cell>
          <cell r="F539">
            <v>1.00016679561831</v>
          </cell>
        </row>
        <row r="540">
          <cell r="A540" t="str">
            <v>EUR_EURIBOR_EOD</v>
          </cell>
          <cell r="C540">
            <v>42998</v>
          </cell>
          <cell r="E540">
            <v>5.2288528489549999E-5</v>
          </cell>
          <cell r="F540">
            <v>0.99989256358987699</v>
          </cell>
        </row>
        <row r="541">
          <cell r="A541" t="str">
            <v>EUR_EURIBOR_EOD</v>
          </cell>
          <cell r="C541">
            <v>43089</v>
          </cell>
          <cell r="E541">
            <v>2.2421055304962001E-4</v>
          </cell>
          <cell r="F541">
            <v>0.99948352773249505</v>
          </cell>
        </row>
        <row r="542">
          <cell r="A542" t="str">
            <v>EUR_EURIBOR_EOD</v>
          </cell>
          <cell r="C542">
            <v>43180</v>
          </cell>
          <cell r="E542">
            <v>4.2014811656274997E-4</v>
          </cell>
          <cell r="F542">
            <v>0.99892775870130301</v>
          </cell>
        </row>
        <row r="543">
          <cell r="A543" t="str">
            <v>EUR_EURIBOR_EOD</v>
          </cell>
          <cell r="C543">
            <v>43271</v>
          </cell>
          <cell r="E543">
            <v>6.4711091837177999E-4</v>
          </cell>
          <cell r="F543">
            <v>0.99818796025192702</v>
          </cell>
        </row>
        <row r="544">
          <cell r="A544" t="str">
            <v>EUR_EURIBOR_EOD</v>
          </cell>
          <cell r="C544">
            <v>43362</v>
          </cell>
          <cell r="E544">
            <v>9.0145736758791999E-4</v>
          </cell>
          <cell r="F544">
            <v>0.997252484068894</v>
          </cell>
        </row>
        <row r="545">
          <cell r="A545" t="str">
            <v>EUR_EURIBOR_EOD</v>
          </cell>
          <cell r="C545">
            <v>43711</v>
          </cell>
          <cell r="E545">
            <v>3.1213755653500702E-3</v>
          </cell>
          <cell r="F545">
            <v>0.98756678175180501</v>
          </cell>
        </row>
        <row r="546">
          <cell r="A546" t="str">
            <v>EUR_EURIBOR_EOD</v>
          </cell>
          <cell r="C546">
            <v>44077</v>
          </cell>
          <cell r="E546">
            <v>4.55566515142008E-3</v>
          </cell>
          <cell r="F546">
            <v>0.97743034218400404</v>
          </cell>
        </row>
        <row r="547">
          <cell r="A547" t="str">
            <v>EUR_EURIBOR_EOD</v>
          </cell>
          <cell r="C547">
            <v>44442</v>
          </cell>
          <cell r="E547">
            <v>6.0427127072103801E-3</v>
          </cell>
          <cell r="F547">
            <v>0.96432924931483599</v>
          </cell>
        </row>
        <row r="548">
          <cell r="A548" t="str">
            <v>EUR_EURIBOR_EOD</v>
          </cell>
          <cell r="C548">
            <v>44809</v>
          </cell>
          <cell r="E548">
            <v>7.5280886417334004E-3</v>
          </cell>
          <cell r="F548">
            <v>0.94855038538562197</v>
          </cell>
        </row>
        <row r="549">
          <cell r="A549" t="str">
            <v>EUR_EURIBOR_EOD</v>
          </cell>
          <cell r="C549">
            <v>45173</v>
          </cell>
          <cell r="E549">
            <v>8.9403156462250707E-3</v>
          </cell>
          <cell r="F549">
            <v>0.93086129734548395</v>
          </cell>
        </row>
        <row r="550">
          <cell r="A550" t="str">
            <v>EUR_EURIBOR_EOD</v>
          </cell>
          <cell r="C550">
            <v>45538</v>
          </cell>
          <cell r="E550">
            <v>1.02331698353278E-2</v>
          </cell>
          <cell r="F550">
            <v>0.91188744788854503</v>
          </cell>
        </row>
        <row r="551">
          <cell r="A551" t="str">
            <v>EUR_EURIBOR_EOD</v>
          </cell>
          <cell r="C551">
            <v>45903</v>
          </cell>
          <cell r="E551">
            <v>1.1365139803418399E-2</v>
          </cell>
          <cell r="F551">
            <v>0.89243010253663202</v>
          </cell>
        </row>
        <row r="552">
          <cell r="A552" t="str">
            <v>EUR_EURIBOR_EOD</v>
          </cell>
          <cell r="C552">
            <v>46633</v>
          </cell>
          <cell r="E552">
            <v>1.3210886438166E-2</v>
          </cell>
          <cell r="F552">
            <v>0.85324239151001202</v>
          </cell>
        </row>
        <row r="553">
          <cell r="A553" t="str">
            <v>EUR_EURIBOR_EOD</v>
          </cell>
          <cell r="C553">
            <v>47729</v>
          </cell>
          <cell r="E553">
            <v>1.51067274617473E-2</v>
          </cell>
          <cell r="F553">
            <v>0.79704093377501695</v>
          </cell>
        </row>
        <row r="554">
          <cell r="A554" t="str">
            <v>EUR_EURIBOR_EOD</v>
          </cell>
          <cell r="C554">
            <v>49555</v>
          </cell>
          <cell r="E554">
            <v>1.65860398832294E-2</v>
          </cell>
          <cell r="F554">
            <v>0.71745942311261202</v>
          </cell>
        </row>
        <row r="555">
          <cell r="A555" t="str">
            <v>EUR_EURIBOR_EOD</v>
          </cell>
          <cell r="C555">
            <v>51382</v>
          </cell>
          <cell r="E555">
            <v>1.68330542168794E-2</v>
          </cell>
          <cell r="F555">
            <v>0.65623165678490702</v>
          </cell>
        </row>
        <row r="556">
          <cell r="A556" t="str">
            <v>EUR_EURIBOR_EOD</v>
          </cell>
          <cell r="C556">
            <v>53209</v>
          </cell>
          <cell r="E556">
            <v>1.68280771234301E-2</v>
          </cell>
          <cell r="F556">
            <v>0.60329471047145</v>
          </cell>
        </row>
        <row r="557">
          <cell r="A557" t="str">
            <v>EUR_EURIBOR_EOD</v>
          </cell>
          <cell r="C557">
            <v>56860</v>
          </cell>
          <cell r="E557">
            <v>1.6863674152695698E-2</v>
          </cell>
          <cell r="F557">
            <v>0.50910480073488196</v>
          </cell>
        </row>
        <row r="558">
          <cell r="A558" t="str">
            <v>EUR_EURIBOR_EOD</v>
          </cell>
          <cell r="C558">
            <v>60513</v>
          </cell>
          <cell r="E558">
            <v>1.6251701573558701E-2</v>
          </cell>
          <cell r="F558">
            <v>0.44341331327383798</v>
          </cell>
        </row>
        <row r="559">
          <cell r="A559" t="str">
            <v>EUR_EURIBOR_EOD</v>
          </cell>
          <cell r="C559">
            <v>64165</v>
          </cell>
          <cell r="E559">
            <v>1.5918700099364601E-2</v>
          </cell>
          <cell r="F559">
            <v>0.38448003157479399</v>
          </cell>
        </row>
        <row r="560">
          <cell r="A560" t="str">
            <v>GBP_LIBOR_12M_EOD</v>
          </cell>
          <cell r="C560">
            <v>42614</v>
          </cell>
          <cell r="E560">
            <v>1.0487758952841601E-2</v>
          </cell>
          <cell r="F560">
            <v>0.98953861242914798</v>
          </cell>
        </row>
        <row r="561">
          <cell r="A561" t="str">
            <v>GBP_LIBOR_12M_EOD</v>
          </cell>
          <cell r="C561">
            <v>42646</v>
          </cell>
          <cell r="E561">
            <v>1.0631017560402099E-2</v>
          </cell>
          <cell r="F561">
            <v>0.98847475237106397</v>
          </cell>
        </row>
        <row r="562">
          <cell r="A562" t="str">
            <v>GBP_LIBOR_12M_EOD</v>
          </cell>
          <cell r="C562">
            <v>42675</v>
          </cell>
          <cell r="E562">
            <v>1.0824586275063299E-2</v>
          </cell>
          <cell r="F562">
            <v>0.98741655887198598</v>
          </cell>
        </row>
        <row r="563">
          <cell r="A563" t="str">
            <v>GBP_LIBOR_12M_EOD</v>
          </cell>
          <cell r="C563">
            <v>42705</v>
          </cell>
          <cell r="E563">
            <v>1.1047778705074099E-2</v>
          </cell>
          <cell r="F563">
            <v>0.98626280409895095</v>
          </cell>
        </row>
        <row r="564">
          <cell r="A564" t="str">
            <v>GBP_LIBOR_12M_EOD</v>
          </cell>
          <cell r="C564">
            <v>42738</v>
          </cell>
          <cell r="E564">
            <v>1.12949548957959E-2</v>
          </cell>
          <cell r="F564">
            <v>0.98495129066523102</v>
          </cell>
        </row>
        <row r="565">
          <cell r="A565" t="str">
            <v>GBP_LIBOR_12M_EOD</v>
          </cell>
          <cell r="C565">
            <v>42767</v>
          </cell>
          <cell r="E565">
            <v>1.1538525952060801E-2</v>
          </cell>
          <cell r="F565">
            <v>0.98372702352658503</v>
          </cell>
        </row>
        <row r="566">
          <cell r="A566" t="str">
            <v>GBP_LIBOR_12M_EOD</v>
          </cell>
          <cell r="C566">
            <v>42795</v>
          </cell>
          <cell r="E566">
            <v>1.1646958028551001E-2</v>
          </cell>
          <cell r="F566">
            <v>0.98269696474701396</v>
          </cell>
        </row>
        <row r="567">
          <cell r="A567" t="str">
            <v>GBP_LIBOR_12M_EOD</v>
          </cell>
          <cell r="C567">
            <v>42887</v>
          </cell>
          <cell r="E567">
            <v>1.2269487002607901E-2</v>
          </cell>
          <cell r="F567">
            <v>0.97874904636943705</v>
          </cell>
        </row>
        <row r="568">
          <cell r="A568" t="str">
            <v>GBP_LIBOR_12M_EOD</v>
          </cell>
          <cell r="C568">
            <v>42979</v>
          </cell>
          <cell r="E568">
            <v>1.25773882609173E-2</v>
          </cell>
          <cell r="F568">
            <v>0.97512536660206695</v>
          </cell>
        </row>
        <row r="569">
          <cell r="A569" t="str">
            <v>GBP_LIBOR_12M_EOD</v>
          </cell>
          <cell r="C569">
            <v>43346</v>
          </cell>
          <cell r="E569">
            <v>1.45259756130633E-2</v>
          </cell>
          <cell r="F569">
            <v>0.95724365364992903</v>
          </cell>
        </row>
        <row r="570">
          <cell r="A570" t="str">
            <v>GBP_LIBOR_12M_EOD</v>
          </cell>
          <cell r="C570">
            <v>43710</v>
          </cell>
          <cell r="E570">
            <v>1.6248276134388399E-2</v>
          </cell>
          <cell r="F570">
            <v>0.93699049938923995</v>
          </cell>
        </row>
        <row r="571">
          <cell r="A571" t="str">
            <v>GBP_LIBOR_12M_EOD</v>
          </cell>
          <cell r="C571">
            <v>44075</v>
          </cell>
          <cell r="E571">
            <v>1.77036600459155E-2</v>
          </cell>
          <cell r="F571">
            <v>0.91519757634367205</v>
          </cell>
        </row>
        <row r="572">
          <cell r="A572" t="str">
            <v>GBP_LIBOR_12M_EOD</v>
          </cell>
          <cell r="C572">
            <v>44440</v>
          </cell>
          <cell r="E572">
            <v>1.8836702877861999E-2</v>
          </cell>
          <cell r="F572">
            <v>0.89304042347806001</v>
          </cell>
        </row>
        <row r="573">
          <cell r="A573" t="str">
            <v>GBP_LIBOR_12M_EOD</v>
          </cell>
          <cell r="C573">
            <v>44805</v>
          </cell>
          <cell r="E573">
            <v>1.9717926160976101E-2</v>
          </cell>
          <cell r="F573">
            <v>0.87098238470115297</v>
          </cell>
        </row>
        <row r="574">
          <cell r="A574" t="str">
            <v>GBP_LIBOR_12M_EOD</v>
          </cell>
          <cell r="C574">
            <v>45170</v>
          </cell>
          <cell r="E574">
            <v>2.0395245302492301E-2</v>
          </cell>
          <cell r="F574">
            <v>0.84935867252618602</v>
          </cell>
        </row>
        <row r="575">
          <cell r="A575" t="str">
            <v>GBP_LIBOR_12M_EOD</v>
          </cell>
          <cell r="C575">
            <v>45537</v>
          </cell>
          <cell r="E575">
            <v>2.0938358130608199E-2</v>
          </cell>
          <cell r="F575">
            <v>0.828055842171875</v>
          </cell>
        </row>
        <row r="576">
          <cell r="A576" t="str">
            <v>GBP_LIBOR_12M_EOD</v>
          </cell>
          <cell r="C576">
            <v>45901</v>
          </cell>
          <cell r="E576">
            <v>2.1379089449789699E-2</v>
          </cell>
          <cell r="F576">
            <v>0.80737534037982905</v>
          </cell>
        </row>
        <row r="577">
          <cell r="A577" t="str">
            <v>GBP_LIBOR_12M_EOD</v>
          </cell>
          <cell r="C577">
            <v>46631</v>
          </cell>
          <cell r="E577">
            <v>2.2096033153522501E-2</v>
          </cell>
          <cell r="F577">
            <v>0.76694973901796504</v>
          </cell>
        </row>
        <row r="578">
          <cell r="A578" t="str">
            <v>GBP_LIBOR_12M_EOD</v>
          </cell>
          <cell r="C578">
            <v>47728</v>
          </cell>
          <cell r="E578">
            <v>2.2791982464639201E-2</v>
          </cell>
          <cell r="F578">
            <v>0.71021186226121702</v>
          </cell>
        </row>
        <row r="579">
          <cell r="A579" t="str">
            <v>GBP_LIBOR_12M_EOD</v>
          </cell>
          <cell r="C579">
            <v>49555</v>
          </cell>
          <cell r="E579">
            <v>2.3183007226329301E-2</v>
          </cell>
          <cell r="F579">
            <v>0.62869769484329496</v>
          </cell>
        </row>
        <row r="580">
          <cell r="A580" t="str">
            <v>GBP_LIBOR_12M_EOD</v>
          </cell>
          <cell r="C580">
            <v>51382</v>
          </cell>
          <cell r="E580">
            <v>2.2899505057719999E-2</v>
          </cell>
          <cell r="F580">
            <v>0.56380193300792603</v>
          </cell>
        </row>
        <row r="581">
          <cell r="A581" t="str">
            <v>GBP_LIBOR_12M_EOD</v>
          </cell>
          <cell r="C581">
            <v>53206</v>
          </cell>
          <cell r="E581">
            <v>2.2620674865886401E-2</v>
          </cell>
          <cell r="F581">
            <v>0.50706501870574705</v>
          </cell>
        </row>
        <row r="582">
          <cell r="A582" t="str">
            <v>GBP_LIBOR_12M_EOD</v>
          </cell>
          <cell r="C582">
            <v>56858</v>
          </cell>
          <cell r="E582">
            <v>2.1839584483943301E-2</v>
          </cell>
          <cell r="F582">
            <v>0.41720326740529701</v>
          </cell>
        </row>
        <row r="583">
          <cell r="A583" t="str">
            <v>GBP_LIBOR_12M_EOD</v>
          </cell>
          <cell r="C583">
            <v>60511</v>
          </cell>
          <cell r="E583">
            <v>2.10142326608912E-2</v>
          </cell>
          <cell r="F583">
            <v>0.34942718302009201</v>
          </cell>
        </row>
        <row r="584">
          <cell r="A584" t="str">
            <v>GBP_LIBOR_12M_EOD</v>
          </cell>
          <cell r="C584">
            <v>64164</v>
          </cell>
          <cell r="E584">
            <v>2.0944889821960199E-2</v>
          </cell>
          <cell r="F584">
            <v>0.28433233779433498</v>
          </cell>
        </row>
        <row r="585">
          <cell r="A585" t="str">
            <v>GBP_LIBOR_1M_EOD</v>
          </cell>
          <cell r="C585">
            <v>42278</v>
          </cell>
          <cell r="E585">
            <v>5.0514512044744601E-3</v>
          </cell>
          <cell r="F585">
            <v>0.99958489840828402</v>
          </cell>
        </row>
        <row r="586">
          <cell r="A586" t="str">
            <v>GBP_LIBOR_1M_EOD</v>
          </cell>
          <cell r="C586">
            <v>42310</v>
          </cell>
          <cell r="E586">
            <v>5.1178930707753197E-3</v>
          </cell>
          <cell r="F586">
            <v>0.99913103702639505</v>
          </cell>
        </row>
        <row r="587">
          <cell r="A587" t="str">
            <v>GBP_LIBOR_1M_EOD</v>
          </cell>
          <cell r="C587">
            <v>42339</v>
          </cell>
          <cell r="E587">
            <v>5.1866743738476504E-3</v>
          </cell>
          <cell r="F587">
            <v>0.998707719637563</v>
          </cell>
        </row>
        <row r="588">
          <cell r="A588" t="str">
            <v>GBP_LIBOR_1M_EOD</v>
          </cell>
          <cell r="C588">
            <v>42430</v>
          </cell>
          <cell r="E588">
            <v>5.46175967239876E-3</v>
          </cell>
          <cell r="F588">
            <v>0.99728030711039095</v>
          </cell>
        </row>
        <row r="589">
          <cell r="A589" t="str">
            <v>GBP_LIBOR_1M_EOD</v>
          </cell>
          <cell r="C589">
            <v>42522</v>
          </cell>
          <cell r="E589">
            <v>5.8604935248697601E-3</v>
          </cell>
          <cell r="F589">
            <v>0.99561027893449205</v>
          </cell>
        </row>
        <row r="590">
          <cell r="A590" t="str">
            <v>GBP_LIBOR_1M_EOD</v>
          </cell>
          <cell r="C590">
            <v>42614</v>
          </cell>
          <cell r="E590">
            <v>6.35953275935332E-3</v>
          </cell>
          <cell r="F590">
            <v>0.99364333349639899</v>
          </cell>
        </row>
        <row r="591">
          <cell r="A591" t="str">
            <v>GBP_LIBOR_1M_EOD</v>
          </cell>
          <cell r="C591">
            <v>42979</v>
          </cell>
          <cell r="E591">
            <v>8.4998278314150008E-3</v>
          </cell>
          <cell r="F591">
            <v>0.98312112876341395</v>
          </cell>
        </row>
        <row r="592">
          <cell r="A592" t="str">
            <v>GBP_LIBOR_1M_EOD</v>
          </cell>
          <cell r="C592">
            <v>43346</v>
          </cell>
          <cell r="E592">
            <v>1.0643831656044401E-2</v>
          </cell>
          <cell r="F592">
            <v>0.96848820143596104</v>
          </cell>
        </row>
        <row r="593">
          <cell r="A593" t="str">
            <v>GBP_LIBOR_1M_EOD</v>
          </cell>
          <cell r="C593">
            <v>43710</v>
          </cell>
          <cell r="E593">
            <v>1.2511711306537899E-2</v>
          </cell>
          <cell r="F593">
            <v>0.95111965653490704</v>
          </cell>
        </row>
        <row r="594">
          <cell r="A594" t="str">
            <v>GBP_LIBOR_1M_EOD</v>
          </cell>
          <cell r="C594">
            <v>44075</v>
          </cell>
          <cell r="E594">
            <v>1.40358376175566E-2</v>
          </cell>
          <cell r="F594">
            <v>0.93215506741757603</v>
          </cell>
        </row>
        <row r="595">
          <cell r="A595" t="str">
            <v>GBP_LIBOR_1M_EOD</v>
          </cell>
          <cell r="C595">
            <v>44440</v>
          </cell>
          <cell r="E595">
            <v>1.52237830360086E-2</v>
          </cell>
          <cell r="F595">
            <v>0.91262874213576695</v>
          </cell>
        </row>
        <row r="596">
          <cell r="A596" t="str">
            <v>GBP_LIBOR_1M_EOD</v>
          </cell>
          <cell r="C596">
            <v>44805</v>
          </cell>
          <cell r="E596">
            <v>1.6172418152446001E-2</v>
          </cell>
          <cell r="F596">
            <v>0.89288673464215595</v>
          </cell>
        </row>
        <row r="597">
          <cell r="A597" t="str">
            <v>GBP_LIBOR_1M_EOD</v>
          </cell>
          <cell r="C597">
            <v>45170</v>
          </cell>
          <cell r="E597">
            <v>1.6942920357398202E-2</v>
          </cell>
          <cell r="F597">
            <v>0.87316022972582696</v>
          </cell>
        </row>
        <row r="598">
          <cell r="A598" t="str">
            <v>GBP_LIBOR_1M_EOD</v>
          </cell>
          <cell r="C598">
            <v>45537</v>
          </cell>
          <cell r="E598">
            <v>1.75792709437027E-2</v>
          </cell>
          <cell r="F598">
            <v>0.85350311417943503</v>
          </cell>
        </row>
        <row r="599">
          <cell r="A599" t="str">
            <v>GBP_LIBOR_1M_EOD</v>
          </cell>
          <cell r="C599">
            <v>45901</v>
          </cell>
          <cell r="E599">
            <v>1.8113697907028999E-2</v>
          </cell>
          <cell r="F599">
            <v>0.83419686211269695</v>
          </cell>
        </row>
        <row r="600">
          <cell r="A600" t="str">
            <v>GBP_LIBOR_1M_EOD</v>
          </cell>
          <cell r="C600">
            <v>46631</v>
          </cell>
          <cell r="E600">
            <v>1.90602621841146E-2</v>
          </cell>
          <cell r="F600">
            <v>0.79542413304866399</v>
          </cell>
        </row>
        <row r="601">
          <cell r="A601" t="str">
            <v>GBP_LIBOR_1M_EOD</v>
          </cell>
          <cell r="C601">
            <v>47728</v>
          </cell>
          <cell r="E601">
            <v>2.01137113739202E-2</v>
          </cell>
          <cell r="F601">
            <v>0.73935196390921099</v>
          </cell>
        </row>
        <row r="602">
          <cell r="A602" t="str">
            <v>GBP_LIBOR_1M_EOD</v>
          </cell>
          <cell r="C602">
            <v>49555</v>
          </cell>
          <cell r="E602">
            <v>2.0938144002800401E-2</v>
          </cell>
          <cell r="F602">
            <v>0.65759605555443001</v>
          </cell>
        </row>
        <row r="603">
          <cell r="A603" t="str">
            <v>GBP_LIBOR_1M_EOD</v>
          </cell>
          <cell r="C603">
            <v>51382</v>
          </cell>
          <cell r="E603">
            <v>2.0937684814093398E-2</v>
          </cell>
          <cell r="F603">
            <v>0.59217185416205098</v>
          </cell>
        </row>
        <row r="604">
          <cell r="A604" t="str">
            <v>GBP_LIBOR_1M_EOD</v>
          </cell>
          <cell r="C604">
            <v>53206</v>
          </cell>
          <cell r="E604">
            <v>2.08911826344826E-2</v>
          </cell>
          <cell r="F604">
            <v>0.53408868984055502</v>
          </cell>
        </row>
        <row r="605">
          <cell r="A605" t="str">
            <v>GBP_LIBOR_1M_EOD</v>
          </cell>
          <cell r="C605">
            <v>56858</v>
          </cell>
          <cell r="E605">
            <v>2.0246908082162E-2</v>
          </cell>
          <cell r="F605">
            <v>0.44466635899200302</v>
          </cell>
        </row>
        <row r="606">
          <cell r="A606" t="str">
            <v>GBP_LIBOR_1M_EOD</v>
          </cell>
          <cell r="C606">
            <v>60511</v>
          </cell>
          <cell r="E606">
            <v>1.9757630125492399E-2</v>
          </cell>
          <cell r="F606">
            <v>0.37210276878389398</v>
          </cell>
        </row>
        <row r="607">
          <cell r="A607" t="str">
            <v>GBP_LIBOR_1M_EOD</v>
          </cell>
          <cell r="C607">
            <v>64164</v>
          </cell>
          <cell r="E607">
            <v>1.9824320840883199E-2</v>
          </cell>
          <cell r="F607">
            <v>0.30412141624281003</v>
          </cell>
        </row>
        <row r="608">
          <cell r="A608" t="str">
            <v>GBP_LIBOR_3M_EOD</v>
          </cell>
          <cell r="C608">
            <v>42339</v>
          </cell>
          <cell r="E608">
            <v>5.8520288709879896E-3</v>
          </cell>
          <cell r="F608">
            <v>0.99854206484278096</v>
          </cell>
        </row>
        <row r="609">
          <cell r="A609" t="str">
            <v>GBP_LIBOR_3M_EOD</v>
          </cell>
          <cell r="C609">
            <v>42354</v>
          </cell>
          <cell r="E609">
            <v>5.9743546952539302E-3</v>
          </cell>
          <cell r="F609">
            <v>0.99826648619787295</v>
          </cell>
        </row>
        <row r="610">
          <cell r="A610" t="str">
            <v>GBP_LIBOR_3M_EOD</v>
          </cell>
          <cell r="C610">
            <v>42445</v>
          </cell>
          <cell r="E610">
            <v>6.2567022646158902E-3</v>
          </cell>
          <cell r="F610">
            <v>0.99662879027332796</v>
          </cell>
        </row>
        <row r="611">
          <cell r="A611" t="str">
            <v>GBP_LIBOR_3M_EOD</v>
          </cell>
          <cell r="C611">
            <v>42536</v>
          </cell>
          <cell r="E611">
            <v>6.7034483686041601E-3</v>
          </cell>
          <cell r="F611">
            <v>0.99472466745016097</v>
          </cell>
        </row>
        <row r="612">
          <cell r="A612" t="str">
            <v>GBP_LIBOR_3M_EOD</v>
          </cell>
          <cell r="C612">
            <v>42634</v>
          </cell>
          <cell r="E612">
            <v>7.2231263239309297E-3</v>
          </cell>
          <cell r="F612">
            <v>0.99239039729586098</v>
          </cell>
        </row>
        <row r="613">
          <cell r="A613" t="str">
            <v>GBP_LIBOR_3M_EOD</v>
          </cell>
          <cell r="C613">
            <v>42725</v>
          </cell>
          <cell r="E613">
            <v>7.7389036110626199E-3</v>
          </cell>
          <cell r="F613">
            <v>0.98993738940022902</v>
          </cell>
        </row>
        <row r="614">
          <cell r="A614" t="str">
            <v>GBP_LIBOR_3M_EOD</v>
          </cell>
          <cell r="C614">
            <v>42809</v>
          </cell>
          <cell r="E614">
            <v>8.2720028374090298E-3</v>
          </cell>
          <cell r="F614">
            <v>0.98736652584260298</v>
          </cell>
        </row>
        <row r="615">
          <cell r="A615" t="str">
            <v>GBP_LIBOR_3M_EOD</v>
          </cell>
          <cell r="C615">
            <v>42907</v>
          </cell>
          <cell r="E615">
            <v>8.9027187715982701E-3</v>
          </cell>
          <cell r="F615">
            <v>0.984054816349204</v>
          </cell>
        </row>
        <row r="616">
          <cell r="A616" t="str">
            <v>GBP_LIBOR_3M_EOD</v>
          </cell>
          <cell r="C616">
            <v>42998</v>
          </cell>
          <cell r="E616">
            <v>9.4818045395601604E-3</v>
          </cell>
          <cell r="F616">
            <v>0.98070541011616896</v>
          </cell>
        </row>
        <row r="617">
          <cell r="A617" t="str">
            <v>GBP_LIBOR_3M_EOD</v>
          </cell>
          <cell r="C617">
            <v>43346</v>
          </cell>
          <cell r="E617">
            <v>1.1486103799689101E-2</v>
          </cell>
          <cell r="F617">
            <v>0.96603741104306595</v>
          </cell>
        </row>
        <row r="618">
          <cell r="A618" t="str">
            <v>GBP_LIBOR_3M_EOD</v>
          </cell>
          <cell r="C618">
            <v>43710</v>
          </cell>
          <cell r="E618">
            <v>1.33394327109898E-2</v>
          </cell>
          <cell r="F618">
            <v>0.94797151596784701</v>
          </cell>
        </row>
        <row r="619">
          <cell r="A619" t="str">
            <v>GBP_LIBOR_3M_EOD</v>
          </cell>
          <cell r="C619">
            <v>44075</v>
          </cell>
          <cell r="E619">
            <v>1.48562316692622E-2</v>
          </cell>
          <cell r="F619">
            <v>0.92833505347477097</v>
          </cell>
        </row>
        <row r="620">
          <cell r="A620" t="str">
            <v>GBP_LIBOR_3M_EOD</v>
          </cell>
          <cell r="C620">
            <v>44440</v>
          </cell>
          <cell r="E620">
            <v>1.6017686335322301E-2</v>
          </cell>
          <cell r="F620">
            <v>0.90828789454686498</v>
          </cell>
        </row>
        <row r="621">
          <cell r="A621" t="str">
            <v>GBP_LIBOR_3M_EOD</v>
          </cell>
          <cell r="C621">
            <v>44805</v>
          </cell>
          <cell r="E621">
            <v>1.6926696357253499E-2</v>
          </cell>
          <cell r="F621">
            <v>0.88818109273454104</v>
          </cell>
        </row>
        <row r="622">
          <cell r="A622" t="str">
            <v>GBP_LIBOR_3M_EOD</v>
          </cell>
          <cell r="C622">
            <v>45170</v>
          </cell>
          <cell r="E622">
            <v>1.7670742392026199E-2</v>
          </cell>
          <cell r="F622">
            <v>0.86808749811528096</v>
          </cell>
        </row>
        <row r="623">
          <cell r="A623" t="str">
            <v>GBP_LIBOR_3M_EOD</v>
          </cell>
          <cell r="C623">
            <v>45537</v>
          </cell>
          <cell r="E623">
            <v>1.8280455370482999E-2</v>
          </cell>
          <cell r="F623">
            <v>0.84812738857879499</v>
          </cell>
        </row>
        <row r="624">
          <cell r="A624" t="str">
            <v>GBP_LIBOR_3M_EOD</v>
          </cell>
          <cell r="C624">
            <v>45901</v>
          </cell>
          <cell r="E624">
            <v>1.88016084072214E-2</v>
          </cell>
          <cell r="F624">
            <v>0.82847334284117302</v>
          </cell>
        </row>
        <row r="625">
          <cell r="A625" t="str">
            <v>GBP_LIBOR_3M_EOD</v>
          </cell>
          <cell r="C625">
            <v>46631</v>
          </cell>
          <cell r="E625">
            <v>1.9735182770787299E-2</v>
          </cell>
          <cell r="F625">
            <v>0.78900359619534899</v>
          </cell>
        </row>
        <row r="626">
          <cell r="A626" t="str">
            <v>GBP_LIBOR_3M_EOD</v>
          </cell>
          <cell r="C626">
            <v>47728</v>
          </cell>
          <cell r="E626">
            <v>2.0761278436621001E-2</v>
          </cell>
          <cell r="F626">
            <v>0.73219853609365704</v>
          </cell>
        </row>
        <row r="627">
          <cell r="A627" t="str">
            <v>GBP_LIBOR_3M_EOD</v>
          </cell>
          <cell r="C627">
            <v>49555</v>
          </cell>
          <cell r="E627">
            <v>2.1543517770314002E-2</v>
          </cell>
          <cell r="F627">
            <v>0.64967468969798503</v>
          </cell>
        </row>
        <row r="628">
          <cell r="A628" t="str">
            <v>GBP_LIBOR_3M_EOD</v>
          </cell>
          <cell r="C628">
            <v>51382</v>
          </cell>
          <cell r="E628">
            <v>2.15144475318703E-2</v>
          </cell>
          <cell r="F628">
            <v>0.58368625125366203</v>
          </cell>
        </row>
        <row r="629">
          <cell r="A629" t="str">
            <v>GBP_LIBOR_3M_EOD</v>
          </cell>
          <cell r="C629">
            <v>53206</v>
          </cell>
          <cell r="E629">
            <v>2.1421305698285001E-2</v>
          </cell>
          <cell r="F629">
            <v>0.525655786356375</v>
          </cell>
        </row>
        <row r="630">
          <cell r="A630" t="str">
            <v>GBP_LIBOR_3M_EOD</v>
          </cell>
          <cell r="C630">
            <v>56858</v>
          </cell>
          <cell r="E630">
            <v>2.0732247896787199E-2</v>
          </cell>
          <cell r="F630">
            <v>0.43611124344410501</v>
          </cell>
        </row>
        <row r="631">
          <cell r="A631" t="str">
            <v>GBP_LIBOR_3M_EOD</v>
          </cell>
          <cell r="C631">
            <v>60511</v>
          </cell>
          <cell r="E631">
            <v>2.02118656768316E-2</v>
          </cell>
          <cell r="F631">
            <v>0.36374101620868199</v>
          </cell>
        </row>
        <row r="632">
          <cell r="A632" t="str">
            <v>GBP_LIBOR_3M_EOD</v>
          </cell>
          <cell r="C632">
            <v>64164</v>
          </cell>
          <cell r="E632">
            <v>2.02430880945495E-2</v>
          </cell>
          <cell r="F632">
            <v>0.29656980628076002</v>
          </cell>
        </row>
        <row r="633">
          <cell r="A633" t="str">
            <v>GBP_LIBOR_6M_EOD</v>
          </cell>
          <cell r="C633">
            <v>42430</v>
          </cell>
          <cell r="E633">
            <v>7.4175656874861202E-3</v>
          </cell>
          <cell r="F633">
            <v>0.99630820968179001</v>
          </cell>
        </row>
        <row r="634">
          <cell r="A634" t="str">
            <v>GBP_LIBOR_6M_EOD</v>
          </cell>
          <cell r="C634">
            <v>42614</v>
          </cell>
          <cell r="E634">
            <v>8.2654291173160106E-3</v>
          </cell>
          <cell r="F634">
            <v>0.99174617726643099</v>
          </cell>
        </row>
        <row r="635">
          <cell r="A635" t="str">
            <v>GBP_LIBOR_6M_EOD</v>
          </cell>
          <cell r="C635">
            <v>42795</v>
          </cell>
          <cell r="E635">
            <v>9.3035391632284095E-3</v>
          </cell>
          <cell r="F635">
            <v>0.98615418321967696</v>
          </cell>
        </row>
        <row r="636">
          <cell r="A636" t="str">
            <v>GBP_LIBOR_6M_EOD</v>
          </cell>
          <cell r="C636">
            <v>42979</v>
          </cell>
          <cell r="E636">
            <v>1.04922425251182E-2</v>
          </cell>
          <cell r="F636">
            <v>0.97920600868722096</v>
          </cell>
        </row>
        <row r="637">
          <cell r="A637" t="str">
            <v>GBP_LIBOR_6M_EOD</v>
          </cell>
          <cell r="C637">
            <v>43346</v>
          </cell>
          <cell r="E637">
            <v>1.2632818200814499E-2</v>
          </cell>
          <cell r="F637">
            <v>0.96271074014645397</v>
          </cell>
        </row>
        <row r="638">
          <cell r="A638" t="str">
            <v>GBP_LIBOR_6M_EOD</v>
          </cell>
          <cell r="C638">
            <v>43710</v>
          </cell>
          <cell r="E638">
            <v>1.45090220427422E-2</v>
          </cell>
          <cell r="F638">
            <v>0.94354087756248906</v>
          </cell>
        </row>
        <row r="639">
          <cell r="A639" t="str">
            <v>GBP_LIBOR_6M_EOD</v>
          </cell>
          <cell r="C639">
            <v>44075</v>
          </cell>
          <cell r="E639">
            <v>1.6069099988100501E-2</v>
          </cell>
          <cell r="F639">
            <v>0.92271621622054201</v>
          </cell>
        </row>
        <row r="640">
          <cell r="A640" t="str">
            <v>GBP_LIBOR_6M_EOD</v>
          </cell>
          <cell r="C640">
            <v>44440</v>
          </cell>
          <cell r="E640">
            <v>1.72809221705424E-2</v>
          </cell>
          <cell r="F640">
            <v>0.90142338777346498</v>
          </cell>
        </row>
        <row r="641">
          <cell r="A641" t="str">
            <v>GBP_LIBOR_6M_EOD</v>
          </cell>
          <cell r="C641">
            <v>44805</v>
          </cell>
          <cell r="E641">
            <v>1.82147842761907E-2</v>
          </cell>
          <cell r="F641">
            <v>0.88020248888756503</v>
          </cell>
        </row>
        <row r="642">
          <cell r="A642" t="str">
            <v>GBP_LIBOR_6M_EOD</v>
          </cell>
          <cell r="C642">
            <v>45170</v>
          </cell>
          <cell r="E642">
            <v>1.8957762051370699E-2</v>
          </cell>
          <cell r="F642">
            <v>0.85918932937650305</v>
          </cell>
        </row>
        <row r="643">
          <cell r="A643" t="str">
            <v>GBP_LIBOR_6M_EOD</v>
          </cell>
          <cell r="C643">
            <v>45537</v>
          </cell>
          <cell r="E643">
            <v>1.9580057313681599E-2</v>
          </cell>
          <cell r="F643">
            <v>0.83825318690020201</v>
          </cell>
        </row>
        <row r="644">
          <cell r="A644" t="str">
            <v>GBP_LIBOR_6M_EOD</v>
          </cell>
          <cell r="C644">
            <v>45901</v>
          </cell>
          <cell r="E644">
            <v>2.0086829010932401E-2</v>
          </cell>
          <cell r="F644">
            <v>0.81788512409412994</v>
          </cell>
        </row>
        <row r="645">
          <cell r="A645" t="str">
            <v>GBP_LIBOR_6M_EOD</v>
          </cell>
          <cell r="C645">
            <v>46631</v>
          </cell>
          <cell r="E645">
            <v>2.0936923893179801E-2</v>
          </cell>
          <cell r="F645">
            <v>0.77769942625756605</v>
          </cell>
        </row>
        <row r="646">
          <cell r="A646" t="str">
            <v>GBP_LIBOR_6M_EOD</v>
          </cell>
          <cell r="C646">
            <v>47728</v>
          </cell>
          <cell r="E646">
            <v>2.1780140526608999E-2</v>
          </cell>
          <cell r="F646">
            <v>0.72108340700992501</v>
          </cell>
        </row>
        <row r="647">
          <cell r="A647" t="str">
            <v>GBP_LIBOR_6M_EOD</v>
          </cell>
          <cell r="C647">
            <v>49555</v>
          </cell>
          <cell r="E647">
            <v>2.2319503035712399E-2</v>
          </cell>
          <cell r="F647">
            <v>0.63966024806899302</v>
          </cell>
        </row>
        <row r="648">
          <cell r="A648" t="str">
            <v>GBP_LIBOR_6M_EOD</v>
          </cell>
          <cell r="C648">
            <v>51382</v>
          </cell>
          <cell r="E648">
            <v>2.2162690843286599E-2</v>
          </cell>
          <cell r="F648">
            <v>0.57429404035974096</v>
          </cell>
        </row>
        <row r="649">
          <cell r="A649" t="str">
            <v>GBP_LIBOR_6M_EOD</v>
          </cell>
          <cell r="C649">
            <v>53206</v>
          </cell>
          <cell r="E649">
            <v>2.1967517627718099E-2</v>
          </cell>
          <cell r="F649">
            <v>0.51710620053673695</v>
          </cell>
        </row>
        <row r="650">
          <cell r="A650" t="str">
            <v>GBP_LIBOR_6M_EOD</v>
          </cell>
          <cell r="C650">
            <v>56858</v>
          </cell>
          <cell r="E650">
            <v>2.11643677305456E-2</v>
          </cell>
          <cell r="F650">
            <v>0.42863284960407999</v>
          </cell>
        </row>
        <row r="651">
          <cell r="A651" t="str">
            <v>GBP_LIBOR_6M_EOD</v>
          </cell>
          <cell r="C651">
            <v>60511</v>
          </cell>
          <cell r="E651">
            <v>2.0590386965998801E-2</v>
          </cell>
          <cell r="F651">
            <v>0.356916754684726</v>
          </cell>
        </row>
        <row r="652">
          <cell r="A652" t="str">
            <v>GBP_LIBOR_6M_EOD</v>
          </cell>
          <cell r="C652">
            <v>64164</v>
          </cell>
          <cell r="E652">
            <v>2.05773255792722E-2</v>
          </cell>
          <cell r="F652">
            <v>0.290677302131779</v>
          </cell>
        </row>
        <row r="653">
          <cell r="A653" t="str">
            <v>GBP_LIBOR_EOD</v>
          </cell>
          <cell r="C653">
            <v>42249</v>
          </cell>
          <cell r="E653">
            <v>4.8124682739924098E-3</v>
          </cell>
          <cell r="F653">
            <v>0.99998681524233302</v>
          </cell>
        </row>
        <row r="654">
          <cell r="A654" t="str">
            <v>GBP_LIBOR_EOD</v>
          </cell>
          <cell r="C654">
            <v>42255</v>
          </cell>
          <cell r="E654">
            <v>4.8922704857293298E-3</v>
          </cell>
          <cell r="F654">
            <v>0.99990618003588805</v>
          </cell>
        </row>
        <row r="655">
          <cell r="A655" t="str">
            <v>GBP_LIBOR_EOD</v>
          </cell>
          <cell r="C655">
            <v>42354</v>
          </cell>
          <cell r="E655">
            <v>5.8526167462529897E-3</v>
          </cell>
          <cell r="F655">
            <v>0.99830177956954902</v>
          </cell>
        </row>
        <row r="656">
          <cell r="A656" t="str">
            <v>GBP_LIBOR_EOD</v>
          </cell>
          <cell r="C656">
            <v>42445</v>
          </cell>
          <cell r="E656">
            <v>6.1911985966259702E-3</v>
          </cell>
          <cell r="F656">
            <v>0.99666402574482205</v>
          </cell>
        </row>
        <row r="657">
          <cell r="A657" t="str">
            <v>GBP_LIBOR_EOD</v>
          </cell>
          <cell r="C657">
            <v>42536</v>
          </cell>
          <cell r="E657">
            <v>6.6586420401526097E-3</v>
          </cell>
          <cell r="F657">
            <v>0.99475983560204095</v>
          </cell>
        </row>
        <row r="658">
          <cell r="A658" t="str">
            <v>GBP_LIBOR_EOD</v>
          </cell>
          <cell r="C658">
            <v>42634</v>
          </cell>
          <cell r="E658">
            <v>7.18969569544896E-3</v>
          </cell>
          <cell r="F658">
            <v>0.99242548292041399</v>
          </cell>
        </row>
        <row r="659">
          <cell r="A659" t="str">
            <v>GBP_LIBOR_EOD</v>
          </cell>
          <cell r="C659">
            <v>42725</v>
          </cell>
          <cell r="E659">
            <v>7.7118507335067797E-3</v>
          </cell>
          <cell r="F659">
            <v>0.98997238829952305</v>
          </cell>
        </row>
        <row r="660">
          <cell r="A660" t="str">
            <v>GBP_LIBOR_EOD</v>
          </cell>
          <cell r="C660">
            <v>42809</v>
          </cell>
          <cell r="E660">
            <v>8.2490006580969704E-3</v>
          </cell>
          <cell r="F660">
            <v>0.98740143384989099</v>
          </cell>
        </row>
        <row r="661">
          <cell r="A661" t="str">
            <v>GBP_LIBOR_EOD</v>
          </cell>
          <cell r="C661">
            <v>42907</v>
          </cell>
          <cell r="E661">
            <v>8.8831372502111202E-3</v>
          </cell>
          <cell r="F661">
            <v>0.98408960727213102</v>
          </cell>
        </row>
        <row r="662">
          <cell r="A662" t="str">
            <v>GBP_LIBOR_EOD</v>
          </cell>
          <cell r="C662">
            <v>42998</v>
          </cell>
          <cell r="E662">
            <v>9.4645989094346902E-3</v>
          </cell>
          <cell r="F662">
            <v>0.98074008262197898</v>
          </cell>
        </row>
        <row r="663">
          <cell r="A663" t="str">
            <v>GBP_LIBOR_EOD</v>
          </cell>
          <cell r="C663">
            <v>43346</v>
          </cell>
          <cell r="E663">
            <v>1.26586927018631E-2</v>
          </cell>
          <cell r="F663">
            <v>0.96263580934555704</v>
          </cell>
        </row>
        <row r="664">
          <cell r="A664" t="str">
            <v>GBP_LIBOR_EOD</v>
          </cell>
          <cell r="C664">
            <v>43710</v>
          </cell>
          <cell r="E664">
            <v>1.45410314573015E-2</v>
          </cell>
          <cell r="F664">
            <v>0.94341991106152401</v>
          </cell>
        </row>
        <row r="665">
          <cell r="A665" t="str">
            <v>GBP_LIBOR_EOD</v>
          </cell>
          <cell r="C665">
            <v>44075</v>
          </cell>
          <cell r="E665">
            <v>1.6107233432335898E-2</v>
          </cell>
          <cell r="F665">
            <v>0.92254010848967705</v>
          </cell>
        </row>
        <row r="666">
          <cell r="A666" t="str">
            <v>GBP_LIBOR_EOD</v>
          </cell>
          <cell r="C666">
            <v>44440</v>
          </cell>
          <cell r="E666">
            <v>1.7324467158697499E-2</v>
          </cell>
          <cell r="F666">
            <v>0.90118768868697796</v>
          </cell>
        </row>
        <row r="667">
          <cell r="A667" t="str">
            <v>GBP_LIBOR_EOD</v>
          </cell>
          <cell r="C667">
            <v>44805</v>
          </cell>
          <cell r="E667">
            <v>1.82630025453554E-2</v>
          </cell>
          <cell r="F667">
            <v>0.87990521365727303</v>
          </cell>
        </row>
        <row r="668">
          <cell r="A668" t="str">
            <v>GBP_LIBOR_EOD</v>
          </cell>
          <cell r="C668">
            <v>45170</v>
          </cell>
          <cell r="E668">
            <v>1.9009909415695699E-2</v>
          </cell>
          <cell r="F668">
            <v>0.85883072305869201</v>
          </cell>
        </row>
        <row r="669">
          <cell r="A669" t="str">
            <v>GBP_LIBOR_EOD</v>
          </cell>
          <cell r="C669">
            <v>45537</v>
          </cell>
          <cell r="E669">
            <v>1.9635752162059199E-2</v>
          </cell>
          <cell r="F669">
            <v>0.83783260335797105</v>
          </cell>
        </row>
        <row r="670">
          <cell r="A670" t="str">
            <v>GBP_LIBOR_EOD</v>
          </cell>
          <cell r="C670">
            <v>45901</v>
          </cell>
          <cell r="E670">
            <v>2.01455569536882E-2</v>
          </cell>
          <cell r="F670">
            <v>0.81740454344462699</v>
          </cell>
        </row>
        <row r="671">
          <cell r="A671" t="str">
            <v>GBP_LIBOR_EOD</v>
          </cell>
          <cell r="C671">
            <v>46631</v>
          </cell>
          <cell r="E671">
            <v>2.1000934816535699E-2</v>
          </cell>
          <cell r="F671">
            <v>0.77710187168285505</v>
          </cell>
        </row>
        <row r="672">
          <cell r="A672" t="str">
            <v>GBP_LIBOR_EOD</v>
          </cell>
          <cell r="C672">
            <v>47728</v>
          </cell>
          <cell r="E672">
            <v>2.1847357342942301E-2</v>
          </cell>
          <cell r="F672">
            <v>0.72035607615108599</v>
          </cell>
        </row>
        <row r="673">
          <cell r="A673" t="str">
            <v>GBP_LIBOR_EOD</v>
          </cell>
          <cell r="C673">
            <v>49555</v>
          </cell>
          <cell r="E673">
            <v>2.2380786223296801E-2</v>
          </cell>
          <cell r="F673">
            <v>0.63887596909108801</v>
          </cell>
        </row>
        <row r="674">
          <cell r="A674" t="str">
            <v>GBP_LIBOR_EOD</v>
          </cell>
          <cell r="C674">
            <v>51382</v>
          </cell>
          <cell r="E674">
            <v>2.22099332078819E-2</v>
          </cell>
          <cell r="F674">
            <v>0.57361549733893202</v>
          </cell>
        </row>
        <row r="675">
          <cell r="A675" t="str">
            <v>GBP_LIBOR_EOD</v>
          </cell>
          <cell r="C675">
            <v>53206</v>
          </cell>
          <cell r="E675">
            <v>2.2003841849176701E-2</v>
          </cell>
          <cell r="F675">
            <v>0.51654259180958095</v>
          </cell>
        </row>
        <row r="676">
          <cell r="A676" t="str">
            <v>GBP_LIBOR_EOD</v>
          </cell>
          <cell r="C676">
            <v>56858</v>
          </cell>
          <cell r="E676">
            <v>2.1175273877180999E-2</v>
          </cell>
          <cell r="F676">
            <v>0.42844577305739501</v>
          </cell>
        </row>
        <row r="677">
          <cell r="A677" t="str">
            <v>GBP_LIBOR_EOD</v>
          </cell>
          <cell r="C677">
            <v>60511</v>
          </cell>
          <cell r="E677">
            <v>2.0584451920956599E-2</v>
          </cell>
          <cell r="F677">
            <v>0.35702276172174102</v>
          </cell>
        </row>
        <row r="678">
          <cell r="A678" t="str">
            <v>GBP_LIBOR_EOD</v>
          </cell>
          <cell r="C678">
            <v>64164</v>
          </cell>
          <cell r="E678">
            <v>2.0570873447718199E-2</v>
          </cell>
          <cell r="F678">
            <v>0.29078993545281601</v>
          </cell>
        </row>
        <row r="679">
          <cell r="A679" t="str">
            <v>GBP_SONIA_EOD</v>
          </cell>
          <cell r="C679">
            <v>42249</v>
          </cell>
          <cell r="E679">
            <v>4.5859711901054196E-3</v>
          </cell>
          <cell r="F679">
            <v>0.99998743577430005</v>
          </cell>
        </row>
        <row r="680">
          <cell r="A680" t="str">
            <v>GBP_SONIA_EOD</v>
          </cell>
          <cell r="C680">
            <v>42255</v>
          </cell>
          <cell r="E680">
            <v>4.5997971078291598E-3</v>
          </cell>
          <cell r="F680">
            <v>0.99991178860385499</v>
          </cell>
        </row>
        <row r="681">
          <cell r="A681" t="str">
            <v>GBP_SONIA_EOD</v>
          </cell>
          <cell r="C681">
            <v>42262</v>
          </cell>
          <cell r="E681">
            <v>4.6005940630814398E-3</v>
          </cell>
          <cell r="F681">
            <v>0.99982355442620596</v>
          </cell>
        </row>
        <row r="682">
          <cell r="A682" t="str">
            <v>GBP_SONIA_EOD</v>
          </cell>
          <cell r="C682">
            <v>42278</v>
          </cell>
          <cell r="E682">
            <v>4.5962567163172104E-3</v>
          </cell>
          <cell r="F682">
            <v>0.99962229682318204</v>
          </cell>
        </row>
        <row r="683">
          <cell r="A683" t="str">
            <v>GBP_SONIA_EOD</v>
          </cell>
          <cell r="C683">
            <v>42310</v>
          </cell>
          <cell r="E683">
            <v>4.6128589855388702E-3</v>
          </cell>
          <cell r="F683">
            <v>0.99921675276932398</v>
          </cell>
        </row>
        <row r="684">
          <cell r="A684" t="str">
            <v>GBP_SONIA_EOD</v>
          </cell>
          <cell r="C684">
            <v>42339</v>
          </cell>
          <cell r="E684">
            <v>4.6973733180202103E-3</v>
          </cell>
          <cell r="F684">
            <v>0.99882955954984698</v>
          </cell>
        </row>
        <row r="685">
          <cell r="A685" t="str">
            <v>GBP_SONIA_EOD</v>
          </cell>
          <cell r="C685">
            <v>42373</v>
          </cell>
          <cell r="E685">
            <v>4.7571228574932404E-3</v>
          </cell>
          <cell r="F685">
            <v>0.99837217468367501</v>
          </cell>
        </row>
        <row r="686">
          <cell r="A686" t="str">
            <v>GBP_SONIA_EOD</v>
          </cell>
          <cell r="C686">
            <v>42401</v>
          </cell>
          <cell r="E686">
            <v>4.8056564289502999E-3</v>
          </cell>
          <cell r="F686">
            <v>0.99798760174847601</v>
          </cell>
        </row>
        <row r="687">
          <cell r="A687" t="str">
            <v>GBP_SONIA_EOD</v>
          </cell>
          <cell r="C687">
            <v>42430</v>
          </cell>
          <cell r="E687">
            <v>4.9345492517145501E-3</v>
          </cell>
          <cell r="F687">
            <v>0.99754250961642099</v>
          </cell>
        </row>
        <row r="688">
          <cell r="A688" t="str">
            <v>GBP_SONIA_EOD</v>
          </cell>
          <cell r="C688">
            <v>42461</v>
          </cell>
          <cell r="E688">
            <v>5.0436951406602204E-3</v>
          </cell>
          <cell r="F688">
            <v>0.997061020254292</v>
          </cell>
        </row>
        <row r="689">
          <cell r="A689" t="str">
            <v>GBP_SONIA_EOD</v>
          </cell>
          <cell r="C689">
            <v>42493</v>
          </cell>
          <cell r="E689">
            <v>5.1199421282898498E-3</v>
          </cell>
          <cell r="F689">
            <v>0.99656922511981705</v>
          </cell>
        </row>
        <row r="690">
          <cell r="A690" t="str">
            <v>GBP_SONIA_EOD</v>
          </cell>
          <cell r="C690">
            <v>42522</v>
          </cell>
          <cell r="E690">
            <v>5.2640853232765496E-3</v>
          </cell>
          <cell r="F690">
            <v>0.99605612804116495</v>
          </cell>
        </row>
        <row r="691">
          <cell r="A691" t="str">
            <v>GBP_SONIA_EOD</v>
          </cell>
          <cell r="C691">
            <v>42552</v>
          </cell>
          <cell r="E691">
            <v>5.4018301807736797E-3</v>
          </cell>
          <cell r="F691">
            <v>0.99551104704153504</v>
          </cell>
        </row>
        <row r="692">
          <cell r="A692" t="str">
            <v>GBP_SONIA_EOD</v>
          </cell>
          <cell r="C692">
            <v>42583</v>
          </cell>
          <cell r="E692">
            <v>5.5307719284305203E-3</v>
          </cell>
          <cell r="F692">
            <v>0.99493667413502895</v>
          </cell>
        </row>
        <row r="693">
          <cell r="A693" t="str">
            <v>GBP_SONIA_EOD</v>
          </cell>
          <cell r="C693">
            <v>42614</v>
          </cell>
          <cell r="E693">
            <v>5.6710118198960002E-3</v>
          </cell>
          <cell r="F693">
            <v>0.99432958897628498</v>
          </cell>
        </row>
        <row r="694">
          <cell r="A694" t="str">
            <v>GBP_SONIA_EOD</v>
          </cell>
          <cell r="C694">
            <v>42705</v>
          </cell>
          <cell r="E694">
            <v>6.0925818491108803E-3</v>
          </cell>
          <cell r="F694">
            <v>0.992400774915151</v>
          </cell>
        </row>
        <row r="695">
          <cell r="A695" t="str">
            <v>GBP_SONIA_EOD</v>
          </cell>
          <cell r="C695">
            <v>42795</v>
          </cell>
          <cell r="E695">
            <v>6.5568478618891497E-3</v>
          </cell>
          <cell r="F695">
            <v>0.990221830432787</v>
          </cell>
        </row>
        <row r="696">
          <cell r="A696" t="str">
            <v>GBP_SONIA_EOD</v>
          </cell>
          <cell r="C696">
            <v>42887</v>
          </cell>
          <cell r="E696">
            <v>7.0780045270369199E-3</v>
          </cell>
          <cell r="F696">
            <v>0.98768510085288197</v>
          </cell>
        </row>
        <row r="697">
          <cell r="A697" t="str">
            <v>GBP_SONIA_EOD</v>
          </cell>
          <cell r="C697">
            <v>42979</v>
          </cell>
          <cell r="E697">
            <v>7.5977627193596102E-3</v>
          </cell>
          <cell r="F697">
            <v>0.98489884232901903</v>
          </cell>
        </row>
        <row r="698">
          <cell r="A698" t="str">
            <v>GBP_SONIA_EOD</v>
          </cell>
          <cell r="C698">
            <v>43346</v>
          </cell>
          <cell r="E698">
            <v>9.6290867061233406E-3</v>
          </cell>
          <cell r="F698">
            <v>0.97144910140551199</v>
          </cell>
        </row>
        <row r="699">
          <cell r="A699" t="str">
            <v>GBP_SONIA_EOD</v>
          </cell>
          <cell r="C699">
            <v>43710</v>
          </cell>
          <cell r="E699">
            <v>1.13963122150264E-2</v>
          </cell>
          <cell r="F699">
            <v>0.95537848809253001</v>
          </cell>
        </row>
        <row r="700">
          <cell r="A700" t="str">
            <v>GBP_SONIA_EOD</v>
          </cell>
          <cell r="C700">
            <v>44075</v>
          </cell>
          <cell r="E700">
            <v>1.28763076250574E-2</v>
          </cell>
          <cell r="F700">
            <v>0.93758102965969603</v>
          </cell>
        </row>
        <row r="701">
          <cell r="A701" t="str">
            <v>GBP_SONIA_EOD</v>
          </cell>
          <cell r="C701">
            <v>44440</v>
          </cell>
          <cell r="E701">
            <v>1.4013155123733001E-2</v>
          </cell>
          <cell r="F701">
            <v>0.91928809786169996</v>
          </cell>
        </row>
        <row r="702">
          <cell r="A702" t="str">
            <v>GBP_SONIA_EOD</v>
          </cell>
          <cell r="C702">
            <v>44805</v>
          </cell>
          <cell r="E702">
            <v>1.49233155784369E-2</v>
          </cell>
          <cell r="F702">
            <v>0.900734280890093</v>
          </cell>
        </row>
        <row r="703">
          <cell r="A703" t="str">
            <v>GBP_SONIA_EOD</v>
          </cell>
          <cell r="C703">
            <v>45170</v>
          </cell>
          <cell r="E703">
            <v>1.56815441271945E-2</v>
          </cell>
          <cell r="F703">
            <v>0.88202200060773195</v>
          </cell>
        </row>
        <row r="704">
          <cell r="A704" t="str">
            <v>GBP_SONIA_EOD</v>
          </cell>
          <cell r="C704">
            <v>45537</v>
          </cell>
          <cell r="E704">
            <v>1.6332159141810201E-2</v>
          </cell>
          <cell r="F704">
            <v>0.86314859813967204</v>
          </cell>
        </row>
        <row r="705">
          <cell r="A705" t="str">
            <v>GBP_SONIA_EOD</v>
          </cell>
          <cell r="C705">
            <v>45901</v>
          </cell>
          <cell r="E705">
            <v>1.6880740088518101E-2</v>
          </cell>
          <cell r="F705">
            <v>0.84455438420695494</v>
          </cell>
        </row>
        <row r="706">
          <cell r="A706" t="str">
            <v>GBP_SONIA_EOD</v>
          </cell>
          <cell r="C706">
            <v>46631</v>
          </cell>
          <cell r="E706">
            <v>1.7883346329855599E-2</v>
          </cell>
          <cell r="F706">
            <v>0.80674540612333001</v>
          </cell>
        </row>
        <row r="707">
          <cell r="A707" t="str">
            <v>GBP_SONIA_EOD</v>
          </cell>
          <cell r="C707">
            <v>47728</v>
          </cell>
          <cell r="E707">
            <v>1.90358588415914E-2</v>
          </cell>
          <cell r="F707">
            <v>0.75141389954738702</v>
          </cell>
        </row>
        <row r="708">
          <cell r="A708" t="str">
            <v>GBP_SONIA_EOD</v>
          </cell>
          <cell r="C708">
            <v>49555</v>
          </cell>
          <cell r="E708">
            <v>2.0019692792033E-2</v>
          </cell>
          <cell r="F708">
            <v>0.66979887705950802</v>
          </cell>
        </row>
        <row r="709">
          <cell r="A709" t="str">
            <v>GBP_SONIA_EOD</v>
          </cell>
          <cell r="C709">
            <v>51382</v>
          </cell>
          <cell r="E709">
            <v>2.0136956251813699E-2</v>
          </cell>
          <cell r="F709">
            <v>0.604157451345125</v>
          </cell>
        </row>
        <row r="710">
          <cell r="A710" t="str">
            <v>GBP_SONIA_EOD</v>
          </cell>
          <cell r="C710">
            <v>53206</v>
          </cell>
          <cell r="E710">
            <v>2.0163648296982702E-2</v>
          </cell>
          <cell r="F710">
            <v>0.54588257422678199</v>
          </cell>
        </row>
        <row r="711">
          <cell r="A711" t="str">
            <v>GBP_SONIA_EOD</v>
          </cell>
          <cell r="C711">
            <v>56858</v>
          </cell>
          <cell r="E711">
            <v>1.96067080298842E-2</v>
          </cell>
          <cell r="F711">
            <v>0.45620842967463399</v>
          </cell>
        </row>
        <row r="712">
          <cell r="A712" t="str">
            <v>GBP_SONIA_EOD</v>
          </cell>
          <cell r="C712">
            <v>60511</v>
          </cell>
          <cell r="E712">
            <v>1.9177587128749101E-2</v>
          </cell>
          <cell r="F712">
            <v>0.38306047894802198</v>
          </cell>
        </row>
        <row r="713">
          <cell r="A713" t="str">
            <v>GBP_SONIA_EOD</v>
          </cell>
          <cell r="C713">
            <v>64164</v>
          </cell>
          <cell r="E713">
            <v>1.92928060353314E-2</v>
          </cell>
          <cell r="F713">
            <v>0.313983741158258</v>
          </cell>
        </row>
        <row r="714">
          <cell r="A714" t="str">
            <v>HKD_HIBOR_3M_EOD</v>
          </cell>
          <cell r="C714">
            <v>42339</v>
          </cell>
          <cell r="E714">
            <v>4.10459908647686E-3</v>
          </cell>
          <cell r="F714">
            <v>0.99897718502979604</v>
          </cell>
        </row>
        <row r="715">
          <cell r="A715" t="str">
            <v>HKD_HIBOR_3M_EOD</v>
          </cell>
          <cell r="C715">
            <v>42430</v>
          </cell>
          <cell r="E715">
            <v>5.0001320041580498E-3</v>
          </cell>
          <cell r="F715">
            <v>0.99750988897667403</v>
          </cell>
        </row>
        <row r="716">
          <cell r="A716" t="str">
            <v>HKD_HIBOR_3M_EOD</v>
          </cell>
          <cell r="C716">
            <v>42522</v>
          </cell>
          <cell r="E716">
            <v>5.8371264734819704E-3</v>
          </cell>
          <cell r="F716">
            <v>0.99562774337965099</v>
          </cell>
        </row>
        <row r="717">
          <cell r="A717" t="str">
            <v>HKD_HIBOR_3M_EOD</v>
          </cell>
          <cell r="C717">
            <v>42614</v>
          </cell>
          <cell r="E717">
            <v>6.5209188911274103E-3</v>
          </cell>
          <cell r="F717">
            <v>0.99348254690954096</v>
          </cell>
        </row>
        <row r="718">
          <cell r="A718" t="str">
            <v>HKD_HIBOR_3M_EOD</v>
          </cell>
          <cell r="C718">
            <v>42979</v>
          </cell>
          <cell r="E718">
            <v>9.8464091172956996E-3</v>
          </cell>
          <cell r="F718">
            <v>0.980473368655851</v>
          </cell>
        </row>
        <row r="719">
          <cell r="A719" t="str">
            <v>HKD_HIBOR_3M_EOD</v>
          </cell>
          <cell r="C719">
            <v>43346</v>
          </cell>
          <cell r="E719">
            <v>1.2617673821608499E-2</v>
          </cell>
          <cell r="F719">
            <v>0.96275459994785695</v>
          </cell>
        </row>
        <row r="720">
          <cell r="A720" t="str">
            <v>HKD_HIBOR_3M_EOD</v>
          </cell>
          <cell r="C720">
            <v>43710</v>
          </cell>
          <cell r="E720">
            <v>1.49219323629496E-2</v>
          </cell>
          <cell r="F720">
            <v>0.94198164148534402</v>
          </cell>
        </row>
        <row r="721">
          <cell r="A721" t="str">
            <v>HKD_HIBOR_3M_EOD</v>
          </cell>
          <cell r="C721">
            <v>44075</v>
          </cell>
          <cell r="E721">
            <v>1.66111144551419E-2</v>
          </cell>
          <cell r="F721">
            <v>0.920216240918595</v>
          </cell>
        </row>
        <row r="722">
          <cell r="A722" t="str">
            <v>HKD_HIBOR_3M_EOD</v>
          </cell>
          <cell r="C722">
            <v>44805</v>
          </cell>
          <cell r="E722">
            <v>1.9334644367449399E-2</v>
          </cell>
          <cell r="F722">
            <v>0.87332417828575803</v>
          </cell>
        </row>
        <row r="723">
          <cell r="A723" t="str">
            <v>HKD_HIBOR_3M_EOD</v>
          </cell>
          <cell r="C723">
            <v>45901</v>
          </cell>
          <cell r="E723">
            <v>2.1726840641548201E-2</v>
          </cell>
          <cell r="F723">
            <v>0.80457025953940098</v>
          </cell>
        </row>
        <row r="724">
          <cell r="A724" t="str">
            <v>HKD_HIBOR_3M_EOD</v>
          </cell>
          <cell r="C724">
            <v>46631</v>
          </cell>
          <cell r="E724">
            <v>2.2455940576711901E-2</v>
          </cell>
          <cell r="F724">
            <v>0.76364225179481304</v>
          </cell>
        </row>
        <row r="725">
          <cell r="A725" t="str">
            <v>HKD_HIBOR_3M_EOD</v>
          </cell>
          <cell r="C725">
            <v>47728</v>
          </cell>
          <cell r="E725">
            <v>2.3388912820884799E-2</v>
          </cell>
          <cell r="F725">
            <v>0.70387528649692299</v>
          </cell>
        </row>
        <row r="726">
          <cell r="A726" t="str">
            <v>HKD_HIBOR_6M_EOD</v>
          </cell>
          <cell r="C726">
            <v>42430</v>
          </cell>
          <cell r="E726">
            <v>5.6503328214977701E-3</v>
          </cell>
          <cell r="F726">
            <v>0.99718653899169596</v>
          </cell>
        </row>
        <row r="727">
          <cell r="A727" t="str">
            <v>HKD_HIBOR_6M_EOD</v>
          </cell>
          <cell r="C727">
            <v>42614</v>
          </cell>
          <cell r="E727">
            <v>8.1276680904520792E-3</v>
          </cell>
          <cell r="F727">
            <v>0.99188318501325201</v>
          </cell>
        </row>
        <row r="728">
          <cell r="A728" t="str">
            <v>HKD_HIBOR_6M_EOD</v>
          </cell>
          <cell r="C728">
            <v>42979</v>
          </cell>
          <cell r="E728">
            <v>1.1240030164921099E-2</v>
          </cell>
          <cell r="F728">
            <v>0.97774062382673699</v>
          </cell>
        </row>
        <row r="729">
          <cell r="A729" t="str">
            <v>HKD_HIBOR_6M_EOD</v>
          </cell>
          <cell r="C729">
            <v>43346</v>
          </cell>
          <cell r="E729">
            <v>1.3909448507842001E-2</v>
          </cell>
          <cell r="F729">
            <v>0.95902065165524597</v>
          </cell>
        </row>
        <row r="730">
          <cell r="A730" t="str">
            <v>HKD_HIBOR_6M_EOD</v>
          </cell>
          <cell r="C730">
            <v>43710</v>
          </cell>
          <cell r="E730">
            <v>1.61103973731648E-2</v>
          </cell>
          <cell r="F730">
            <v>0.93750811456160699</v>
          </cell>
        </row>
        <row r="731">
          <cell r="A731" t="str">
            <v>HKD_HIBOR_6M_EOD</v>
          </cell>
          <cell r="C731">
            <v>44075</v>
          </cell>
          <cell r="E731">
            <v>1.76963906841048E-2</v>
          </cell>
          <cell r="F731">
            <v>0.91523087791534696</v>
          </cell>
        </row>
        <row r="732">
          <cell r="A732" t="str">
            <v>HKD_HIBOR_6M_EOD</v>
          </cell>
          <cell r="C732">
            <v>44805</v>
          </cell>
          <cell r="E732">
            <v>2.0316405634760702E-2</v>
          </cell>
          <cell r="F732">
            <v>0.86733831736058298</v>
          </cell>
        </row>
        <row r="733">
          <cell r="A733" t="str">
            <v>HKD_HIBOR_6M_EOD</v>
          </cell>
          <cell r="C733">
            <v>45901</v>
          </cell>
          <cell r="E733">
            <v>2.2712366046536502E-2</v>
          </cell>
          <cell r="F733">
            <v>0.79667350630093003</v>
          </cell>
        </row>
        <row r="734">
          <cell r="A734" t="str">
            <v>HKD_HIBOR_6M_EOD</v>
          </cell>
          <cell r="C734">
            <v>46631</v>
          </cell>
          <cell r="E734">
            <v>2.3555021802736699E-2</v>
          </cell>
          <cell r="F734">
            <v>0.753629911857982</v>
          </cell>
        </row>
        <row r="735">
          <cell r="A735" t="str">
            <v>HKD_HIBOR_6M_EOD</v>
          </cell>
          <cell r="C735">
            <v>47728</v>
          </cell>
          <cell r="E735">
            <v>2.4484236043351301E-2</v>
          </cell>
          <cell r="F735">
            <v>0.69239481708417205</v>
          </cell>
        </row>
        <row r="736">
          <cell r="A736" t="str">
            <v>HKD_HIBOR_EOD</v>
          </cell>
          <cell r="C736">
            <v>42249</v>
          </cell>
          <cell r="E736">
            <v>5.4809958855390995E-4</v>
          </cell>
          <cell r="F736">
            <v>0.99999849835841903</v>
          </cell>
        </row>
        <row r="737">
          <cell r="A737" t="str">
            <v>HKD_HIBOR_EOD</v>
          </cell>
          <cell r="C737">
            <v>42255</v>
          </cell>
          <cell r="E737">
            <v>1.07928882998014E-3</v>
          </cell>
          <cell r="F737">
            <v>0.99997930152432601</v>
          </cell>
        </row>
        <row r="738">
          <cell r="A738" t="str">
            <v>HKD_HIBOR_EOD</v>
          </cell>
          <cell r="C738">
            <v>42279</v>
          </cell>
          <cell r="E738">
            <v>2.6022124215610101E-3</v>
          </cell>
          <cell r="F738">
            <v>0.99977901459876595</v>
          </cell>
        </row>
        <row r="739">
          <cell r="A739" t="str">
            <v>HKD_HIBOR_EOD</v>
          </cell>
          <cell r="C739">
            <v>42310</v>
          </cell>
          <cell r="E739">
            <v>3.3490472175966598E-3</v>
          </cell>
          <cell r="F739">
            <v>0.99943128252772295</v>
          </cell>
        </row>
        <row r="740">
          <cell r="A740" t="str">
            <v>HKD_HIBOR_EOD</v>
          </cell>
          <cell r="C740">
            <v>42339</v>
          </cell>
          <cell r="E740">
            <v>4.10459908647686E-3</v>
          </cell>
          <cell r="F740">
            <v>0.99897718502979604</v>
          </cell>
        </row>
        <row r="741">
          <cell r="A741" t="str">
            <v>HKD_HIBOR_EOD</v>
          </cell>
          <cell r="C741">
            <v>42430</v>
          </cell>
          <cell r="E741">
            <v>5.6503328214977701E-3</v>
          </cell>
          <cell r="F741">
            <v>0.99718653899169596</v>
          </cell>
        </row>
        <row r="742">
          <cell r="A742" t="str">
            <v>HKD_HIBOR_EOD</v>
          </cell>
          <cell r="C742">
            <v>42614</v>
          </cell>
          <cell r="E742">
            <v>6.6302475195223502E-3</v>
          </cell>
          <cell r="F742">
            <v>0.99337363921682498</v>
          </cell>
        </row>
        <row r="743">
          <cell r="A743" t="str">
            <v>HKD_HIBOR_EOD</v>
          </cell>
          <cell r="C743">
            <v>42979</v>
          </cell>
          <cell r="E743">
            <v>9.8457748486540791E-3</v>
          </cell>
          <cell r="F743">
            <v>0.98047461412745496</v>
          </cell>
        </row>
        <row r="744">
          <cell r="A744" t="str">
            <v>HKD_HIBOR_EOD</v>
          </cell>
          <cell r="C744">
            <v>43346</v>
          </cell>
          <cell r="E744">
            <v>1.2617241404446001E-2</v>
          </cell>
          <cell r="F744">
            <v>0.96275585230524696</v>
          </cell>
        </row>
        <row r="745">
          <cell r="A745" t="str">
            <v>HKD_HIBOR_EOD</v>
          </cell>
          <cell r="C745">
            <v>43710</v>
          </cell>
          <cell r="E745">
            <v>1.49225440456383E-2</v>
          </cell>
          <cell r="F745">
            <v>0.94197933355549202</v>
          </cell>
        </row>
        <row r="746">
          <cell r="A746" t="str">
            <v>HKD_HIBOR_EOD</v>
          </cell>
          <cell r="C746">
            <v>44075</v>
          </cell>
          <cell r="E746">
            <v>1.6611765505781501E-2</v>
          </cell>
          <cell r="F746">
            <v>0.92021324210384003</v>
          </cell>
        </row>
        <row r="747">
          <cell r="A747" t="str">
            <v>HKD_HIBOR_EOD</v>
          </cell>
          <cell r="C747">
            <v>44805</v>
          </cell>
          <cell r="E747">
            <v>1.9335110505829999E-2</v>
          </cell>
          <cell r="F747">
            <v>0.87332132643035598</v>
          </cell>
        </row>
        <row r="748">
          <cell r="A748" t="str">
            <v>HKD_HIBOR_EOD</v>
          </cell>
          <cell r="C748">
            <v>45901</v>
          </cell>
          <cell r="E748">
            <v>2.1727162181286799E-2</v>
          </cell>
          <cell r="F748">
            <v>0.80456767040414501</v>
          </cell>
        </row>
        <row r="749">
          <cell r="A749" t="str">
            <v>HKD_HIBOR_EOD</v>
          </cell>
          <cell r="C749">
            <v>46631</v>
          </cell>
          <cell r="E749">
            <v>2.24562149181603E-2</v>
          </cell>
          <cell r="F749">
            <v>0.763639736092393</v>
          </cell>
        </row>
        <row r="750">
          <cell r="A750" t="str">
            <v>HKD_HIBOR_EOD</v>
          </cell>
          <cell r="C750">
            <v>47728</v>
          </cell>
          <cell r="E750">
            <v>2.3388485085109399E-2</v>
          </cell>
          <cell r="F750">
            <v>0.70387980672534101</v>
          </cell>
        </row>
        <row r="751">
          <cell r="A751" t="str">
            <v>HUF_BUBOR_3M_EOD</v>
          </cell>
          <cell r="C751">
            <v>42341</v>
          </cell>
          <cell r="E751">
            <v>1.37652415017983E-2</v>
          </cell>
          <cell r="F751">
            <v>0.99649883531201899</v>
          </cell>
        </row>
        <row r="752">
          <cell r="A752" t="str">
            <v>HUF_BUBOR_3M_EOD</v>
          </cell>
          <cell r="C752">
            <v>42432</v>
          </cell>
          <cell r="E752">
            <v>1.39651179378308E-2</v>
          </cell>
          <cell r="F752">
            <v>0.99298477253366402</v>
          </cell>
        </row>
        <row r="753">
          <cell r="A753" t="str">
            <v>HUF_BUBOR_3M_EOD</v>
          </cell>
          <cell r="C753">
            <v>42524</v>
          </cell>
          <cell r="E753">
            <v>1.4150976235410499E-2</v>
          </cell>
          <cell r="F753">
            <v>0.98935658209012101</v>
          </cell>
        </row>
        <row r="754">
          <cell r="A754" t="str">
            <v>HUF_BUBOR_3M_EOD</v>
          </cell>
          <cell r="C754">
            <v>42618</v>
          </cell>
          <cell r="E754">
            <v>1.43863972044227E-2</v>
          </cell>
          <cell r="F754">
            <v>0.98552235262598997</v>
          </cell>
        </row>
        <row r="755">
          <cell r="A755" t="str">
            <v>HUF_BUBOR_3M_EOD</v>
          </cell>
          <cell r="C755">
            <v>42982</v>
          </cell>
          <cell r="E755">
            <v>1.57978801387227E-2</v>
          </cell>
          <cell r="F755">
            <v>0.96873044170025902</v>
          </cell>
        </row>
        <row r="756">
          <cell r="A756" t="str">
            <v>HUF_BUBOR_3M_EOD</v>
          </cell>
          <cell r="C756">
            <v>43346</v>
          </cell>
          <cell r="E756">
            <v>1.7715075591457598E-2</v>
          </cell>
          <cell r="F756">
            <v>0.948104235098989</v>
          </cell>
        </row>
        <row r="757">
          <cell r="A757" t="str">
            <v>HUF_BUBOR_3M_EOD</v>
          </cell>
          <cell r="C757">
            <v>43711</v>
          </cell>
          <cell r="E757">
            <v>2.0196153954637301E-2</v>
          </cell>
          <cell r="F757">
            <v>0.92223923823612197</v>
          </cell>
        </row>
        <row r="758">
          <cell r="A758" t="str">
            <v>HUF_BUBOR_3M_EOD</v>
          </cell>
          <cell r="C758">
            <v>44077</v>
          </cell>
          <cell r="E758">
            <v>2.2890514682254798E-2</v>
          </cell>
          <cell r="F758">
            <v>0.89163053702381301</v>
          </cell>
        </row>
        <row r="759">
          <cell r="A759" t="str">
            <v>HUF_BUBOR_3M_EOD</v>
          </cell>
          <cell r="C759">
            <v>44442</v>
          </cell>
          <cell r="E759">
            <v>2.5392523267592702E-2</v>
          </cell>
          <cell r="F759">
            <v>0.85844435796388296</v>
          </cell>
        </row>
        <row r="760">
          <cell r="A760" t="str">
            <v>HUF_BUBOR_3M_EOD</v>
          </cell>
          <cell r="C760">
            <v>44809</v>
          </cell>
          <cell r="E760">
            <v>2.78184827818585E-2</v>
          </cell>
          <cell r="F760">
            <v>0.82268107417393399</v>
          </cell>
        </row>
        <row r="761">
          <cell r="A761" t="str">
            <v>HUF_BUBOR_3M_EOD</v>
          </cell>
          <cell r="C761">
            <v>45173</v>
          </cell>
          <cell r="E761">
            <v>3.00727257038624E-2</v>
          </cell>
          <cell r="F761">
            <v>0.78584652944437705</v>
          </cell>
        </row>
        <row r="762">
          <cell r="A762" t="str">
            <v>HUF_BUBOR_3M_EOD</v>
          </cell>
          <cell r="C762">
            <v>45538</v>
          </cell>
          <cell r="E762">
            <v>3.1922908420236797E-2</v>
          </cell>
          <cell r="F762">
            <v>0.74995394882959299</v>
          </cell>
        </row>
        <row r="763">
          <cell r="A763" t="str">
            <v>HUF_BUBOR_3M_EOD</v>
          </cell>
          <cell r="C763">
            <v>45903</v>
          </cell>
          <cell r="E763">
            <v>3.3221995562443797E-2</v>
          </cell>
          <cell r="F763">
            <v>0.71700314543460297</v>
          </cell>
        </row>
        <row r="764">
          <cell r="A764" t="str">
            <v>HUF_BUBOR_3M_EOD</v>
          </cell>
          <cell r="C764">
            <v>46633</v>
          </cell>
          <cell r="E764">
            <v>3.4080687420096199E-2</v>
          </cell>
          <cell r="F764">
            <v>0.66402524691052001</v>
          </cell>
        </row>
        <row r="765">
          <cell r="A765" t="str">
            <v>HUF_BUBOR_3M_EOD</v>
          </cell>
          <cell r="C765">
            <v>47729</v>
          </cell>
          <cell r="E765">
            <v>3.4688464901312999E-2</v>
          </cell>
          <cell r="F765">
            <v>0.593987386400745</v>
          </cell>
        </row>
        <row r="766">
          <cell r="A766" t="str">
            <v>HUF_BUBOR_3M_EOD</v>
          </cell>
          <cell r="C766">
            <v>49555</v>
          </cell>
          <cell r="E766">
            <v>3.4955970274637198E-2</v>
          </cell>
          <cell r="F766">
            <v>0.496689699991744</v>
          </cell>
        </row>
        <row r="767">
          <cell r="A767" t="str">
            <v>HUF_BUBOR_6M_EOD</v>
          </cell>
          <cell r="C767">
            <v>42432</v>
          </cell>
          <cell r="E767">
            <v>1.3842395936979E-2</v>
          </cell>
          <cell r="F767">
            <v>0.99304620577194003</v>
          </cell>
        </row>
        <row r="768">
          <cell r="A768" t="str">
            <v>HUF_BUBOR_6M_EOD</v>
          </cell>
          <cell r="C768">
            <v>42618</v>
          </cell>
          <cell r="E768">
            <v>1.43394111957958E-2</v>
          </cell>
          <cell r="F768">
            <v>0.985569293831144</v>
          </cell>
        </row>
        <row r="769">
          <cell r="A769" t="str">
            <v>HUF_BUBOR_6M_EOD</v>
          </cell>
          <cell r="C769">
            <v>42797</v>
          </cell>
          <cell r="E769">
            <v>1.48788095850396E-2</v>
          </cell>
          <cell r="F769">
            <v>0.97786920005137401</v>
          </cell>
        </row>
        <row r="770">
          <cell r="A770" t="str">
            <v>HUF_BUBOR_6M_EOD</v>
          </cell>
          <cell r="C770">
            <v>42982</v>
          </cell>
          <cell r="E770">
            <v>1.5579600679201101E-2</v>
          </cell>
          <cell r="F770">
            <v>0.96915576025855199</v>
          </cell>
        </row>
        <row r="771">
          <cell r="A771" t="str">
            <v>HUF_BUBOR_6M_EOD</v>
          </cell>
          <cell r="C771">
            <v>43346</v>
          </cell>
          <cell r="E771">
            <v>1.7475801040877901E-2</v>
          </cell>
          <cell r="F771">
            <v>0.94878691698752804</v>
          </cell>
        </row>
        <row r="772">
          <cell r="A772" t="str">
            <v>HUF_BUBOR_6M_EOD</v>
          </cell>
          <cell r="C772">
            <v>43711</v>
          </cell>
          <cell r="E772">
            <v>1.9896011108941701E-2</v>
          </cell>
          <cell r="F772">
            <v>0.92334939501763902</v>
          </cell>
        </row>
        <row r="773">
          <cell r="A773" t="str">
            <v>HUF_BUBOR_6M_EOD</v>
          </cell>
          <cell r="C773">
            <v>44077</v>
          </cell>
          <cell r="E773">
            <v>2.2550351964206801E-2</v>
          </cell>
          <cell r="F773">
            <v>0.89315165422375697</v>
          </cell>
        </row>
        <row r="774">
          <cell r="A774" t="str">
            <v>HUF_BUBOR_6M_EOD</v>
          </cell>
          <cell r="C774">
            <v>44442</v>
          </cell>
          <cell r="E774">
            <v>2.5032646497981599E-2</v>
          </cell>
          <cell r="F774">
            <v>0.86030335861290796</v>
          </cell>
        </row>
        <row r="775">
          <cell r="A775" t="str">
            <v>HUF_BUBOR_6M_EOD</v>
          </cell>
          <cell r="C775">
            <v>44809</v>
          </cell>
          <cell r="E775">
            <v>2.7449164987829601E-2</v>
          </cell>
          <cell r="F775">
            <v>0.82481564843062805</v>
          </cell>
        </row>
        <row r="776">
          <cell r="A776" t="str">
            <v>HUF_BUBOR_6M_EOD</v>
          </cell>
          <cell r="C776">
            <v>45173</v>
          </cell>
          <cell r="E776">
            <v>2.9692993249532899E-2</v>
          </cell>
          <cell r="F776">
            <v>0.788241550973661</v>
          </cell>
        </row>
        <row r="777">
          <cell r="A777" t="str">
            <v>HUF_BUBOR_6M_EOD</v>
          </cell>
          <cell r="C777">
            <v>45538</v>
          </cell>
          <cell r="E777">
            <v>3.1532942457212602E-2</v>
          </cell>
          <cell r="F777">
            <v>0.75259470216021196</v>
          </cell>
        </row>
        <row r="778">
          <cell r="A778" t="str">
            <v>HUF_BUBOR_6M_EOD</v>
          </cell>
          <cell r="C778">
            <v>45903</v>
          </cell>
          <cell r="E778">
            <v>3.2833110705600597E-2</v>
          </cell>
          <cell r="F778">
            <v>0.71980072530064398</v>
          </cell>
        </row>
        <row r="779">
          <cell r="A779" t="str">
            <v>HUF_BUBOR_6M_EOD</v>
          </cell>
          <cell r="C779">
            <v>46633</v>
          </cell>
          <cell r="E779">
            <v>3.3693132393824703E-2</v>
          </cell>
          <cell r="F779">
            <v>0.66712413663627801</v>
          </cell>
        </row>
        <row r="780">
          <cell r="A780" t="str">
            <v>HUF_BUBOR_6M_EOD</v>
          </cell>
          <cell r="C780">
            <v>47729</v>
          </cell>
          <cell r="E780">
            <v>3.4314843808666097E-2</v>
          </cell>
          <cell r="F780">
            <v>0.59732929379737199</v>
          </cell>
        </row>
        <row r="781">
          <cell r="A781" t="str">
            <v>HUF_BUBOR_6M_EOD</v>
          </cell>
          <cell r="C781">
            <v>49555</v>
          </cell>
          <cell r="E781">
            <v>3.4609459247284001E-2</v>
          </cell>
          <cell r="F781">
            <v>0.50014714792836901</v>
          </cell>
        </row>
        <row r="782">
          <cell r="A782" t="str">
            <v>HUF_BUBOR_EOD</v>
          </cell>
          <cell r="C782">
            <v>42249</v>
          </cell>
          <cell r="E782">
            <v>9.9359758720760395E-3</v>
          </cell>
          <cell r="F782">
            <v>0.99997277851880695</v>
          </cell>
        </row>
        <row r="783">
          <cell r="A783" t="str">
            <v>HUF_BUBOR_EOD</v>
          </cell>
          <cell r="C783">
            <v>42250</v>
          </cell>
          <cell r="E783">
            <v>9.9359758720406095E-3</v>
          </cell>
          <cell r="F783">
            <v>0.99994555777862304</v>
          </cell>
        </row>
        <row r="784">
          <cell r="A784" t="str">
            <v>HUF_BUBOR_EOD</v>
          </cell>
          <cell r="C784">
            <v>42257</v>
          </cell>
          <cell r="E784">
            <v>1.2694755984120801E-2</v>
          </cell>
          <cell r="F784">
            <v>0.99968702760565098</v>
          </cell>
        </row>
        <row r="785">
          <cell r="A785" t="str">
            <v>HUF_BUBOR_EOD</v>
          </cell>
          <cell r="C785">
            <v>42282</v>
          </cell>
          <cell r="E785">
            <v>1.34590988763259E-2</v>
          </cell>
          <cell r="F785">
            <v>0.99874706130505697</v>
          </cell>
        </row>
        <row r="786">
          <cell r="A786" t="str">
            <v>HUF_BUBOR_EOD</v>
          </cell>
          <cell r="C786">
            <v>42311</v>
          </cell>
          <cell r="E786">
            <v>1.35532689809239E-2</v>
          </cell>
          <cell r="F786">
            <v>0.997663402744844</v>
          </cell>
        </row>
        <row r="787">
          <cell r="A787" t="str">
            <v>HUF_BUBOR_EOD</v>
          </cell>
          <cell r="C787">
            <v>42341</v>
          </cell>
          <cell r="E787">
            <v>1.36828917033086E-2</v>
          </cell>
          <cell r="F787">
            <v>0.99651974434639201</v>
          </cell>
        </row>
        <row r="788">
          <cell r="A788" t="str">
            <v>HUF_BUBOR_EOD</v>
          </cell>
          <cell r="C788">
            <v>42432</v>
          </cell>
          <cell r="E788">
            <v>1.39234954853335E-2</v>
          </cell>
          <cell r="F788">
            <v>0.99300560783422298</v>
          </cell>
        </row>
        <row r="789">
          <cell r="A789" t="str">
            <v>HUF_BUBOR_EOD</v>
          </cell>
          <cell r="C789">
            <v>42524</v>
          </cell>
          <cell r="E789">
            <v>1.4123227933745699E-2</v>
          </cell>
          <cell r="F789">
            <v>0.98937734126218302</v>
          </cell>
        </row>
        <row r="790">
          <cell r="A790" t="str">
            <v>HUF_BUBOR_EOD</v>
          </cell>
          <cell r="C790">
            <v>42618</v>
          </cell>
          <cell r="E790">
            <v>1.4365698471291301E-2</v>
          </cell>
          <cell r="F790">
            <v>0.98554303134634003</v>
          </cell>
        </row>
        <row r="791">
          <cell r="A791" t="str">
            <v>HUF_BUBOR_EOD</v>
          </cell>
          <cell r="C791">
            <v>42982</v>
          </cell>
          <cell r="E791">
            <v>1.5571751117334E-2</v>
          </cell>
          <cell r="F791">
            <v>0.96917105864478803</v>
          </cell>
        </row>
        <row r="792">
          <cell r="A792" t="str">
            <v>HUF_BUBOR_EOD</v>
          </cell>
          <cell r="C792">
            <v>43346</v>
          </cell>
          <cell r="E792">
            <v>1.7473411727017399E-2</v>
          </cell>
          <cell r="F792">
            <v>0.94879373649369403</v>
          </cell>
        </row>
        <row r="793">
          <cell r="A793" t="str">
            <v>HUF_BUBOR_EOD</v>
          </cell>
          <cell r="C793">
            <v>43711</v>
          </cell>
          <cell r="E793">
            <v>1.98954534367046E-2</v>
          </cell>
          <cell r="F793">
            <v>0.92335145895750803</v>
          </cell>
        </row>
        <row r="794">
          <cell r="A794" t="str">
            <v>HUF_BUBOR_EOD</v>
          </cell>
          <cell r="C794">
            <v>44077</v>
          </cell>
          <cell r="E794">
            <v>2.2549905706941001E-2</v>
          </cell>
          <cell r="F794">
            <v>0.893153651471016</v>
          </cell>
        </row>
        <row r="795">
          <cell r="A795" t="str">
            <v>HUF_BUBOR_EOD</v>
          </cell>
          <cell r="C795">
            <v>44442</v>
          </cell>
          <cell r="E795">
            <v>2.5032273803624001E-2</v>
          </cell>
          <cell r="F795">
            <v>0.86030528591006705</v>
          </cell>
        </row>
        <row r="796">
          <cell r="A796" t="str">
            <v>HUF_BUBOR_EOD</v>
          </cell>
          <cell r="C796">
            <v>44809</v>
          </cell>
          <cell r="E796">
            <v>2.7448848499200401E-2</v>
          </cell>
          <cell r="F796">
            <v>0.82481748003722599</v>
          </cell>
        </row>
        <row r="797">
          <cell r="A797" t="str">
            <v>HUF_BUBOR_EOD</v>
          </cell>
          <cell r="C797">
            <v>45173</v>
          </cell>
          <cell r="E797">
            <v>2.96939578730137E-2</v>
          </cell>
          <cell r="F797">
            <v>0.78823545773090298</v>
          </cell>
        </row>
        <row r="798">
          <cell r="A798" t="str">
            <v>HUF_BUBOR_EOD</v>
          </cell>
          <cell r="C798">
            <v>45538</v>
          </cell>
          <cell r="E798">
            <v>3.1533897499958503E-2</v>
          </cell>
          <cell r="F798">
            <v>0.75258822350107102</v>
          </cell>
        </row>
        <row r="799">
          <cell r="A799" t="str">
            <v>HUF_BUBOR_EOD</v>
          </cell>
          <cell r="C799">
            <v>45903</v>
          </cell>
          <cell r="E799">
            <v>3.2833970800981001E-2</v>
          </cell>
          <cell r="F799">
            <v>0.71979452587376902</v>
          </cell>
        </row>
        <row r="800">
          <cell r="A800" t="str">
            <v>HUF_BUBOR_EOD</v>
          </cell>
          <cell r="C800">
            <v>46633</v>
          </cell>
          <cell r="E800">
            <v>3.3693849113069198E-2</v>
          </cell>
          <cell r="F800">
            <v>0.66711839242264903</v>
          </cell>
        </row>
        <row r="801">
          <cell r="A801" t="str">
            <v>HUF_BUBOR_EOD</v>
          </cell>
          <cell r="C801">
            <v>47729</v>
          </cell>
          <cell r="E801">
            <v>3.43155675148899E-2</v>
          </cell>
          <cell r="F801">
            <v>0.59732280236257995</v>
          </cell>
        </row>
        <row r="802">
          <cell r="A802" t="str">
            <v>HUF_BUBOR_EOD</v>
          </cell>
          <cell r="C802">
            <v>49555</v>
          </cell>
          <cell r="E802">
            <v>3.4610086622921699E-2</v>
          </cell>
          <cell r="F802">
            <v>0.50014086634739796</v>
          </cell>
        </row>
        <row r="803">
          <cell r="A803" t="str">
            <v>JPY_LIBOR_1M_EOD</v>
          </cell>
          <cell r="C803">
            <v>42282</v>
          </cell>
          <cell r="E803">
            <v>5.7354252443294002E-4</v>
          </cell>
          <cell r="F803">
            <v>0.99994657554814903</v>
          </cell>
        </row>
        <row r="804">
          <cell r="A804" t="str">
            <v>JPY_LIBOR_1M_EOD</v>
          </cell>
          <cell r="C804">
            <v>42312</v>
          </cell>
          <cell r="E804">
            <v>5.9577908844670997E-4</v>
          </cell>
          <cell r="F804">
            <v>0.99989554008190495</v>
          </cell>
        </row>
        <row r="805">
          <cell r="A805" t="str">
            <v>JPY_LIBOR_1M_EOD</v>
          </cell>
          <cell r="C805">
            <v>42341</v>
          </cell>
          <cell r="E805">
            <v>5.7696901982672E-4</v>
          </cell>
          <cell r="F805">
            <v>0.99985300226044904</v>
          </cell>
        </row>
        <row r="806">
          <cell r="A806" t="str">
            <v>JPY_LIBOR_1M_EOD</v>
          </cell>
          <cell r="C806">
            <v>42432</v>
          </cell>
          <cell r="E806">
            <v>6.1450431239356001E-4</v>
          </cell>
          <cell r="F806">
            <v>0.99969027045971603</v>
          </cell>
        </row>
        <row r="807">
          <cell r="A807" t="str">
            <v>JPY_LIBOR_1M_EOD</v>
          </cell>
          <cell r="C807">
            <v>42524</v>
          </cell>
          <cell r="E807">
            <v>6.3309676224531004E-4</v>
          </cell>
          <cell r="F807">
            <v>0.99952138934767798</v>
          </cell>
        </row>
        <row r="808">
          <cell r="A808" t="str">
            <v>JPY_LIBOR_1M_EOD</v>
          </cell>
          <cell r="C808">
            <v>42618</v>
          </cell>
          <cell r="E808">
            <v>6.4578467442275998E-4</v>
          </cell>
          <cell r="F808">
            <v>0.99934558318432498</v>
          </cell>
        </row>
        <row r="809">
          <cell r="A809" t="str">
            <v>JPY_LIBOR_1M_EOD</v>
          </cell>
          <cell r="C809">
            <v>42982</v>
          </cell>
          <cell r="E809">
            <v>6.1729732805525998E-4</v>
          </cell>
          <cell r="F809">
            <v>0.99875941060972295</v>
          </cell>
        </row>
        <row r="810">
          <cell r="A810" t="str">
            <v>JPY_LIBOR_1M_EOD</v>
          </cell>
          <cell r="C810">
            <v>43346</v>
          </cell>
          <cell r="E810">
            <v>7.4430862230099996E-4</v>
          </cell>
          <cell r="F810">
            <v>0.997763461316025</v>
          </cell>
        </row>
        <row r="811">
          <cell r="A811" t="str">
            <v>JPY_LIBOR_1M_EOD</v>
          </cell>
          <cell r="C811">
            <v>43711</v>
          </cell>
          <cell r="E811">
            <v>1.06399686307068E-3</v>
          </cell>
          <cell r="F811">
            <v>0.99574434842621695</v>
          </cell>
        </row>
        <row r="812">
          <cell r="A812" t="str">
            <v>JPY_LIBOR_1M_EOD</v>
          </cell>
          <cell r="C812">
            <v>44077</v>
          </cell>
          <cell r="E812">
            <v>1.5419226512033001E-3</v>
          </cell>
          <cell r="F812">
            <v>0.99230326171872596</v>
          </cell>
        </row>
        <row r="813">
          <cell r="A813" t="str">
            <v>JPY_LIBOR_1M_EOD</v>
          </cell>
          <cell r="C813">
            <v>44442</v>
          </cell>
          <cell r="E813">
            <v>2.11123870713722E-3</v>
          </cell>
          <cell r="F813">
            <v>0.98738961660754798</v>
          </cell>
        </row>
        <row r="814">
          <cell r="A814" t="str">
            <v>JPY_LIBOR_1M_EOD</v>
          </cell>
          <cell r="C814">
            <v>44809</v>
          </cell>
          <cell r="E814">
            <v>2.74335109445859E-3</v>
          </cell>
          <cell r="F814">
            <v>0.98093551664670997</v>
          </cell>
        </row>
        <row r="815">
          <cell r="A815" t="str">
            <v>JPY_LIBOR_1M_EOD</v>
          </cell>
          <cell r="C815">
            <v>45173</v>
          </cell>
          <cell r="E815">
            <v>3.4130868696965401E-3</v>
          </cell>
          <cell r="F815">
            <v>0.97301921423857396</v>
          </cell>
        </row>
        <row r="816">
          <cell r="A816" t="str">
            <v>JPY_LIBOR_1M_EOD</v>
          </cell>
          <cell r="C816">
            <v>45538</v>
          </cell>
          <cell r="E816">
            <v>4.0836666671399202E-3</v>
          </cell>
          <cell r="F816">
            <v>0.96386027228129501</v>
          </cell>
        </row>
        <row r="817">
          <cell r="A817" t="str">
            <v>JPY_LIBOR_1M_EOD</v>
          </cell>
          <cell r="C817">
            <v>45903</v>
          </cell>
          <cell r="E817">
            <v>4.7818850352052003E-3</v>
          </cell>
          <cell r="F817">
            <v>0.95324401801083702</v>
          </cell>
        </row>
        <row r="818">
          <cell r="A818" t="str">
            <v>JPY_LIBOR_1M_EOD</v>
          </cell>
          <cell r="C818">
            <v>46633</v>
          </cell>
          <cell r="E818">
            <v>6.2506949704711802E-3</v>
          </cell>
          <cell r="F818">
            <v>0.92765631444700403</v>
          </cell>
        </row>
        <row r="819">
          <cell r="A819" t="str">
            <v>JPY_LIBOR_1M_EOD</v>
          </cell>
          <cell r="C819">
            <v>47729</v>
          </cell>
          <cell r="E819">
            <v>8.5506270723540098E-3</v>
          </cell>
          <cell r="F819">
            <v>0.87950153953616805</v>
          </cell>
        </row>
        <row r="820">
          <cell r="A820" t="str">
            <v>JPY_LIBOR_1M_EOD</v>
          </cell>
          <cell r="C820">
            <v>49555</v>
          </cell>
          <cell r="E820">
            <v>1.16008441859369E-2</v>
          </cell>
          <cell r="F820">
            <v>0.79275634194739997</v>
          </cell>
        </row>
        <row r="821">
          <cell r="A821" t="str">
            <v>JPY_LIBOR_1M_EOD</v>
          </cell>
          <cell r="C821">
            <v>51382</v>
          </cell>
          <cell r="E821">
            <v>1.33828719292595E-2</v>
          </cell>
          <cell r="F821">
            <v>0.71540834540631304</v>
          </cell>
        </row>
        <row r="822">
          <cell r="A822" t="str">
            <v>JPY_LIBOR_1M_EOD</v>
          </cell>
          <cell r="C822">
            <v>53209</v>
          </cell>
          <cell r="E822">
            <v>1.44107522735371E-2</v>
          </cell>
          <cell r="F822">
            <v>0.64871819882873605</v>
          </cell>
        </row>
        <row r="823">
          <cell r="A823" t="str">
            <v>JPY_LIBOR_1M_EOD</v>
          </cell>
          <cell r="C823">
            <v>56860</v>
          </cell>
          <cell r="E823">
            <v>1.58689018032338E-2</v>
          </cell>
          <cell r="F823">
            <v>0.52978829827517704</v>
          </cell>
        </row>
        <row r="824">
          <cell r="A824" t="str">
            <v>JPY_LIBOR_3M_EOD</v>
          </cell>
          <cell r="C824">
            <v>42341</v>
          </cell>
          <cell r="E824">
            <v>9.0519923860875003E-4</v>
          </cell>
          <cell r="F824">
            <v>0.99976938678931404</v>
          </cell>
        </row>
        <row r="825">
          <cell r="A825" t="str">
            <v>JPY_LIBOR_3M_EOD</v>
          </cell>
          <cell r="C825">
            <v>42373</v>
          </cell>
          <cell r="E825">
            <v>9.1011126868082001E-4</v>
          </cell>
          <cell r="F825">
            <v>0.99968836662644101</v>
          </cell>
        </row>
        <row r="826">
          <cell r="A826" t="str">
            <v>JPY_LIBOR_3M_EOD</v>
          </cell>
          <cell r="C826">
            <v>42403</v>
          </cell>
          <cell r="E826">
            <v>9.1707343563281001E-4</v>
          </cell>
          <cell r="F826">
            <v>0.99961063367884995</v>
          </cell>
        </row>
        <row r="827">
          <cell r="A827" t="str">
            <v>JPY_LIBOR_3M_EOD</v>
          </cell>
          <cell r="C827">
            <v>42432</v>
          </cell>
          <cell r="E827">
            <v>9.0875861471379003E-4</v>
          </cell>
          <cell r="F827">
            <v>0.99954199098636398</v>
          </cell>
        </row>
        <row r="828">
          <cell r="A828" t="str">
            <v>JPY_LIBOR_3M_EOD</v>
          </cell>
          <cell r="C828">
            <v>42464</v>
          </cell>
          <cell r="E828">
            <v>9.1641203229591997E-4</v>
          </cell>
          <cell r="F828">
            <v>0.99945783196054805</v>
          </cell>
        </row>
        <row r="829">
          <cell r="A829" t="str">
            <v>JPY_LIBOR_3M_EOD</v>
          </cell>
          <cell r="C829">
            <v>42496</v>
          </cell>
          <cell r="E829">
            <v>9.2007011591126002E-4</v>
          </cell>
          <cell r="F829">
            <v>0.99937505183069397</v>
          </cell>
        </row>
        <row r="830">
          <cell r="A830" t="str">
            <v>JPY_LIBOR_3M_EOD</v>
          </cell>
          <cell r="C830">
            <v>42524</v>
          </cell>
          <cell r="E830">
            <v>9.0891487751287002E-4</v>
          </cell>
          <cell r="F830">
            <v>0.99931294707096097</v>
          </cell>
        </row>
        <row r="831">
          <cell r="A831" t="str">
            <v>JPY_LIBOR_3M_EOD</v>
          </cell>
          <cell r="C831">
            <v>42555</v>
          </cell>
          <cell r="E831">
            <v>9.1341888290295001E-4</v>
          </cell>
          <cell r="F831">
            <v>0.99923202217740403</v>
          </cell>
        </row>
        <row r="832">
          <cell r="A832" t="str">
            <v>JPY_LIBOR_3M_EOD</v>
          </cell>
          <cell r="C832">
            <v>42585</v>
          </cell>
          <cell r="E832">
            <v>9.1407953694621995E-4</v>
          </cell>
          <cell r="F832">
            <v>0.99915639766570796</v>
          </cell>
        </row>
        <row r="833">
          <cell r="A833" t="str">
            <v>JPY_LIBOR_3M_EOD</v>
          </cell>
          <cell r="C833">
            <v>42618</v>
          </cell>
          <cell r="E833">
            <v>9.0014133262151001E-4</v>
          </cell>
          <cell r="F833">
            <v>0.99908794414020696</v>
          </cell>
        </row>
        <row r="834">
          <cell r="A834" t="str">
            <v>JPY_LIBOR_3M_EOD</v>
          </cell>
          <cell r="C834">
            <v>42982</v>
          </cell>
          <cell r="E834">
            <v>8.7974805191992004E-4</v>
          </cell>
          <cell r="F834">
            <v>0.99823242682235003</v>
          </cell>
        </row>
        <row r="835">
          <cell r="A835" t="str">
            <v>JPY_LIBOR_3M_EOD</v>
          </cell>
          <cell r="C835">
            <v>43346</v>
          </cell>
          <cell r="E835">
            <v>9.9438871082014007E-4</v>
          </cell>
          <cell r="F835">
            <v>0.99701313040691397</v>
          </cell>
        </row>
        <row r="836">
          <cell r="A836" t="str">
            <v>JPY_LIBOR_3M_EOD</v>
          </cell>
          <cell r="C836">
            <v>43711</v>
          </cell>
          <cell r="E836">
            <v>1.3141836607511101E-3</v>
          </cell>
          <cell r="F836">
            <v>0.994746312988394</v>
          </cell>
        </row>
        <row r="837">
          <cell r="A837" t="str">
            <v>JPY_LIBOR_3M_EOD</v>
          </cell>
          <cell r="C837">
            <v>44077</v>
          </cell>
          <cell r="E837">
            <v>1.8173082256859401E-3</v>
          </cell>
          <cell r="F837">
            <v>0.990934881366349</v>
          </cell>
        </row>
        <row r="838">
          <cell r="A838" t="str">
            <v>JPY_LIBOR_3M_EOD</v>
          </cell>
          <cell r="C838">
            <v>44442</v>
          </cell>
          <cell r="E838">
            <v>2.3867385738172999E-3</v>
          </cell>
          <cell r="F838">
            <v>0.98575583441751902</v>
          </cell>
        </row>
        <row r="839">
          <cell r="A839" t="str">
            <v>JPY_LIBOR_3M_EOD</v>
          </cell>
          <cell r="C839">
            <v>44809</v>
          </cell>
          <cell r="E839">
            <v>3.0188276346679102E-3</v>
          </cell>
          <cell r="F839">
            <v>0.97904133273024196</v>
          </cell>
        </row>
        <row r="840">
          <cell r="A840" t="str">
            <v>JPY_LIBOR_3M_EOD</v>
          </cell>
          <cell r="C840">
            <v>45173</v>
          </cell>
          <cell r="E840">
            <v>3.6756561966079398E-3</v>
          </cell>
          <cell r="F840">
            <v>0.97097398693141901</v>
          </cell>
        </row>
        <row r="841">
          <cell r="A841" t="str">
            <v>JPY_LIBOR_3M_EOD</v>
          </cell>
          <cell r="C841">
            <v>45538</v>
          </cell>
          <cell r="E841">
            <v>4.3461895853526096E-3</v>
          </cell>
          <cell r="F841">
            <v>0.96158218372620297</v>
          </cell>
        </row>
        <row r="842">
          <cell r="A842" t="str">
            <v>JPY_LIBOR_3M_EOD</v>
          </cell>
          <cell r="C842">
            <v>45903</v>
          </cell>
          <cell r="E842">
            <v>5.0444345369993603E-3</v>
          </cell>
          <cell r="F842">
            <v>0.95074114376773</v>
          </cell>
        </row>
        <row r="843">
          <cell r="A843" t="str">
            <v>JPY_LIBOR_3M_EOD</v>
          </cell>
          <cell r="C843">
            <v>46633</v>
          </cell>
          <cell r="E843">
            <v>6.5364499209716398E-3</v>
          </cell>
          <cell r="F843">
            <v>0.924477154679338</v>
          </cell>
        </row>
        <row r="844">
          <cell r="A844" t="str">
            <v>JPY_LIBOR_3M_EOD</v>
          </cell>
          <cell r="C844">
            <v>47729</v>
          </cell>
          <cell r="E844">
            <v>8.7986801365947508E-3</v>
          </cell>
          <cell r="F844">
            <v>0.87623160134982903</v>
          </cell>
        </row>
        <row r="845">
          <cell r="A845" t="str">
            <v>JPY_LIBOR_3M_EOD</v>
          </cell>
          <cell r="C845">
            <v>49555</v>
          </cell>
          <cell r="E845">
            <v>1.18490075279651E-2</v>
          </cell>
          <cell r="F845">
            <v>0.78882767466116799</v>
          </cell>
        </row>
        <row r="846">
          <cell r="A846" t="str">
            <v>JPY_LIBOR_3M_EOD</v>
          </cell>
          <cell r="C846">
            <v>51382</v>
          </cell>
          <cell r="E846">
            <v>1.3615829025899801E-2</v>
          </cell>
          <cell r="F846">
            <v>0.71124988273167</v>
          </cell>
        </row>
        <row r="847">
          <cell r="A847" t="str">
            <v>JPY_LIBOR_3M_EOD</v>
          </cell>
          <cell r="C847">
            <v>53209</v>
          </cell>
          <cell r="E847">
            <v>1.4628448499518901E-2</v>
          </cell>
          <cell r="F847">
            <v>0.64449107004084405</v>
          </cell>
        </row>
        <row r="848">
          <cell r="A848" t="str">
            <v>JPY_LIBOR_3M_EOD</v>
          </cell>
          <cell r="C848">
            <v>56860</v>
          </cell>
          <cell r="E848">
            <v>1.6087940569120399E-2</v>
          </cell>
          <cell r="F848">
            <v>0.52516302469785203</v>
          </cell>
        </row>
        <row r="849">
          <cell r="A849" t="str">
            <v>JPY_LIBOR_6M_EOD</v>
          </cell>
          <cell r="C849">
            <v>42432</v>
          </cell>
          <cell r="E849">
            <v>1.3263363162006299E-3</v>
          </cell>
          <cell r="F849">
            <v>0.99933160462048698</v>
          </cell>
        </row>
        <row r="850">
          <cell r="A850" t="str">
            <v>JPY_LIBOR_6M_EOD</v>
          </cell>
          <cell r="C850">
            <v>42464</v>
          </cell>
          <cell r="E850">
            <v>1.2983411438866801E-3</v>
          </cell>
          <cell r="F850">
            <v>0.99923196170325801</v>
          </cell>
        </row>
        <row r="851">
          <cell r="A851" t="str">
            <v>JPY_LIBOR_6M_EOD</v>
          </cell>
          <cell r="C851">
            <v>42496</v>
          </cell>
          <cell r="E851">
            <v>1.2777697070577099E-3</v>
          </cell>
          <cell r="F851">
            <v>0.99913219350902505</v>
          </cell>
        </row>
        <row r="852">
          <cell r="A852" t="str">
            <v>JPY_LIBOR_6M_EOD</v>
          </cell>
          <cell r="C852">
            <v>42524</v>
          </cell>
          <cell r="E852">
            <v>1.2621085507908401E-3</v>
          </cell>
          <cell r="F852">
            <v>0.99904609372383402</v>
          </cell>
        </row>
        <row r="853">
          <cell r="A853" t="str">
            <v>JPY_LIBOR_6M_EOD</v>
          </cell>
          <cell r="C853">
            <v>42555</v>
          </cell>
          <cell r="E853">
            <v>1.2538932716820699E-3</v>
          </cell>
          <cell r="F853">
            <v>0.99894591146420397</v>
          </cell>
        </row>
        <row r="854">
          <cell r="A854" t="str">
            <v>JPY_LIBOR_6M_EOD</v>
          </cell>
          <cell r="C854">
            <v>42585</v>
          </cell>
          <cell r="E854">
            <v>1.2499447589094199E-3</v>
          </cell>
          <cell r="F854">
            <v>0.99884660708388795</v>
          </cell>
        </row>
        <row r="855">
          <cell r="A855" t="str">
            <v>JPY_LIBOR_6M_EOD</v>
          </cell>
          <cell r="C855">
            <v>42618</v>
          </cell>
          <cell r="E855">
            <v>1.24634269913285E-3</v>
          </cell>
          <cell r="F855">
            <v>0.99873738188705097</v>
          </cell>
        </row>
        <row r="856">
          <cell r="A856" t="str">
            <v>JPY_LIBOR_6M_EOD</v>
          </cell>
          <cell r="C856">
            <v>42982</v>
          </cell>
          <cell r="E856">
            <v>1.2050257063299099E-3</v>
          </cell>
          <cell r="F856">
            <v>0.99757967654364399</v>
          </cell>
        </row>
        <row r="857">
          <cell r="A857" t="str">
            <v>JPY_LIBOR_6M_EOD</v>
          </cell>
          <cell r="C857">
            <v>43346</v>
          </cell>
          <cell r="E857">
            <v>1.34415827604186E-3</v>
          </cell>
          <cell r="F857">
            <v>0.99596464132604201</v>
          </cell>
        </row>
        <row r="858">
          <cell r="A858" t="str">
            <v>JPY_LIBOR_6M_EOD</v>
          </cell>
          <cell r="C858">
            <v>43711</v>
          </cell>
          <cell r="E858">
            <v>1.68869949356987E-3</v>
          </cell>
          <cell r="F858">
            <v>0.99325417820558104</v>
          </cell>
        </row>
        <row r="859">
          <cell r="A859" t="str">
            <v>JPY_LIBOR_6M_EOD</v>
          </cell>
          <cell r="C859">
            <v>44077</v>
          </cell>
          <cell r="E859">
            <v>2.1916861575106699E-3</v>
          </cell>
          <cell r="F859">
            <v>0.98907763766156997</v>
          </cell>
        </row>
        <row r="860">
          <cell r="A860" t="str">
            <v>JPY_LIBOR_6M_EOD</v>
          </cell>
          <cell r="C860">
            <v>44442</v>
          </cell>
          <cell r="E860">
            <v>2.7860146318123401E-3</v>
          </cell>
          <cell r="F860">
            <v>0.98339282567692898</v>
          </cell>
        </row>
        <row r="861">
          <cell r="A861" t="str">
            <v>JPY_LIBOR_6M_EOD</v>
          </cell>
          <cell r="C861">
            <v>44809</v>
          </cell>
          <cell r="E861">
            <v>3.44301684481835E-3</v>
          </cell>
          <cell r="F861">
            <v>0.976131746558491</v>
          </cell>
        </row>
        <row r="862">
          <cell r="A862" t="str">
            <v>JPY_LIBOR_6M_EOD</v>
          </cell>
          <cell r="C862">
            <v>45173</v>
          </cell>
          <cell r="E862">
            <v>4.1246585432173598E-3</v>
          </cell>
          <cell r="F862">
            <v>0.96748653593860201</v>
          </cell>
        </row>
        <row r="863">
          <cell r="A863" t="str">
            <v>JPY_LIBOR_6M_EOD</v>
          </cell>
          <cell r="C863">
            <v>45538</v>
          </cell>
          <cell r="E863">
            <v>4.8201848181133504E-3</v>
          </cell>
          <cell r="F863">
            <v>0.95748263554575597</v>
          </cell>
        </row>
        <row r="864">
          <cell r="A864" t="str">
            <v>JPY_LIBOR_6M_EOD</v>
          </cell>
          <cell r="C864">
            <v>45903</v>
          </cell>
          <cell r="E864">
            <v>5.5435881430030004E-3</v>
          </cell>
          <cell r="F864">
            <v>0.94600084093442205</v>
          </cell>
        </row>
        <row r="865">
          <cell r="A865" t="str">
            <v>JPY_LIBOR_6M_EOD</v>
          </cell>
          <cell r="C865">
            <v>46633</v>
          </cell>
          <cell r="E865">
            <v>7.0243373567451797E-3</v>
          </cell>
          <cell r="F865">
            <v>0.91907433590413901</v>
          </cell>
        </row>
        <row r="866">
          <cell r="A866" t="str">
            <v>JPY_LIBOR_6M_EOD</v>
          </cell>
          <cell r="C866">
            <v>47729</v>
          </cell>
          <cell r="E866">
            <v>9.2698001580335896E-3</v>
          </cell>
          <cell r="F866">
            <v>0.87005453738650895</v>
          </cell>
        </row>
        <row r="867">
          <cell r="A867" t="str">
            <v>JPY_LIBOR_6M_EOD</v>
          </cell>
          <cell r="C867">
            <v>49555</v>
          </cell>
          <cell r="E867">
            <v>1.22638250489222E-2</v>
          </cell>
          <cell r="F867">
            <v>0.78230413264200205</v>
          </cell>
        </row>
        <row r="868">
          <cell r="A868" t="str">
            <v>JPY_LIBOR_6M_EOD</v>
          </cell>
          <cell r="C868">
            <v>51382</v>
          </cell>
          <cell r="E868">
            <v>1.3987228639856301E-2</v>
          </cell>
          <cell r="F868">
            <v>0.70467004530793798</v>
          </cell>
        </row>
        <row r="869">
          <cell r="A869" t="str">
            <v>JPY_LIBOR_6M_EOD</v>
          </cell>
          <cell r="C869">
            <v>53209</v>
          </cell>
          <cell r="E869">
            <v>1.49550653026781E-2</v>
          </cell>
          <cell r="F869">
            <v>0.63820057786450701</v>
          </cell>
        </row>
        <row r="870">
          <cell r="A870" t="str">
            <v>JPY_LIBOR_6M_EOD</v>
          </cell>
          <cell r="C870">
            <v>56860</v>
          </cell>
          <cell r="E870">
            <v>1.6419717849370501E-2</v>
          </cell>
          <cell r="F870">
            <v>0.51823392794396705</v>
          </cell>
        </row>
        <row r="871">
          <cell r="A871" t="str">
            <v>JPY_LIBOR_EOD</v>
          </cell>
          <cell r="C871">
            <v>42249</v>
          </cell>
          <cell r="E871">
            <v>3.7655813919235999E-4</v>
          </cell>
          <cell r="F871">
            <v>0.99999896833439705</v>
          </cell>
        </row>
        <row r="872">
          <cell r="A872" t="str">
            <v>JPY_LIBOR_EOD</v>
          </cell>
          <cell r="C872">
            <v>42250</v>
          </cell>
          <cell r="E872">
            <v>3.7655813914573002E-4</v>
          </cell>
          <cell r="F872">
            <v>0.99999793666985903</v>
          </cell>
        </row>
        <row r="873">
          <cell r="A873" t="str">
            <v>JPY_LIBOR_EOD</v>
          </cell>
          <cell r="C873">
            <v>42257</v>
          </cell>
          <cell r="E873">
            <v>4.3853914506767998E-4</v>
          </cell>
          <cell r="F873">
            <v>0.99998918676447501</v>
          </cell>
        </row>
        <row r="874">
          <cell r="A874" t="str">
            <v>JPY_LIBOR_EOD</v>
          </cell>
          <cell r="C874">
            <v>42282</v>
          </cell>
          <cell r="E874">
            <v>5.6195520765058005E-4</v>
          </cell>
          <cell r="F874">
            <v>0.99994765485756099</v>
          </cell>
        </row>
        <row r="875">
          <cell r="A875" t="str">
            <v>JPY_LIBOR_EOD</v>
          </cell>
          <cell r="C875">
            <v>42312</v>
          </cell>
          <cell r="E875">
            <v>7.9050450721339003E-4</v>
          </cell>
          <cell r="F875">
            <v>0.99986140059630102</v>
          </cell>
        </row>
        <row r="876">
          <cell r="A876" t="str">
            <v>JPY_LIBOR_EOD</v>
          </cell>
          <cell r="C876">
            <v>42341</v>
          </cell>
          <cell r="E876">
            <v>8.9383061281404004E-4</v>
          </cell>
          <cell r="F876">
            <v>0.99977228278905805</v>
          </cell>
        </row>
        <row r="877">
          <cell r="A877" t="str">
            <v>JPY_LIBOR_EOD</v>
          </cell>
          <cell r="C877">
            <v>42432</v>
          </cell>
          <cell r="E877">
            <v>1.3160126403628E-3</v>
          </cell>
          <cell r="F877">
            <v>0.99933680541949799</v>
          </cell>
        </row>
        <row r="878">
          <cell r="A878" t="str">
            <v>JPY_LIBOR_EOD</v>
          </cell>
          <cell r="C878">
            <v>42618</v>
          </cell>
          <cell r="E878">
            <v>1.2358489969479E-3</v>
          </cell>
          <cell r="F878">
            <v>0.998748005964048</v>
          </cell>
        </row>
        <row r="879">
          <cell r="A879" t="str">
            <v>JPY_LIBOR_EOD</v>
          </cell>
          <cell r="C879">
            <v>42982</v>
          </cell>
          <cell r="E879">
            <v>1.2023601358164401E-3</v>
          </cell>
          <cell r="F879">
            <v>0.99758502393694704</v>
          </cell>
        </row>
        <row r="880">
          <cell r="A880" t="str">
            <v>JPY_LIBOR_EOD</v>
          </cell>
          <cell r="C880">
            <v>43346</v>
          </cell>
          <cell r="E880">
            <v>1.3429785075609801E-3</v>
          </cell>
          <cell r="F880">
            <v>0.99596817601298804</v>
          </cell>
        </row>
        <row r="881">
          <cell r="A881" t="str">
            <v>JPY_LIBOR_EOD</v>
          </cell>
          <cell r="C881">
            <v>43711</v>
          </cell>
          <cell r="E881">
            <v>1.6885858622858799E-3</v>
          </cell>
          <cell r="F881">
            <v>0.99325463059232999</v>
          </cell>
        </row>
        <row r="882">
          <cell r="A882" t="str">
            <v>JPY_LIBOR_EOD</v>
          </cell>
          <cell r="C882">
            <v>44077</v>
          </cell>
          <cell r="E882">
            <v>2.19270150044659E-3</v>
          </cell>
          <cell r="F882">
            <v>0.98907260540389697</v>
          </cell>
        </row>
        <row r="883">
          <cell r="A883" t="str">
            <v>JPY_LIBOR_EOD</v>
          </cell>
          <cell r="C883">
            <v>44442</v>
          </cell>
          <cell r="E883">
            <v>2.7886557927868602E-3</v>
          </cell>
          <cell r="F883">
            <v>0.98337721354478702</v>
          </cell>
        </row>
        <row r="884">
          <cell r="A884" t="str">
            <v>JPY_LIBOR_EOD</v>
          </cell>
          <cell r="C884">
            <v>44809</v>
          </cell>
          <cell r="E884">
            <v>3.4478740247281198E-3</v>
          </cell>
          <cell r="F884">
            <v>0.976098480454474</v>
          </cell>
        </row>
        <row r="885">
          <cell r="A885" t="str">
            <v>JPY_LIBOR_EOD</v>
          </cell>
          <cell r="C885">
            <v>45173</v>
          </cell>
          <cell r="E885">
            <v>4.13274906180334E-3</v>
          </cell>
          <cell r="F885">
            <v>0.96742381100401698</v>
          </cell>
        </row>
        <row r="886">
          <cell r="A886" t="str">
            <v>JPY_LIBOR_EOD</v>
          </cell>
          <cell r="C886">
            <v>45538</v>
          </cell>
          <cell r="E886">
            <v>4.8318432602581802E-3</v>
          </cell>
          <cell r="F886">
            <v>0.95738202311464704</v>
          </cell>
        </row>
        <row r="887">
          <cell r="A887" t="str">
            <v>JPY_LIBOR_EOD</v>
          </cell>
          <cell r="C887">
            <v>45903</v>
          </cell>
          <cell r="E887">
            <v>5.5594696567328704E-3</v>
          </cell>
          <cell r="F887">
            <v>0.94585040783599506</v>
          </cell>
        </row>
        <row r="888">
          <cell r="A888" t="str">
            <v>JPY_LIBOR_EOD</v>
          </cell>
          <cell r="C888">
            <v>46633</v>
          </cell>
          <cell r="E888">
            <v>7.0508694221544602E-3</v>
          </cell>
          <cell r="F888">
            <v>0.91878142926332196</v>
          </cell>
        </row>
        <row r="889">
          <cell r="A889" t="str">
            <v>JPY_LIBOR_EOD</v>
          </cell>
          <cell r="C889">
            <v>47729</v>
          </cell>
          <cell r="E889">
            <v>9.3157314876676101E-3</v>
          </cell>
          <cell r="F889">
            <v>0.86945464594189303</v>
          </cell>
        </row>
        <row r="890">
          <cell r="A890" t="str">
            <v>JPY_LIBOR_EOD</v>
          </cell>
          <cell r="C890">
            <v>49555</v>
          </cell>
          <cell r="E890">
            <v>1.2338630516407699E-2</v>
          </cell>
          <cell r="F890">
            <v>0.78113347457620297</v>
          </cell>
        </row>
        <row r="891">
          <cell r="A891" t="str">
            <v>JPY_LIBOR_EOD</v>
          </cell>
          <cell r="C891">
            <v>51382</v>
          </cell>
          <cell r="E891">
            <v>1.4079138776432999E-2</v>
          </cell>
          <cell r="F891">
            <v>0.70305115278355401</v>
          </cell>
        </row>
        <row r="892">
          <cell r="A892" t="str">
            <v>JPY_LIBOR_EOD</v>
          </cell>
          <cell r="C892">
            <v>53209</v>
          </cell>
          <cell r="E892">
            <v>1.50558057354331E-2</v>
          </cell>
          <cell r="F892">
            <v>0.63627277971227303</v>
          </cell>
        </row>
        <row r="893">
          <cell r="A893" t="str">
            <v>JPY_LIBOR_EOD</v>
          </cell>
          <cell r="C893">
            <v>56860</v>
          </cell>
          <cell r="E893">
            <v>1.6544273308375199E-2</v>
          </cell>
          <cell r="F893">
            <v>0.515656283012212</v>
          </cell>
        </row>
        <row r="894">
          <cell r="A894" t="str">
            <v>JPY_TONA_EOD</v>
          </cell>
          <cell r="C894">
            <v>42249</v>
          </cell>
          <cell r="E894">
            <v>7.5999920876405999E-4</v>
          </cell>
          <cell r="F894">
            <v>0.99999791781255498</v>
          </cell>
        </row>
        <row r="895">
          <cell r="A895" t="str">
            <v>JPY_TONA_EOD</v>
          </cell>
          <cell r="C895">
            <v>42250</v>
          </cell>
          <cell r="E895">
            <v>7.5999920872074004E-4</v>
          </cell>
          <cell r="F895">
            <v>0.99999583562944505</v>
          </cell>
        </row>
        <row r="896">
          <cell r="A896" t="str">
            <v>JPY_TONA_EOD</v>
          </cell>
          <cell r="C896">
            <v>42257</v>
          </cell>
          <cell r="E896">
            <v>7.2300492754945995E-4</v>
          </cell>
          <cell r="F896">
            <v>0.99998217264014799</v>
          </cell>
        </row>
        <row r="897">
          <cell r="A897" t="str">
            <v>JPY_TONA_EOD</v>
          </cell>
          <cell r="C897">
            <v>42264</v>
          </cell>
          <cell r="E897">
            <v>7.3402532579597995E-4</v>
          </cell>
          <cell r="F897">
            <v>0.99996782406501905</v>
          </cell>
        </row>
        <row r="898">
          <cell r="A898" t="str">
            <v>JPY_TONA_EOD</v>
          </cell>
          <cell r="C898">
            <v>42271</v>
          </cell>
          <cell r="E898">
            <v>7.2936715680981001E-4</v>
          </cell>
          <cell r="F898">
            <v>0.99995404093394002</v>
          </cell>
        </row>
        <row r="899">
          <cell r="A899" t="str">
            <v>JPY_TONA_EOD</v>
          </cell>
          <cell r="C899">
            <v>42282</v>
          </cell>
          <cell r="E899">
            <v>7.4303606332272996E-4</v>
          </cell>
          <cell r="F899">
            <v>0.99993078807702795</v>
          </cell>
        </row>
        <row r="900">
          <cell r="A900" t="str">
            <v>JPY_TONA_EOD</v>
          </cell>
          <cell r="C900">
            <v>42312</v>
          </cell>
          <cell r="E900">
            <v>7.2605048176635001E-4</v>
          </cell>
          <cell r="F900">
            <v>0.99987270062151901</v>
          </cell>
        </row>
        <row r="901">
          <cell r="A901" t="str">
            <v>JPY_TONA_EOD</v>
          </cell>
          <cell r="C901">
            <v>42341</v>
          </cell>
          <cell r="E901">
            <v>7.1345957344486999E-4</v>
          </cell>
          <cell r="F901">
            <v>0.99981823093205302</v>
          </cell>
        </row>
        <row r="902">
          <cell r="A902" t="str">
            <v>JPY_TONA_EOD</v>
          </cell>
          <cell r="C902">
            <v>42373</v>
          </cell>
          <cell r="E902">
            <v>6.9742573195023003E-4</v>
          </cell>
          <cell r="F902">
            <v>0.99976118409230996</v>
          </cell>
        </row>
        <row r="903">
          <cell r="A903" t="str">
            <v>JPY_TONA_EOD</v>
          </cell>
          <cell r="C903">
            <v>42403</v>
          </cell>
          <cell r="E903">
            <v>6.8567331215393999E-4</v>
          </cell>
          <cell r="F903">
            <v>0.99970886604967801</v>
          </cell>
        </row>
        <row r="904">
          <cell r="A904" t="str">
            <v>JPY_TONA_EOD</v>
          </cell>
          <cell r="C904">
            <v>42432</v>
          </cell>
          <cell r="E904">
            <v>6.7581157018942E-4</v>
          </cell>
          <cell r="F904">
            <v>0.99965937493297796</v>
          </cell>
        </row>
        <row r="905">
          <cell r="A905" t="str">
            <v>JPY_TONA_EOD</v>
          </cell>
          <cell r="C905">
            <v>42464</v>
          </cell>
          <cell r="E905">
            <v>6.8060647134092001E-4</v>
          </cell>
          <cell r="F905">
            <v>0.99959731124387696</v>
          </cell>
        </row>
        <row r="906">
          <cell r="A906" t="str">
            <v>JPY_TONA_EOD</v>
          </cell>
          <cell r="C906">
            <v>42496</v>
          </cell>
          <cell r="E906">
            <v>6.6452770422181003E-4</v>
          </cell>
          <cell r="F906">
            <v>0.99954858720332795</v>
          </cell>
        </row>
        <row r="907">
          <cell r="A907" t="str">
            <v>JPY_TONA_EOD</v>
          </cell>
          <cell r="C907">
            <v>42524</v>
          </cell>
          <cell r="E907">
            <v>6.5683642206139999E-4</v>
          </cell>
          <cell r="F907">
            <v>0.99950344701507099</v>
          </cell>
        </row>
        <row r="908">
          <cell r="A908" t="str">
            <v>JPY_TONA_EOD</v>
          </cell>
          <cell r="C908">
            <v>42555</v>
          </cell>
          <cell r="E908">
            <v>6.4312893155503003E-4</v>
          </cell>
          <cell r="F908">
            <v>0.99945921317659803</v>
          </cell>
        </row>
        <row r="909">
          <cell r="A909" t="str">
            <v>JPY_TONA_EOD</v>
          </cell>
          <cell r="C909">
            <v>42585</v>
          </cell>
          <cell r="E909">
            <v>6.5542750620626005E-4</v>
          </cell>
          <cell r="F909">
            <v>0.99939503492933701</v>
          </cell>
        </row>
        <row r="910">
          <cell r="A910" t="str">
            <v>JPY_TONA_EOD</v>
          </cell>
          <cell r="C910">
            <v>42618</v>
          </cell>
          <cell r="E910">
            <v>6.2926132822978004E-4</v>
          </cell>
          <cell r="F910">
            <v>0.99936232205663</v>
          </cell>
        </row>
        <row r="911">
          <cell r="A911" t="str">
            <v>JPY_TONA_EOD</v>
          </cell>
          <cell r="C911">
            <v>42797</v>
          </cell>
          <cell r="E911">
            <v>5.7161812113886996E-4</v>
          </cell>
          <cell r="F911">
            <v>0.99914059320446202</v>
          </cell>
        </row>
        <row r="912">
          <cell r="A912" t="str">
            <v>JPY_TONA_EOD</v>
          </cell>
          <cell r="C912">
            <v>42982</v>
          </cell>
          <cell r="E912">
            <v>5.3401029206710002E-4</v>
          </cell>
          <cell r="F912">
            <v>0.99892670364328195</v>
          </cell>
        </row>
        <row r="913">
          <cell r="A913" t="str">
            <v>JPY_TONA_EOD</v>
          </cell>
          <cell r="C913">
            <v>43346</v>
          </cell>
          <cell r="E913">
            <v>5.8336246463983998E-4</v>
          </cell>
          <cell r="F913">
            <v>0.99824665675145297</v>
          </cell>
        </row>
        <row r="914">
          <cell r="A914" t="str">
            <v>JPY_TONA_EOD</v>
          </cell>
          <cell r="C914">
            <v>43711</v>
          </cell>
          <cell r="E914">
            <v>8.3857613336797004E-4</v>
          </cell>
          <cell r="F914">
            <v>0.99664444555876697</v>
          </cell>
        </row>
        <row r="915">
          <cell r="A915" t="str">
            <v>JPY_TONA_EOD</v>
          </cell>
          <cell r="C915">
            <v>44077</v>
          </cell>
          <cell r="E915">
            <v>1.25393387702688E-3</v>
          </cell>
          <cell r="F915">
            <v>0.99373628822014604</v>
          </cell>
        </row>
        <row r="916">
          <cell r="A916" t="str">
            <v>JPY_TONA_EOD</v>
          </cell>
          <cell r="C916">
            <v>44442</v>
          </cell>
          <cell r="E916">
            <v>1.76390658705092E-3</v>
          </cell>
          <cell r="F916">
            <v>0.98945324122758405</v>
          </cell>
        </row>
        <row r="917">
          <cell r="A917" t="str">
            <v>JPY_TONA_EOD</v>
          </cell>
          <cell r="C917">
            <v>44809</v>
          </cell>
          <cell r="E917">
            <v>2.3389198305203301E-3</v>
          </cell>
          <cell r="F917">
            <v>0.98372303818200402</v>
          </cell>
        </row>
        <row r="918">
          <cell r="A918" t="str">
            <v>JPY_TONA_EOD</v>
          </cell>
          <cell r="C918">
            <v>45173</v>
          </cell>
          <cell r="E918">
            <v>2.9319242606132799E-3</v>
          </cell>
          <cell r="F918">
            <v>0.97677831406431903</v>
          </cell>
        </row>
        <row r="919">
          <cell r="A919" t="str">
            <v>JPY_TONA_EOD</v>
          </cell>
          <cell r="C919">
            <v>45538</v>
          </cell>
          <cell r="E919">
            <v>3.5499219956418799E-3</v>
          </cell>
          <cell r="F919">
            <v>0.96850858976713305</v>
          </cell>
        </row>
        <row r="920">
          <cell r="A920" t="str">
            <v>JPY_TONA_EOD</v>
          </cell>
          <cell r="C920">
            <v>45903</v>
          </cell>
          <cell r="E920">
            <v>4.2025101420434799E-3</v>
          </cell>
          <cell r="F920">
            <v>0.95879051403389703</v>
          </cell>
        </row>
        <row r="921">
          <cell r="A921" t="str">
            <v>JPY_TONA_EOD</v>
          </cell>
          <cell r="C921">
            <v>46633</v>
          </cell>
          <cell r="E921">
            <v>5.5797252545992E-3</v>
          </cell>
          <cell r="F921">
            <v>0.93516421168111097</v>
          </cell>
        </row>
        <row r="922">
          <cell r="A922" t="str">
            <v>JPY_TONA_EOD</v>
          </cell>
          <cell r="C922">
            <v>47729</v>
          </cell>
          <cell r="E922">
            <v>7.8242985455302498E-3</v>
          </cell>
          <cell r="F922">
            <v>0.88914664969203405</v>
          </cell>
        </row>
        <row r="923">
          <cell r="A923" t="str">
            <v>JPY_TONA_EOD</v>
          </cell>
          <cell r="C923">
            <v>49555</v>
          </cell>
          <cell r="E923">
            <v>1.08171392540309E-2</v>
          </cell>
          <cell r="F923">
            <v>0.805292078394929</v>
          </cell>
        </row>
        <row r="924">
          <cell r="A924" t="str">
            <v>JPY_TONA_EOD</v>
          </cell>
          <cell r="C924">
            <v>51382</v>
          </cell>
          <cell r="E924">
            <v>1.25405444914125E-2</v>
          </cell>
          <cell r="F924">
            <v>0.73064846481163204</v>
          </cell>
        </row>
        <row r="925">
          <cell r="A925" t="str">
            <v>JPY_TONA_EOD</v>
          </cell>
          <cell r="C925">
            <v>53209</v>
          </cell>
          <cell r="E925">
            <v>1.35047059460908E-2</v>
          </cell>
          <cell r="F925">
            <v>0.66661129469122904</v>
          </cell>
        </row>
        <row r="926">
          <cell r="A926" t="str">
            <v>JPY_TONA_EOD</v>
          </cell>
          <cell r="C926">
            <v>56860</v>
          </cell>
          <cell r="E926">
            <v>1.4900309399549699E-2</v>
          </cell>
          <cell r="F926">
            <v>0.55073460352088799</v>
          </cell>
        </row>
        <row r="927">
          <cell r="A927" t="str">
            <v>MXN_TIIE_EOD</v>
          </cell>
          <cell r="C927">
            <v>42333</v>
          </cell>
          <cell r="E927">
            <v>3.5589567619267501E-2</v>
          </cell>
          <cell r="F927">
            <v>0.99174626913011699</v>
          </cell>
        </row>
        <row r="928">
          <cell r="A928" t="str">
            <v>MXN_TIIE_EOD</v>
          </cell>
          <cell r="C928">
            <v>42417</v>
          </cell>
          <cell r="E928">
            <v>3.7455917648839897E-2</v>
          </cell>
          <cell r="F928">
            <v>0.98280691438491496</v>
          </cell>
        </row>
        <row r="929">
          <cell r="A929" t="str">
            <v>MXN_TIIE_EOD</v>
          </cell>
          <cell r="C929">
            <v>42501</v>
          </cell>
          <cell r="E929">
            <v>3.8979563855414498E-2</v>
          </cell>
          <cell r="F929">
            <v>0.97334302875807699</v>
          </cell>
        </row>
        <row r="930">
          <cell r="A930" t="str">
            <v>MXN_TIIE_EOD</v>
          </cell>
          <cell r="C930">
            <v>42613</v>
          </cell>
          <cell r="E930">
            <v>4.0713562521380399E-2</v>
          </cell>
          <cell r="F930">
            <v>0.96010410036272298</v>
          </cell>
        </row>
        <row r="931">
          <cell r="A931" t="str">
            <v>MXN_TIIE_EOD</v>
          </cell>
          <cell r="C931">
            <v>42977</v>
          </cell>
          <cell r="E931">
            <v>4.5347939367666103E-2</v>
          </cell>
          <cell r="F931">
            <v>0.91340889694814698</v>
          </cell>
        </row>
        <row r="932">
          <cell r="A932" t="str">
            <v>MXN_TIIE_EOD</v>
          </cell>
          <cell r="C932">
            <v>43341</v>
          </cell>
          <cell r="E932">
            <v>4.9457884149116497E-2</v>
          </cell>
          <cell r="F932">
            <v>0.86234259063638297</v>
          </cell>
        </row>
        <row r="933">
          <cell r="A933" t="str">
            <v>MXN_TIIE_EOD</v>
          </cell>
          <cell r="C933">
            <v>43705</v>
          </cell>
          <cell r="E933">
            <v>5.3378452603532398E-2</v>
          </cell>
          <cell r="F933">
            <v>0.80809546037872004</v>
          </cell>
        </row>
        <row r="934">
          <cell r="A934" t="str">
            <v>MXN_TIIE_EOD</v>
          </cell>
          <cell r="C934">
            <v>44069</v>
          </cell>
          <cell r="E934">
            <v>5.6630871787173499E-2</v>
          </cell>
          <cell r="F934">
            <v>0.75387120090828397</v>
          </cell>
        </row>
        <row r="935">
          <cell r="A935" t="str">
            <v>MXN_TIIE_EOD</v>
          </cell>
          <cell r="C935">
            <v>44797</v>
          </cell>
          <cell r="E935">
            <v>6.1753059427972601E-2</v>
          </cell>
          <cell r="F935">
            <v>0.64969237509080302</v>
          </cell>
        </row>
        <row r="936">
          <cell r="A936" t="str">
            <v>MXN_TIIE_EOD</v>
          </cell>
          <cell r="C936">
            <v>45889</v>
          </cell>
          <cell r="E936">
            <v>6.6253762432628704E-2</v>
          </cell>
          <cell r="F936">
            <v>0.51638432754921704</v>
          </cell>
        </row>
        <row r="937">
          <cell r="A937" t="str">
            <v>MXN_TIIE_EOD</v>
          </cell>
          <cell r="C937">
            <v>47709</v>
          </cell>
          <cell r="E937">
            <v>7.1386845862623602E-2</v>
          </cell>
          <cell r="F937">
            <v>0.34367303187515003</v>
          </cell>
        </row>
        <row r="938">
          <cell r="A938" t="str">
            <v>MXN_TIIE_EOD</v>
          </cell>
          <cell r="C938">
            <v>49529</v>
          </cell>
          <cell r="E938">
            <v>7.4435011492964095E-2</v>
          </cell>
          <cell r="F938">
            <v>0.22654186184446701</v>
          </cell>
        </row>
        <row r="939">
          <cell r="A939" t="str">
            <v>MXN_TIIE_EOD</v>
          </cell>
          <cell r="C939">
            <v>53169</v>
          </cell>
          <cell r="E939">
            <v>7.7023132068023498E-2</v>
          </cell>
          <cell r="F939">
            <v>9.9801275425556002E-2</v>
          </cell>
        </row>
        <row r="940">
          <cell r="A940" t="str">
            <v>MXN_USDMXNBASIS_EOD</v>
          </cell>
          <cell r="C940">
            <v>42251</v>
          </cell>
          <cell r="E940">
            <v>2.7079436711463099E-2</v>
          </cell>
          <cell r="F940">
            <v>0.99977745405432705</v>
          </cell>
        </row>
        <row r="941">
          <cell r="A941" t="str">
            <v>MXN_USDMXNBASIS_EOD</v>
          </cell>
          <cell r="C941">
            <v>42282</v>
          </cell>
          <cell r="E941">
            <v>2.8675318598778501E-2</v>
          </cell>
          <cell r="F941">
            <v>0.99733243871354105</v>
          </cell>
        </row>
        <row r="942">
          <cell r="A942" t="str">
            <v>MXN_USDMXNBASIS_EOD</v>
          </cell>
          <cell r="C942">
            <v>42311</v>
          </cell>
          <cell r="E942">
            <v>2.9238999750880901E-2</v>
          </cell>
          <cell r="F942">
            <v>0.99496598188943197</v>
          </cell>
        </row>
        <row r="943">
          <cell r="A943" t="str">
            <v>MXN_USDMXNBASIS_EOD</v>
          </cell>
          <cell r="C943">
            <v>42341</v>
          </cell>
          <cell r="E943">
            <v>2.9394376470501801E-2</v>
          </cell>
          <cell r="F943">
            <v>0.99253845055326495</v>
          </cell>
        </row>
        <row r="944">
          <cell r="A944" t="str">
            <v>MXN_USDMXNBASIS_EOD</v>
          </cell>
          <cell r="C944">
            <v>42432</v>
          </cell>
          <cell r="E944">
            <v>3.08552471699594E-2</v>
          </cell>
          <cell r="F944">
            <v>0.984565919337684</v>
          </cell>
        </row>
        <row r="945">
          <cell r="A945" t="str">
            <v>MXN_USDMXNBASIS_EOD</v>
          </cell>
          <cell r="C945">
            <v>42524</v>
          </cell>
          <cell r="E945">
            <v>3.2389834709312601E-2</v>
          </cell>
          <cell r="F945">
            <v>0.97580545688769604</v>
          </cell>
        </row>
        <row r="946">
          <cell r="A946" t="str">
            <v>MXN_USDMXNBASIS_EOD</v>
          </cell>
          <cell r="C946">
            <v>42619</v>
          </cell>
          <cell r="E946">
            <v>3.3766916361181502E-2</v>
          </cell>
          <cell r="F946">
            <v>0.966260329385213</v>
          </cell>
        </row>
        <row r="947">
          <cell r="A947" t="str">
            <v>MXN_USDMXNBASIS_EOD</v>
          </cell>
          <cell r="C947">
            <v>42797</v>
          </cell>
          <cell r="E947">
            <v>3.6157703637243598E-2</v>
          </cell>
          <cell r="F947">
            <v>0.94706727446404404</v>
          </cell>
        </row>
        <row r="948">
          <cell r="A948" t="str">
            <v>MXN_USDMXNBASIS_EOD</v>
          </cell>
          <cell r="C948">
            <v>42978</v>
          </cell>
          <cell r="E948">
            <v>3.7998325118062899E-2</v>
          </cell>
          <cell r="F948">
            <v>0.92681931118002903</v>
          </cell>
        </row>
        <row r="949">
          <cell r="A949" t="str">
            <v>MXN_USDMXNBASIS_EOD</v>
          </cell>
          <cell r="C949">
            <v>43342</v>
          </cell>
          <cell r="E949">
            <v>4.0918840574766698E-2</v>
          </cell>
          <cell r="F949">
            <v>0.884578149089572</v>
          </cell>
        </row>
        <row r="950">
          <cell r="A950" t="str">
            <v>MXN_USDMXNBASIS_EOD</v>
          </cell>
          <cell r="C950">
            <v>43706</v>
          </cell>
          <cell r="E950">
            <v>4.3562510672742999E-2</v>
          </cell>
          <cell r="F950">
            <v>0.84028736538251303</v>
          </cell>
        </row>
        <row r="951">
          <cell r="A951" t="str">
            <v>MXN_USDMXNBASIS_EOD</v>
          </cell>
          <cell r="C951">
            <v>44070</v>
          </cell>
          <cell r="E951">
            <v>4.54525174171726E-2</v>
          </cell>
          <cell r="F951">
            <v>0.79700924162005304</v>
          </cell>
        </row>
        <row r="952">
          <cell r="A952" t="str">
            <v>MXN_USDMXNBASIS_EOD</v>
          </cell>
          <cell r="C952">
            <v>44798</v>
          </cell>
          <cell r="E952">
            <v>4.9302540285301802E-2</v>
          </cell>
          <cell r="F952">
            <v>0.70861536390267599</v>
          </cell>
        </row>
        <row r="953">
          <cell r="A953" t="str">
            <v>MXN_USDMXNBASIS_EOD</v>
          </cell>
          <cell r="C953">
            <v>45890</v>
          </cell>
          <cell r="E953">
            <v>5.2888210078112702E-2</v>
          </cell>
          <cell r="F953">
            <v>0.58994680501680796</v>
          </cell>
        </row>
        <row r="954">
          <cell r="A954" t="str">
            <v>MXN_USDMXNBASIS_EOD</v>
          </cell>
          <cell r="C954">
            <v>47710</v>
          </cell>
          <cell r="E954">
            <v>5.6994896668892403E-2</v>
          </cell>
          <cell r="F954">
            <v>0.426179996562774</v>
          </cell>
        </row>
        <row r="955">
          <cell r="A955" t="str">
            <v>MXN_USDMXNBASIS_EOD</v>
          </cell>
          <cell r="C955">
            <v>49530</v>
          </cell>
          <cell r="E955">
            <v>5.8594568104410598E-2</v>
          </cell>
          <cell r="F955">
            <v>0.31067691449127</v>
          </cell>
        </row>
        <row r="956">
          <cell r="A956" t="str">
            <v>MXN_USDMXNBASIS_EOD</v>
          </cell>
          <cell r="C956">
            <v>53170</v>
          </cell>
          <cell r="E956">
            <v>5.8075477409292399E-2</v>
          </cell>
          <cell r="F956">
            <v>0.17590534921373499</v>
          </cell>
        </row>
        <row r="957">
          <cell r="A957" t="str">
            <v>NOK_NIBOR_3M_EOD</v>
          </cell>
          <cell r="C957">
            <v>42341</v>
          </cell>
          <cell r="E957">
            <v>1.1440612792347E-2</v>
          </cell>
          <cell r="F957">
            <v>0.99708923905193803</v>
          </cell>
        </row>
        <row r="958">
          <cell r="A958" t="str">
            <v>NOK_NIBOR_3M_EOD</v>
          </cell>
          <cell r="C958">
            <v>42354</v>
          </cell>
          <cell r="E958">
            <v>1.13104200981418E-2</v>
          </cell>
          <cell r="F958">
            <v>0.99672071868044998</v>
          </cell>
        </row>
        <row r="959">
          <cell r="A959" t="str">
            <v>NOK_NIBOR_3M_EOD</v>
          </cell>
          <cell r="C959">
            <v>42445</v>
          </cell>
          <cell r="E959">
            <v>1.04830270952391E-2</v>
          </cell>
          <cell r="F959">
            <v>0.99435801355603204</v>
          </cell>
        </row>
        <row r="960">
          <cell r="A960" t="str">
            <v>NOK_NIBOR_3M_EOD</v>
          </cell>
          <cell r="C960">
            <v>42536</v>
          </cell>
          <cell r="E960">
            <v>9.9227936557048993E-3</v>
          </cell>
          <cell r="F960">
            <v>0.99220107865573204</v>
          </cell>
        </row>
        <row r="961">
          <cell r="A961" t="str">
            <v>NOK_NIBOR_3M_EOD</v>
          </cell>
          <cell r="C961">
            <v>42634</v>
          </cell>
          <cell r="E961">
            <v>9.5890114042012503E-3</v>
          </cell>
          <cell r="F961">
            <v>0.98991053566633003</v>
          </cell>
        </row>
        <row r="962">
          <cell r="A962" t="str">
            <v>NOK_NIBOR_3M_EOD</v>
          </cell>
          <cell r="C962">
            <v>42982</v>
          </cell>
          <cell r="E962">
            <v>9.5157500042252902E-3</v>
          </cell>
          <cell r="F962">
            <v>0.98104614459463102</v>
          </cell>
        </row>
        <row r="963">
          <cell r="A963" t="str">
            <v>NOK_NIBOR_3M_EOD</v>
          </cell>
          <cell r="C963">
            <v>43346</v>
          </cell>
          <cell r="E963">
            <v>1.05007483285432E-2</v>
          </cell>
          <cell r="F963">
            <v>0.96890515367520202</v>
          </cell>
        </row>
        <row r="964">
          <cell r="A964" t="str">
            <v>NOK_NIBOR_3M_EOD</v>
          </cell>
          <cell r="C964">
            <v>43711</v>
          </cell>
          <cell r="E964">
            <v>1.20421550664788E-2</v>
          </cell>
          <cell r="F964">
            <v>0.95287876557009799</v>
          </cell>
        </row>
        <row r="965">
          <cell r="A965" t="str">
            <v>NOK_NIBOR_3M_EOD</v>
          </cell>
          <cell r="C965">
            <v>44077</v>
          </cell>
          <cell r="E965">
            <v>1.37580489654235E-2</v>
          </cell>
          <cell r="F965">
            <v>0.93338173120724299</v>
          </cell>
        </row>
        <row r="966">
          <cell r="A966" t="str">
            <v>NOK_NIBOR_3M_EOD</v>
          </cell>
          <cell r="C966">
            <v>44442</v>
          </cell>
          <cell r="E966">
            <v>1.54974894592573E-2</v>
          </cell>
          <cell r="F966">
            <v>0.91105248373502901</v>
          </cell>
        </row>
        <row r="967">
          <cell r="A967" t="str">
            <v>NOK_NIBOR_3M_EOD</v>
          </cell>
          <cell r="C967">
            <v>44809</v>
          </cell>
          <cell r="E967">
            <v>1.7035652135648699E-2</v>
          </cell>
          <cell r="F967">
            <v>0.88733773951182904</v>
          </cell>
        </row>
        <row r="968">
          <cell r="A968" t="str">
            <v>NOK_NIBOR_3M_EOD</v>
          </cell>
          <cell r="C968">
            <v>45173</v>
          </cell>
          <cell r="E968">
            <v>1.8381237260613002E-2</v>
          </cell>
          <cell r="F968">
            <v>0.86303356448589696</v>
          </cell>
        </row>
        <row r="969">
          <cell r="A969" t="str">
            <v>NOK_NIBOR_3M_EOD</v>
          </cell>
          <cell r="C969">
            <v>45538</v>
          </cell>
          <cell r="E969">
            <v>1.9545941789830198E-2</v>
          </cell>
          <cell r="F969">
            <v>0.83846601543108501</v>
          </cell>
        </row>
        <row r="970">
          <cell r="A970" t="str">
            <v>NOK_NIBOR_3M_EOD</v>
          </cell>
          <cell r="C970">
            <v>45903</v>
          </cell>
          <cell r="E970">
            <v>2.0496569940985601E-2</v>
          </cell>
          <cell r="F970">
            <v>0.814446551494034</v>
          </cell>
        </row>
        <row r="971">
          <cell r="A971" t="str">
            <v>NOK_NIBOR_3M_EOD</v>
          </cell>
          <cell r="C971">
            <v>46633</v>
          </cell>
          <cell r="E971">
            <v>2.1610547315138898E-2</v>
          </cell>
          <cell r="F971">
            <v>0.77134263352527099</v>
          </cell>
        </row>
        <row r="972">
          <cell r="A972" t="str">
            <v>NOK_NIBOR_3M_EOD</v>
          </cell>
          <cell r="C972">
            <v>47729</v>
          </cell>
          <cell r="E972">
            <v>2.2301554831967701E-2</v>
          </cell>
          <cell r="F972">
            <v>0.71541683268463097</v>
          </cell>
        </row>
        <row r="973">
          <cell r="A973" t="str">
            <v>NOK_NIBOR_3M_EOD</v>
          </cell>
          <cell r="C973">
            <v>49555</v>
          </cell>
          <cell r="E973">
            <v>2.3090193386893901E-2</v>
          </cell>
          <cell r="F973">
            <v>0.62986693678042904</v>
          </cell>
        </row>
        <row r="974">
          <cell r="A974" t="str">
            <v>NOK_NIBOR_3M_EOD</v>
          </cell>
          <cell r="C974">
            <v>51382</v>
          </cell>
          <cell r="E974">
            <v>2.2978479861784099E-2</v>
          </cell>
          <cell r="F974">
            <v>0.562688781755595</v>
          </cell>
        </row>
        <row r="975">
          <cell r="A975" t="str">
            <v>NOK_NIBOR_3M_EOD</v>
          </cell>
          <cell r="C975">
            <v>53209</v>
          </cell>
          <cell r="E975">
            <v>2.2912800421931299E-2</v>
          </cell>
          <cell r="F975">
            <v>0.50254276639812201</v>
          </cell>
        </row>
        <row r="976">
          <cell r="A976" t="str">
            <v>NOK_NIBOR_6M_EOD</v>
          </cell>
          <cell r="C976">
            <v>42432</v>
          </cell>
          <cell r="E976">
            <v>1.1525153492724999E-2</v>
          </cell>
          <cell r="F976">
            <v>0.99420690467409001</v>
          </cell>
        </row>
        <row r="977">
          <cell r="A977" t="str">
            <v>NOK_NIBOR_6M_EOD</v>
          </cell>
          <cell r="C977">
            <v>42618</v>
          </cell>
          <cell r="E977">
            <v>1.0524030414099999E-2</v>
          </cell>
          <cell r="F977">
            <v>0.98938850816024804</v>
          </cell>
        </row>
        <row r="978">
          <cell r="A978" t="str">
            <v>NOK_NIBOR_6M_EOD</v>
          </cell>
          <cell r="C978">
            <v>42982</v>
          </cell>
          <cell r="E978">
            <v>1.02504386413867E-2</v>
          </cell>
          <cell r="F978">
            <v>0.97959778909153095</v>
          </cell>
        </row>
        <row r="979">
          <cell r="A979" t="str">
            <v>NOK_NIBOR_6M_EOD</v>
          </cell>
          <cell r="C979">
            <v>43346</v>
          </cell>
          <cell r="E979">
            <v>1.1184532039279599E-2</v>
          </cell>
          <cell r="F979">
            <v>0.96691419198601203</v>
          </cell>
        </row>
        <row r="980">
          <cell r="A980" t="str">
            <v>NOK_NIBOR_6M_EOD</v>
          </cell>
          <cell r="C980">
            <v>43711</v>
          </cell>
          <cell r="E980">
            <v>1.2703543028266101E-2</v>
          </cell>
          <cell r="F980">
            <v>0.95035604081424696</v>
          </cell>
        </row>
        <row r="981">
          <cell r="A981" t="str">
            <v>NOK_NIBOR_6M_EOD</v>
          </cell>
          <cell r="C981">
            <v>44077</v>
          </cell>
          <cell r="E981">
            <v>1.4419000672588601E-2</v>
          </cell>
          <cell r="F981">
            <v>0.93029548284531405</v>
          </cell>
        </row>
        <row r="982">
          <cell r="A982" t="str">
            <v>NOK_NIBOR_6M_EOD</v>
          </cell>
          <cell r="C982">
            <v>44442</v>
          </cell>
          <cell r="E982">
            <v>1.6158206223296698E-2</v>
          </cell>
          <cell r="F982">
            <v>0.90744137673179504</v>
          </cell>
        </row>
        <row r="983">
          <cell r="A983" t="str">
            <v>NOK_NIBOR_6M_EOD</v>
          </cell>
          <cell r="C983">
            <v>44809</v>
          </cell>
          <cell r="E983">
            <v>1.7696092705198799E-2</v>
          </cell>
          <cell r="F983">
            <v>0.883235381566711</v>
          </cell>
        </row>
        <row r="984">
          <cell r="A984" t="str">
            <v>NOK_NIBOR_6M_EOD</v>
          </cell>
          <cell r="C984">
            <v>45173</v>
          </cell>
          <cell r="E984">
            <v>1.9041155184160202E-2</v>
          </cell>
          <cell r="F984">
            <v>0.85848155912792301</v>
          </cell>
        </row>
        <row r="985">
          <cell r="A985" t="str">
            <v>NOK_NIBOR_6M_EOD</v>
          </cell>
          <cell r="C985">
            <v>45538</v>
          </cell>
          <cell r="E985">
            <v>2.0199935335370098E-2</v>
          </cell>
          <cell r="F985">
            <v>0.83353788121035399</v>
          </cell>
        </row>
        <row r="986">
          <cell r="A986" t="str">
            <v>NOK_NIBOR_6M_EOD</v>
          </cell>
          <cell r="C986">
            <v>45903</v>
          </cell>
          <cell r="E986">
            <v>2.11449287982464E-2</v>
          </cell>
          <cell r="F986">
            <v>0.80917590978451104</v>
          </cell>
        </row>
        <row r="987">
          <cell r="A987" t="str">
            <v>NOK_NIBOR_6M_EOD</v>
          </cell>
          <cell r="C987">
            <v>46633</v>
          </cell>
          <cell r="E987">
            <v>2.22477177166596E-2</v>
          </cell>
          <cell r="F987">
            <v>0.76546072169323598</v>
          </cell>
        </row>
        <row r="988">
          <cell r="A988" t="str">
            <v>NOK_NIBOR_6M_EOD</v>
          </cell>
          <cell r="C988">
            <v>47729</v>
          </cell>
          <cell r="E988">
            <v>2.29274642895104E-2</v>
          </cell>
          <cell r="F988">
            <v>0.70872418054733299</v>
          </cell>
        </row>
        <row r="989">
          <cell r="A989" t="str">
            <v>NOK_NIBOR_6M_EOD</v>
          </cell>
          <cell r="C989">
            <v>49555</v>
          </cell>
          <cell r="E989">
            <v>2.36988256646514E-2</v>
          </cell>
          <cell r="F989">
            <v>0.62223900270889199</v>
          </cell>
        </row>
        <row r="990">
          <cell r="A990" t="str">
            <v>NOK_NIBOR_6M_EOD</v>
          </cell>
          <cell r="C990">
            <v>51382</v>
          </cell>
          <cell r="E990">
            <v>2.35820259636185E-2</v>
          </cell>
          <cell r="F990">
            <v>0.55425404979896897</v>
          </cell>
        </row>
        <row r="991">
          <cell r="A991" t="str">
            <v>NOK_NIBOR_6M_EOD</v>
          </cell>
          <cell r="C991">
            <v>53209</v>
          </cell>
          <cell r="E991">
            <v>2.3510651938908399E-2</v>
          </cell>
          <cell r="F991">
            <v>0.49360084308348301</v>
          </cell>
        </row>
        <row r="992">
          <cell r="A992" t="str">
            <v>NOK_NIBOR_EOD</v>
          </cell>
          <cell r="C992">
            <v>42249</v>
          </cell>
          <cell r="E992">
            <v>1.0138748073534201E-2</v>
          </cell>
          <cell r="F992">
            <v>0.99997222299380595</v>
          </cell>
        </row>
        <row r="993">
          <cell r="A993" t="str">
            <v>NOK_NIBOR_EOD</v>
          </cell>
          <cell r="C993">
            <v>42250</v>
          </cell>
          <cell r="E993">
            <v>1.0138748073556501E-2</v>
          </cell>
          <cell r="F993">
            <v>0.99994444675917404</v>
          </cell>
        </row>
        <row r="994">
          <cell r="A994" t="str">
            <v>NOK_NIBOR_EOD</v>
          </cell>
          <cell r="C994">
            <v>42257</v>
          </cell>
          <cell r="E994">
            <v>1.11630330933425E-2</v>
          </cell>
          <cell r="F994">
            <v>0.99972478500780104</v>
          </cell>
        </row>
        <row r="995">
          <cell r="A995" t="str">
            <v>NOK_NIBOR_EOD</v>
          </cell>
          <cell r="C995">
            <v>42354</v>
          </cell>
          <cell r="E995">
            <v>1.1317937674197E-2</v>
          </cell>
          <cell r="F995">
            <v>0.99671854265563697</v>
          </cell>
        </row>
        <row r="996">
          <cell r="A996" t="str">
            <v>NOK_NIBOR_EOD</v>
          </cell>
          <cell r="C996">
            <v>42445</v>
          </cell>
          <cell r="E996">
            <v>1.0487072085400201E-2</v>
          </cell>
          <cell r="F996">
            <v>0.99435584268943999</v>
          </cell>
        </row>
        <row r="997">
          <cell r="A997" t="str">
            <v>NOK_NIBOR_EOD</v>
          </cell>
          <cell r="C997">
            <v>42536</v>
          </cell>
          <cell r="E997">
            <v>9.9255605413346402E-3</v>
          </cell>
          <cell r="F997">
            <v>0.99219891249812597</v>
          </cell>
        </row>
        <row r="998">
          <cell r="A998" t="str">
            <v>NOK_NIBOR_EOD</v>
          </cell>
          <cell r="C998">
            <v>42634</v>
          </cell>
          <cell r="E998">
            <v>9.5910758162769897E-3</v>
          </cell>
          <cell r="F998">
            <v>0.98990837450940194</v>
          </cell>
        </row>
        <row r="999">
          <cell r="A999" t="str">
            <v>NOK_NIBOR_EOD</v>
          </cell>
          <cell r="C999">
            <v>42982</v>
          </cell>
          <cell r="E999">
            <v>1.02528355829097E-2</v>
          </cell>
          <cell r="F999">
            <v>0.97959306729374795</v>
          </cell>
        </row>
        <row r="1000">
          <cell r="A1000" t="str">
            <v>NOK_NIBOR_EOD</v>
          </cell>
          <cell r="C1000">
            <v>43346</v>
          </cell>
          <cell r="E1000">
            <v>1.11878815745402E-2</v>
          </cell>
          <cell r="F1000">
            <v>0.96690444927599595</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K33"/>
  <sheetViews>
    <sheetView tabSelected="1" workbookViewId="0">
      <selection activeCell="D11" sqref="D11"/>
    </sheetView>
  </sheetViews>
  <sheetFormatPr defaultColWidth="8" defaultRowHeight="11.25" x14ac:dyDescent="0.2"/>
  <cols>
    <col min="1" max="2" width="2.7109375" style="120" customWidth="1"/>
    <col min="3" max="3" width="18" style="120" bestFit="1" customWidth="1"/>
    <col min="4" max="4" width="23.85546875" style="120" bestFit="1" customWidth="1"/>
    <col min="5" max="5" width="22" style="120" bestFit="1" customWidth="1"/>
    <col min="6" max="8" width="2.7109375" style="120" customWidth="1"/>
    <col min="9" max="9" width="18.5703125" style="120" bestFit="1" customWidth="1"/>
    <col min="10" max="10" width="15" style="120" bestFit="1" customWidth="1"/>
    <col min="11" max="11" width="2.7109375" style="120" customWidth="1"/>
    <col min="12" max="16384" width="8" style="120"/>
  </cols>
  <sheetData>
    <row r="1" spans="2:11" s="39" customFormat="1" ht="12" thickBot="1" x14ac:dyDescent="0.25">
      <c r="B1" s="39" t="str">
        <f>_xll.qlxlVersion(TRUE,Trigger)</f>
        <v>QuantLibXL 1.7.0 - MS VC++ (version unknown) - Multithreaded Dynamic Runtime library - Release Configuration - Sep 10 2015 18:24:23</v>
      </c>
    </row>
    <row r="2" spans="2:11" s="39" customFormat="1" ht="18.75" thickBot="1" x14ac:dyDescent="0.3">
      <c r="B2" s="236" t="s">
        <v>49</v>
      </c>
      <c r="C2" s="237"/>
      <c r="D2" s="237"/>
      <c r="E2" s="237"/>
      <c r="F2" s="238"/>
      <c r="H2" s="236" t="s">
        <v>60</v>
      </c>
      <c r="I2" s="237"/>
      <c r="J2" s="237"/>
      <c r="K2" s="239"/>
    </row>
    <row r="3" spans="2:11" s="39" customFormat="1" x14ac:dyDescent="0.2">
      <c r="B3" s="18"/>
      <c r="C3" s="37"/>
      <c r="D3" s="17"/>
      <c r="E3" s="17"/>
      <c r="F3" s="16"/>
      <c r="H3" s="107"/>
      <c r="I3" s="108"/>
      <c r="J3" s="108"/>
      <c r="K3" s="109"/>
    </row>
    <row r="4" spans="2:11" s="39" customFormat="1" x14ac:dyDescent="0.2">
      <c r="B4" s="18"/>
      <c r="C4" s="36" t="s">
        <v>48</v>
      </c>
      <c r="D4" s="27" t="s">
        <v>107</v>
      </c>
      <c r="E4" s="17"/>
      <c r="F4" s="16"/>
      <c r="H4" s="107"/>
      <c r="I4" s="110" t="s">
        <v>59</v>
      </c>
      <c r="J4" s="111" t="b">
        <v>0</v>
      </c>
      <c r="K4" s="112"/>
    </row>
    <row r="5" spans="2:11" s="39" customFormat="1" x14ac:dyDescent="0.2">
      <c r="B5" s="18"/>
      <c r="C5" s="35" t="s">
        <v>47</v>
      </c>
      <c r="D5" s="19">
        <v>6</v>
      </c>
      <c r="E5" s="17"/>
      <c r="F5" s="16"/>
      <c r="H5" s="107"/>
      <c r="I5" s="110" t="s">
        <v>58</v>
      </c>
      <c r="J5" s="113"/>
      <c r="K5" s="112"/>
    </row>
    <row r="6" spans="2:11" s="39" customFormat="1" x14ac:dyDescent="0.2">
      <c r="B6" s="18"/>
      <c r="C6" s="35" t="s">
        <v>46</v>
      </c>
      <c r="D6" s="19" t="str">
        <f>_xll.qlPeriodEquivalent(D5&amp;"M")</f>
        <v>6M</v>
      </c>
      <c r="E6" s="17"/>
      <c r="F6" s="16"/>
      <c r="H6" s="107"/>
      <c r="I6" s="110" t="s">
        <v>57</v>
      </c>
      <c r="J6" s="114" t="b">
        <v>1</v>
      </c>
      <c r="K6" s="112"/>
    </row>
    <row r="7" spans="2:11" s="39" customFormat="1" ht="12" thickBot="1" x14ac:dyDescent="0.25">
      <c r="B7" s="18"/>
      <c r="C7" s="35" t="s">
        <v>45</v>
      </c>
      <c r="D7" s="19" t="str">
        <f>Months&amp;IF(UPPER(Currency)="EUR","E","L")</f>
        <v>6E</v>
      </c>
      <c r="E7" s="17"/>
      <c r="F7" s="16"/>
      <c r="H7" s="115"/>
      <c r="I7" s="116"/>
      <c r="J7" s="116"/>
      <c r="K7" s="117"/>
    </row>
    <row r="8" spans="2:11" ht="12" thickBot="1" x14ac:dyDescent="0.25">
      <c r="B8" s="18"/>
      <c r="C8" s="35" t="s">
        <v>44</v>
      </c>
      <c r="D8" s="118" t="s">
        <v>108</v>
      </c>
      <c r="E8" s="17"/>
      <c r="F8" s="16"/>
      <c r="G8" s="39"/>
      <c r="H8" s="119"/>
      <c r="I8" s="119"/>
      <c r="J8" s="119"/>
      <c r="K8" s="119"/>
    </row>
    <row r="9" spans="2:11" ht="18.75" thickBot="1" x14ac:dyDescent="0.3">
      <c r="B9" s="121"/>
      <c r="C9" s="122" t="s">
        <v>43</v>
      </c>
      <c r="D9" s="19" t="str">
        <f>Currency&amp;"_YC"&amp;IndexTenor&amp;"RH"</f>
        <v>EUR_YC6MRH</v>
      </c>
      <c r="E9" s="123"/>
      <c r="F9" s="124"/>
      <c r="H9" s="240" t="s">
        <v>56</v>
      </c>
      <c r="I9" s="241"/>
      <c r="J9" s="241"/>
      <c r="K9" s="242"/>
    </row>
    <row r="10" spans="2:11" ht="12.75" x14ac:dyDescent="0.2">
      <c r="B10" s="121"/>
      <c r="C10" s="34" t="s">
        <v>42</v>
      </c>
      <c r="D10" s="19" t="b">
        <v>1</v>
      </c>
      <c r="E10" s="123"/>
      <c r="F10" s="124"/>
      <c r="H10" s="125"/>
      <c r="I10" s="126"/>
      <c r="J10" s="126"/>
      <c r="K10" s="127"/>
    </row>
    <row r="11" spans="2:11" ht="12.75" x14ac:dyDescent="0.2">
      <c r="B11" s="121"/>
      <c r="C11" s="34" t="s">
        <v>41</v>
      </c>
      <c r="D11" s="33"/>
      <c r="E11" s="123"/>
      <c r="F11" s="124"/>
      <c r="H11" s="125"/>
      <c r="I11" s="128" t="s">
        <v>55</v>
      </c>
      <c r="J11" s="111" t="s">
        <v>109</v>
      </c>
      <c r="K11" s="127"/>
    </row>
    <row r="12" spans="2:11" ht="12.75" x14ac:dyDescent="0.2">
      <c r="B12" s="121"/>
      <c r="C12" s="32" t="s">
        <v>40</v>
      </c>
      <c r="D12" s="31" t="b">
        <v>1</v>
      </c>
      <c r="E12" s="123"/>
      <c r="F12" s="124"/>
      <c r="H12" s="125"/>
      <c r="I12" s="128" t="s">
        <v>54</v>
      </c>
      <c r="J12" s="114" t="s">
        <v>53</v>
      </c>
      <c r="K12" s="127"/>
    </row>
    <row r="13" spans="2:11" ht="12.75" x14ac:dyDescent="0.2">
      <c r="B13" s="121"/>
      <c r="C13" s="129"/>
      <c r="D13" s="129"/>
      <c r="E13" s="123"/>
      <c r="F13" s="124"/>
      <c r="H13" s="125"/>
      <c r="I13" s="128" t="s">
        <v>81</v>
      </c>
      <c r="J13" s="114" t="s">
        <v>82</v>
      </c>
      <c r="K13" s="127"/>
    </row>
    <row r="14" spans="2:11" ht="12.75" x14ac:dyDescent="0.2">
      <c r="B14" s="121"/>
      <c r="C14" s="30" t="s">
        <v>39</v>
      </c>
      <c r="D14" s="130" t="str">
        <f>_xll.qlPiecewiseYieldCurve(D16,NDays,Calendar,_xll.ohPack(Selected!D2:D126),DayCounter,,,Accuracy,TraitsID,InterpolatorID,Permanent,,ObjectOverwrite)</f>
        <v>_EURYC6M_linearLCH#0001</v>
      </c>
      <c r="E14" s="130" t="str">
        <f>_xll.qlPiecewiseYieldCurve(E16,E17,E18,_xll.ohPack(Selected!E2:E126),DayCounter,,,E20,E21,E22,Permanent,Trigger,ObjectOverwrite)</f>
        <v>_EURYC6M_cubicLCH#0001</v>
      </c>
      <c r="F14" s="124"/>
      <c r="H14" s="125"/>
      <c r="I14" s="128" t="s">
        <v>83</v>
      </c>
      <c r="J14" s="114" t="s">
        <v>85</v>
      </c>
      <c r="K14" s="127"/>
    </row>
    <row r="15" spans="2:11" ht="12.75" x14ac:dyDescent="0.2">
      <c r="B15" s="121"/>
      <c r="C15" s="23" t="s">
        <v>23</v>
      </c>
      <c r="D15" s="131" t="str">
        <f>_xll.ohRangeRetrieveError(YieldCurve1)</f>
        <v/>
      </c>
      <c r="E15" s="131" t="str">
        <f>_xll.ohRangeRetrieveError(YieldCurve2)</f>
        <v/>
      </c>
      <c r="F15" s="124"/>
      <c r="H15" s="125"/>
      <c r="I15" s="128" t="s">
        <v>84</v>
      </c>
      <c r="J15" s="114" t="s">
        <v>88</v>
      </c>
      <c r="K15" s="127"/>
    </row>
    <row r="16" spans="2:11" ht="12.75" x14ac:dyDescent="0.2">
      <c r="B16" s="121"/>
      <c r="C16" s="30" t="s">
        <v>38</v>
      </c>
      <c r="D16" s="29" t="str">
        <f>"_"&amp;Currency&amp;"YC"&amp;IndexTenor&amp;LCHlinear</f>
        <v>_EURYC6M_linearLCH</v>
      </c>
      <c r="E16" s="29" t="str">
        <f>"_"&amp;Currency&amp;"YC"&amp;IndexTenor&amp;LCHcubic</f>
        <v>_EURYC6M_cubicLCH</v>
      </c>
      <c r="F16" s="124"/>
      <c r="H16" s="125"/>
      <c r="I16" s="128" t="s">
        <v>72</v>
      </c>
      <c r="J16" s="111" t="s">
        <v>110</v>
      </c>
      <c r="K16" s="127"/>
    </row>
    <row r="17" spans="2:11" ht="12.75" x14ac:dyDescent="0.2">
      <c r="B17" s="121"/>
      <c r="C17" s="25" t="s">
        <v>37</v>
      </c>
      <c r="D17" s="28">
        <v>0</v>
      </c>
      <c r="E17" s="28">
        <v>0</v>
      </c>
      <c r="F17" s="124"/>
      <c r="H17" s="125"/>
      <c r="I17" s="128" t="s">
        <v>71</v>
      </c>
      <c r="J17" s="111" t="s">
        <v>111</v>
      </c>
      <c r="K17" s="127"/>
    </row>
    <row r="18" spans="2:11" ht="12.75" x14ac:dyDescent="0.2">
      <c r="B18" s="121"/>
      <c r="C18" s="25" t="s">
        <v>36</v>
      </c>
      <c r="D18" s="132" t="s">
        <v>112</v>
      </c>
      <c r="E18" s="132" t="s">
        <v>112</v>
      </c>
      <c r="F18" s="124"/>
      <c r="H18" s="125"/>
      <c r="I18" s="128" t="s">
        <v>86</v>
      </c>
      <c r="J18" s="111" t="str">
        <f>UPPER(Currency)&amp;"ON"&amp;LCHlinear</f>
        <v>EURON_linearLCH</v>
      </c>
      <c r="K18" s="127"/>
    </row>
    <row r="19" spans="2:11" ht="12.75" x14ac:dyDescent="0.2">
      <c r="B19" s="121"/>
      <c r="C19" s="25" t="s">
        <v>35</v>
      </c>
      <c r="D19" s="132"/>
      <c r="E19" s="132"/>
      <c r="F19" s="124"/>
      <c r="H19" s="125"/>
      <c r="I19" s="128" t="s">
        <v>69</v>
      </c>
      <c r="J19" s="111" t="str">
        <f>UPPER(Currency)&amp;"ON"&amp;LCHcubic</f>
        <v>EURON_cubicLCH</v>
      </c>
      <c r="K19" s="127"/>
    </row>
    <row r="20" spans="2:11" ht="12.75" x14ac:dyDescent="0.2">
      <c r="B20" s="121"/>
      <c r="C20" s="25" t="s">
        <v>34</v>
      </c>
      <c r="D20" s="26" t="e">
        <f>NA()</f>
        <v>#N/A</v>
      </c>
      <c r="E20" s="26" t="e">
        <f>NA()</f>
        <v>#N/A</v>
      </c>
      <c r="F20" s="124"/>
      <c r="H20" s="125"/>
      <c r="I20" s="128" t="s">
        <v>87</v>
      </c>
      <c r="J20" s="111" t="str">
        <f>PROPER(Currency)&amp;"STD"&amp;LCHlinear</f>
        <v>EurSTD_linearLCH</v>
      </c>
      <c r="K20" s="127"/>
    </row>
    <row r="21" spans="2:11" ht="15.75" thickBot="1" x14ac:dyDescent="0.3">
      <c r="B21" s="121"/>
      <c r="C21" s="25" t="s">
        <v>33</v>
      </c>
      <c r="D21" s="24" t="s">
        <v>80</v>
      </c>
      <c r="E21" s="24" t="s">
        <v>32</v>
      </c>
      <c r="F21" s="124"/>
      <c r="H21" s="133"/>
      <c r="I21" s="134"/>
      <c r="J21" s="134"/>
      <c r="K21" s="135"/>
    </row>
    <row r="22" spans="2:11" x14ac:dyDescent="0.2">
      <c r="B22" s="121"/>
      <c r="C22" s="23" t="s">
        <v>31</v>
      </c>
      <c r="D22" s="22" t="s">
        <v>79</v>
      </c>
      <c r="E22" s="22" t="s">
        <v>89</v>
      </c>
      <c r="F22" s="124"/>
    </row>
    <row r="23" spans="2:11" x14ac:dyDescent="0.2">
      <c r="B23" s="121"/>
      <c r="C23" s="129"/>
      <c r="D23" s="129"/>
      <c r="E23" s="123"/>
      <c r="F23" s="124"/>
    </row>
    <row r="24" spans="2:11" x14ac:dyDescent="0.2">
      <c r="B24" s="121"/>
      <c r="C24" s="21">
        <f>_xll.qlTermStructureReferenceDate(YieldCurve1)</f>
        <v>42248</v>
      </c>
      <c r="D24" s="136">
        <f>MAX(_xll.ohPack(Selected!M1:M126))</f>
        <v>1.6876324745075295E-2</v>
      </c>
      <c r="E24" s="137">
        <f>MAX(_xll.ohPack(Selected!N1:N126))</f>
        <v>1</v>
      </c>
      <c r="F24" s="124"/>
    </row>
    <row r="25" spans="2:11" x14ac:dyDescent="0.2">
      <c r="B25" s="121"/>
      <c r="C25" s="20">
        <f>MAX(_xll.ohPack(Selected!L2:L126))</f>
        <v>64165</v>
      </c>
      <c r="D25" s="138">
        <f>MIN(_xll.ohPack(Selected!M1:M126))</f>
        <v>3.7243575496090256E-4</v>
      </c>
      <c r="E25" s="139">
        <f>MIN(_xll.ohPack(Selected!N1:N126))</f>
        <v>0.38452340062878265</v>
      </c>
      <c r="F25" s="124"/>
    </row>
    <row r="26" spans="2:11" x14ac:dyDescent="0.2">
      <c r="B26" s="121"/>
      <c r="C26" s="40" t="s">
        <v>23</v>
      </c>
      <c r="D26" s="140" t="str">
        <f>_xll.ohRangeRetrieveError(Selected!M1)</f>
        <v/>
      </c>
      <c r="E26" s="140" t="str">
        <f>_xll.ohRangeRetrieveError(Selected!N1)</f>
        <v/>
      </c>
      <c r="F26" s="124"/>
    </row>
    <row r="27" spans="2:11" x14ac:dyDescent="0.2">
      <c r="B27" s="121"/>
      <c r="C27" s="141"/>
      <c r="D27" s="142" t="str">
        <f>UPPER(Currency)&amp;IndexTenor&amp;LCHlinear</f>
        <v>EUR6M_linearLCH</v>
      </c>
      <c r="E27" s="142" t="str">
        <f>UPPER(Currency)&amp;IndexTenor&amp;LCHcubic</f>
        <v>EUR6M_cubicLCH</v>
      </c>
      <c r="F27" s="124"/>
    </row>
    <row r="28" spans="2:11" x14ac:dyDescent="0.2">
      <c r="B28" s="121"/>
      <c r="C28" s="143" t="s">
        <v>90</v>
      </c>
      <c r="D28" s="144" t="b">
        <f>_xll.qlRelinkableHandleLinkTo(D27,YieldCurve1)</f>
        <v>1</v>
      </c>
      <c r="E28" s="144" t="b">
        <f>_xll.qlRelinkableHandleLinkTo(E27,YieldCurve2)</f>
        <v>1</v>
      </c>
      <c r="F28" s="124"/>
    </row>
    <row r="29" spans="2:11" x14ac:dyDescent="0.2">
      <c r="B29" s="121"/>
      <c r="C29" s="145" t="s">
        <v>73</v>
      </c>
      <c r="D29" s="227" t="b">
        <v>0</v>
      </c>
      <c r="E29" s="227" t="b">
        <v>0</v>
      </c>
      <c r="F29" s="124"/>
    </row>
    <row r="30" spans="2:11" ht="12" thickBot="1" x14ac:dyDescent="0.25">
      <c r="B30" s="146"/>
      <c r="C30" s="147"/>
      <c r="D30" s="148"/>
      <c r="E30" s="149"/>
      <c r="F30" s="150"/>
    </row>
    <row r="31" spans="2:11" ht="11.25" customHeight="1" x14ac:dyDescent="0.2"/>
    <row r="33" ht="14.25" customHeight="1" x14ac:dyDescent="0.2"/>
  </sheetData>
  <mergeCells count="3">
    <mergeCell ref="B2:F2"/>
    <mergeCell ref="H2:K2"/>
    <mergeCell ref="H9:K9"/>
  </mergeCells>
  <dataValidations count="3">
    <dataValidation type="list" allowBlank="1" showInputMessage="1" showErrorMessage="1" sqref="D4">
      <formula1>"EUR,USD,GBP,JPY,CHF,AUD,CNY,CNH,HKD,RMB,SEK,PLN,HUF,CZK"</formula1>
    </dataValidation>
    <dataValidation type="list" allowBlank="1" showInputMessage="1" showErrorMessage="1" sqref="J16:J17">
      <formula1>"Actual/Actual (ISDA),Actual/360,30/360 (Bond Basis),30E/360 (Eurobond Basis),Actual/365 (Fixed),Actual/Actual (ISMA),Actual/Actual (AFB),1/1,30/360 (Italian),Simple"</formula1>
    </dataValidation>
    <dataValidation type="list" allowBlank="1" showInputMessage="1" showErrorMessage="1" sqref="D18:E18">
      <formula1>"TARGET,UnitedKingdom::Exchange,UnitedKingdom::Metals,UnitedKingdom::Settlement,UnitedStates::GovernmentBond,UnitedStates::NERC,UnitedStates::NYSE,UnitedStates::Settlement,Switzerland,Japan,Italy::Exchange,NullCalendar"</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34"/>
  <sheetViews>
    <sheetView topLeftCell="C1" workbookViewId="0">
      <selection activeCell="C1" sqref="C1"/>
    </sheetView>
  </sheetViews>
  <sheetFormatPr defaultColWidth="8.140625" defaultRowHeight="11.25" outlineLevelCol="1" x14ac:dyDescent="0.2"/>
  <cols>
    <col min="1" max="2" width="15.140625" style="171" hidden="1" customWidth="1" outlineLevel="1"/>
    <col min="3" max="3" width="21.42578125" style="171" bestFit="1" customWidth="1" collapsed="1"/>
    <col min="4" max="6" width="8" style="171" bestFit="1" customWidth="1"/>
    <col min="7" max="7" width="9" style="171" bestFit="1" customWidth="1"/>
    <col min="8" max="8" width="8.7109375" style="171" customWidth="1"/>
    <col min="9" max="10" width="17.28515625" style="171" bestFit="1" customWidth="1"/>
    <col min="11" max="11" width="3" style="170" bestFit="1" customWidth="1"/>
    <col min="12" max="12" width="19.28515625" style="170" bestFit="1" customWidth="1"/>
    <col min="13" max="16384" width="8.140625" style="170"/>
  </cols>
  <sheetData>
    <row r="1" spans="1:12" ht="33.75" customHeight="1" x14ac:dyDescent="0.2">
      <c r="A1" s="185" t="s">
        <v>91</v>
      </c>
      <c r="B1" s="186" t="s">
        <v>92</v>
      </c>
      <c r="C1" s="186" t="s">
        <v>74</v>
      </c>
      <c r="D1" s="186" t="s">
        <v>22</v>
      </c>
      <c r="E1" s="186" t="s">
        <v>21</v>
      </c>
      <c r="F1" s="186" t="s">
        <v>20</v>
      </c>
      <c r="G1" s="186" t="s">
        <v>19</v>
      </c>
      <c r="H1" s="186" t="s">
        <v>18</v>
      </c>
      <c r="I1" s="186" t="s">
        <v>17</v>
      </c>
      <c r="J1" s="186" t="s">
        <v>77</v>
      </c>
      <c r="K1" s="187"/>
    </row>
    <row r="2" spans="1:12" x14ac:dyDescent="0.2">
      <c r="A2" s="188" t="str">
        <f>Deposits!F4</f>
        <v>obj_00645#0001</v>
      </c>
      <c r="B2" s="73" t="str">
        <f>A2</f>
        <v>obj_00645#0001</v>
      </c>
      <c r="C2" s="69" t="str">
        <f>_xll.qlRateHelperQuoteName(A2)</f>
        <v>EUR6MD_LCHQuote</v>
      </c>
      <c r="D2" s="70">
        <f>_xll.qlRateHelperQuoteValue($A2,Trigger)</f>
        <v>3.8999999999999999E-4</v>
      </c>
      <c r="E2" s="70"/>
      <c r="F2" s="46" t="b">
        <v>1</v>
      </c>
      <c r="G2" s="46">
        <v>70</v>
      </c>
      <c r="H2" s="46">
        <v>1</v>
      </c>
      <c r="I2" s="71">
        <f>_xll.qlRateHelperEarliestDate($A2,Trigger)</f>
        <v>42250</v>
      </c>
      <c r="J2" s="72">
        <f>_xll.qlRateHelperMaturityDate(A2)</f>
        <v>42432</v>
      </c>
      <c r="K2" s="189"/>
    </row>
    <row r="3" spans="1:12" x14ac:dyDescent="0.2">
      <c r="A3" s="190" t="str">
        <f>FRAs!I4</f>
        <v>obj_0064b#0001</v>
      </c>
      <c r="B3" s="73" t="str">
        <f>A3</f>
        <v>obj_0064b#0001</v>
      </c>
      <c r="C3" s="73" t="str">
        <f>_xll.qlRateHelperQuoteName(A3)</f>
        <v>EUR1x7F_LCHQuote</v>
      </c>
      <c r="D3" s="74">
        <f>_xll.qlRateHelperQuoteValue($A3,Trigger)</f>
        <v>3.6499999999999998E-4</v>
      </c>
      <c r="E3" s="74"/>
      <c r="F3" s="75" t="b">
        <v>1</v>
      </c>
      <c r="G3" s="75">
        <v>20</v>
      </c>
      <c r="H3" s="75">
        <v>1</v>
      </c>
      <c r="I3" s="76">
        <f>_xll.qlRateHelperEarliestDate($A3,Trigger)</f>
        <v>42282</v>
      </c>
      <c r="J3" s="77">
        <f>_xll.qlRateHelperMaturityDate(A3)</f>
        <v>42464</v>
      </c>
      <c r="K3" s="189"/>
    </row>
    <row r="4" spans="1:12" x14ac:dyDescent="0.2">
      <c r="A4" s="188" t="str">
        <f>FRAs!I5</f>
        <v>obj_00647#0001</v>
      </c>
      <c r="B4" s="69" t="str">
        <f t="shared" ref="B4:B9" si="0">A4</f>
        <v>obj_00647#0001</v>
      </c>
      <c r="C4" s="69" t="str">
        <f>_xll.qlRateHelperQuoteName(A4)</f>
        <v>EUR2x8F_LCHQuote</v>
      </c>
      <c r="D4" s="70">
        <f>_xll.qlRateHelperQuoteValue($A4,Trigger)</f>
        <v>4.2000000000000002E-4</v>
      </c>
      <c r="E4" s="70"/>
      <c r="F4" s="46" t="b">
        <v>1</v>
      </c>
      <c r="G4" s="46">
        <v>20</v>
      </c>
      <c r="H4" s="46">
        <v>1</v>
      </c>
      <c r="I4" s="71">
        <f>_xll.qlRateHelperEarliestDate($A4,Trigger)</f>
        <v>42311</v>
      </c>
      <c r="J4" s="72">
        <f>_xll.qlRateHelperMaturityDate(A4)</f>
        <v>42493</v>
      </c>
      <c r="K4" s="189"/>
    </row>
    <row r="5" spans="1:12" x14ac:dyDescent="0.2">
      <c r="A5" s="188" t="str">
        <f>FRAs!I6</f>
        <v>obj_00649#0001</v>
      </c>
      <c r="B5" s="69" t="str">
        <f t="shared" si="0"/>
        <v>obj_00649#0001</v>
      </c>
      <c r="C5" s="69" t="str">
        <f>_xll.qlRateHelperQuoteName(A5)</f>
        <v>EUR3x9F_LCHQuote</v>
      </c>
      <c r="D5" s="70">
        <f>_xll.qlRateHelperQuoteValue($A5,Trigger)</f>
        <v>4.3333329999999999E-4</v>
      </c>
      <c r="E5" s="70"/>
      <c r="F5" s="46" t="b">
        <v>1</v>
      </c>
      <c r="G5" s="46">
        <v>20</v>
      </c>
      <c r="H5" s="46">
        <v>1</v>
      </c>
      <c r="I5" s="71">
        <f>_xll.qlRateHelperEarliestDate($A5,Trigger)</f>
        <v>42341</v>
      </c>
      <c r="J5" s="72">
        <f>_xll.qlRateHelperMaturityDate(A5)</f>
        <v>42524</v>
      </c>
      <c r="K5" s="189"/>
    </row>
    <row r="6" spans="1:12" x14ac:dyDescent="0.2">
      <c r="A6" s="188" t="str">
        <f>FRAs!I7</f>
        <v>obj_0064c#0001</v>
      </c>
      <c r="B6" s="69" t="str">
        <f t="shared" si="0"/>
        <v>obj_0064c#0001</v>
      </c>
      <c r="C6" s="69" t="str">
        <f>_xll.qlRateHelperQuoteName(A6)</f>
        <v>EUR4x10F_LCHQuote</v>
      </c>
      <c r="D6" s="70">
        <f>_xll.qlRateHelperQuoteValue($A6,Trigger)</f>
        <v>4.4000000000000002E-4</v>
      </c>
      <c r="E6" s="70"/>
      <c r="F6" s="46" t="b">
        <v>1</v>
      </c>
      <c r="G6" s="46">
        <v>20</v>
      </c>
      <c r="H6" s="46">
        <v>1</v>
      </c>
      <c r="I6" s="71">
        <f>_xll.qlRateHelperEarliestDate($A6,Trigger)</f>
        <v>42373</v>
      </c>
      <c r="J6" s="72">
        <f>_xll.qlRateHelperMaturityDate(A6)</f>
        <v>42555</v>
      </c>
      <c r="K6" s="189"/>
    </row>
    <row r="7" spans="1:12" x14ac:dyDescent="0.2">
      <c r="A7" s="188" t="str">
        <f>FRAs!I8</f>
        <v>obj_0064a#0001</v>
      </c>
      <c r="B7" s="69" t="str">
        <f t="shared" si="0"/>
        <v>obj_0064a#0001</v>
      </c>
      <c r="C7" s="69" t="str">
        <f>_xll.qlRateHelperQuoteName(A7)</f>
        <v>EUR5x11F_LCHQuote</v>
      </c>
      <c r="D7" s="70">
        <f>_xll.qlRateHelperQuoteValue($A7,Trigger)</f>
        <v>4.6833330000000002E-4</v>
      </c>
      <c r="E7" s="70"/>
      <c r="F7" s="46" t="b">
        <v>1</v>
      </c>
      <c r="G7" s="46">
        <v>20</v>
      </c>
      <c r="H7" s="46">
        <v>1</v>
      </c>
      <c r="I7" s="71">
        <f>_xll.qlRateHelperEarliestDate($A7,Trigger)</f>
        <v>42403</v>
      </c>
      <c r="J7" s="72">
        <f>_xll.qlRateHelperMaturityDate(A7)</f>
        <v>42585</v>
      </c>
      <c r="K7" s="189"/>
    </row>
    <row r="8" spans="1:12" x14ac:dyDescent="0.2">
      <c r="A8" s="188" t="str">
        <f>FRAs!I9</f>
        <v>obj_00646#0001</v>
      </c>
      <c r="B8" s="69" t="str">
        <f t="shared" si="0"/>
        <v>obj_00646#0001</v>
      </c>
      <c r="C8" s="69" t="str">
        <f>_xll.qlRateHelperQuoteName(A8)</f>
        <v>EUR6x12F_LCHQuote</v>
      </c>
      <c r="D8" s="70">
        <f>_xll.qlRateHelperQuoteValue($A8,Trigger)</f>
        <v>5.0250000000000002E-4</v>
      </c>
      <c r="E8" s="70"/>
      <c r="F8" s="46" t="b">
        <v>1</v>
      </c>
      <c r="G8" s="46">
        <v>20</v>
      </c>
      <c r="H8" s="46">
        <v>1</v>
      </c>
      <c r="I8" s="71">
        <f>_xll.qlRateHelperEarliestDate($A8,Trigger)</f>
        <v>42432</v>
      </c>
      <c r="J8" s="72">
        <f>_xll.qlRateHelperMaturityDate(A8)</f>
        <v>42618</v>
      </c>
      <c r="K8" s="189"/>
    </row>
    <row r="9" spans="1:12" x14ac:dyDescent="0.2">
      <c r="A9" s="188" t="str">
        <f>FRAs!I10</f>
        <v>obj_00648#0001</v>
      </c>
      <c r="B9" s="69" t="str">
        <f t="shared" si="0"/>
        <v>obj_00648#0001</v>
      </c>
      <c r="C9" s="69" t="str">
        <f>_xll.qlRateHelperQuoteName(A9)</f>
        <v>EUR12x18F_LCHQuote</v>
      </c>
      <c r="D9" s="70">
        <f>_xll.qlRateHelperQuoteValue($A9,Trigger)</f>
        <v>9.6500000000000004E-4</v>
      </c>
      <c r="E9" s="70"/>
      <c r="F9" s="46" t="b">
        <v>1</v>
      </c>
      <c r="G9" s="46">
        <v>20</v>
      </c>
      <c r="H9" s="46">
        <v>1</v>
      </c>
      <c r="I9" s="71">
        <f>_xll.qlRateHelperEarliestDate($A9,Trigger)</f>
        <v>42618</v>
      </c>
      <c r="J9" s="72">
        <f>_xll.qlRateHelperMaturityDate(A9)</f>
        <v>42797</v>
      </c>
      <c r="K9" s="189"/>
    </row>
    <row r="10" spans="1:12" x14ac:dyDescent="0.2">
      <c r="A10" s="190" t="str">
        <f>Swaps!M4</f>
        <v>obj_00628#0001</v>
      </c>
      <c r="B10" s="73" t="str">
        <f>Swaps!N4</f>
        <v>obj_00629#0001</v>
      </c>
      <c r="C10" s="73" t="str">
        <f>_xll.qlRateHelperQuoteName(A10)</f>
        <v>EURAB6E2Y_LCHQuote</v>
      </c>
      <c r="D10" s="74">
        <f>_xll.qlRateHelperQuoteValue($A10,Trigger)</f>
        <v>9.3924999999999998E-4</v>
      </c>
      <c r="E10" s="74">
        <f>_xll.qlSwapRateHelperSpread($A10,Trigger)</f>
        <v>0</v>
      </c>
      <c r="F10" s="75" t="b">
        <v>1</v>
      </c>
      <c r="G10" s="75">
        <v>50</v>
      </c>
      <c r="H10" s="75">
        <v>1</v>
      </c>
      <c r="I10" s="76">
        <f>_xll.qlRateHelperEarliestDate($A10,Trigger)</f>
        <v>42250</v>
      </c>
      <c r="J10" s="77">
        <f>_xll.qlRateHelperMaturityDate(A10)</f>
        <v>42982</v>
      </c>
      <c r="K10" s="189"/>
    </row>
    <row r="11" spans="1:12" x14ac:dyDescent="0.2">
      <c r="A11" s="188" t="str">
        <f>Swaps!M5</f>
        <v>obj_0063e#0001</v>
      </c>
      <c r="B11" s="69" t="str">
        <f>Swaps!N5</f>
        <v>obj_0062f#0001</v>
      </c>
      <c r="C11" s="69" t="str">
        <f>_xll.qlRateHelperQuoteName(A11)</f>
        <v>EURAB6E3Y_LCHQuote</v>
      </c>
      <c r="D11" s="70">
        <f>_xll.qlRateHelperQuoteValue($A11,Trigger)</f>
        <v>1.8450000000000001E-3</v>
      </c>
      <c r="E11" s="70">
        <f>_xll.qlSwapRateHelperSpread($A11,Trigger)</f>
        <v>0</v>
      </c>
      <c r="F11" s="46" t="b">
        <v>1</v>
      </c>
      <c r="G11" s="46">
        <v>50</v>
      </c>
      <c r="H11" s="46">
        <v>1</v>
      </c>
      <c r="I11" s="71">
        <f>_xll.qlRateHelperEarliestDate($A11,Trigger)</f>
        <v>42250</v>
      </c>
      <c r="J11" s="72">
        <f>_xll.qlRateHelperMaturityDate(A11)</f>
        <v>43346</v>
      </c>
      <c r="K11" s="189"/>
    </row>
    <row r="12" spans="1:12" x14ac:dyDescent="0.2">
      <c r="A12" s="188" t="str">
        <f>Swaps!M6</f>
        <v>obj_00643#0001</v>
      </c>
      <c r="B12" s="69" t="str">
        <f>Swaps!N6</f>
        <v>obj_00633#0001</v>
      </c>
      <c r="C12" s="69" t="str">
        <f>_xll.qlRateHelperQuoteName(A12)</f>
        <v>EURAB6E4Y_LCHQuote</v>
      </c>
      <c r="D12" s="70">
        <f>_xll.qlRateHelperQuoteValue($A12,Trigger)</f>
        <v>3.1212499999999999E-3</v>
      </c>
      <c r="E12" s="70">
        <f>_xll.qlSwapRateHelperSpread($A12,Trigger)</f>
        <v>0</v>
      </c>
      <c r="F12" s="46" t="b">
        <v>1</v>
      </c>
      <c r="G12" s="46">
        <v>50</v>
      </c>
      <c r="H12" s="46">
        <v>1</v>
      </c>
      <c r="I12" s="71">
        <f>_xll.qlRateHelperEarliestDate($A12,Trigger)</f>
        <v>42250</v>
      </c>
      <c r="J12" s="72">
        <f>_xll.qlRateHelperMaturityDate(A12)</f>
        <v>43711</v>
      </c>
      <c r="K12" s="189"/>
    </row>
    <row r="13" spans="1:12" x14ac:dyDescent="0.2">
      <c r="A13" s="188" t="str">
        <f>Swaps!M7</f>
        <v>obj_00627#0001</v>
      </c>
      <c r="B13" s="69" t="str">
        <f>Swaps!N7</f>
        <v>obj_00623#0001</v>
      </c>
      <c r="C13" s="69" t="str">
        <f>_xll.qlRateHelperQuoteName(A13)</f>
        <v>EURAB6E5Y_LCHQuote</v>
      </c>
      <c r="D13" s="70">
        <f>_xll.qlRateHelperQuoteValue($A13,Trigger)</f>
        <v>4.5490000000000001E-3</v>
      </c>
      <c r="E13" s="70">
        <f>_xll.qlSwapRateHelperSpread($A13,Trigger)</f>
        <v>0</v>
      </c>
      <c r="F13" s="46" t="b">
        <v>1</v>
      </c>
      <c r="G13" s="46">
        <v>50</v>
      </c>
      <c r="H13" s="46">
        <v>1</v>
      </c>
      <c r="I13" s="71">
        <f>_xll.qlRateHelperEarliestDate($A13,Trigger)</f>
        <v>42250</v>
      </c>
      <c r="J13" s="72">
        <f>_xll.qlRateHelperMaturityDate(A13)</f>
        <v>44077</v>
      </c>
      <c r="K13" s="189"/>
    </row>
    <row r="14" spans="1:12" x14ac:dyDescent="0.2">
      <c r="A14" s="188" t="str">
        <f>Swaps!M8</f>
        <v>obj_00624#0001</v>
      </c>
      <c r="B14" s="69" t="str">
        <f>Swaps!N8</f>
        <v>obj_00638#0001</v>
      </c>
      <c r="C14" s="69" t="str">
        <f>_xll.qlRateHelperQuoteName(A14)</f>
        <v>EURAB6E6Y_LCHQuote</v>
      </c>
      <c r="D14" s="70">
        <f>_xll.qlRateHelperQuoteValue($A14,Trigger)</f>
        <v>6.0192500000000003E-3</v>
      </c>
      <c r="E14" s="70">
        <f>_xll.qlSwapRateHelperSpread($A14,Trigger)</f>
        <v>0</v>
      </c>
      <c r="F14" s="46" t="b">
        <v>1</v>
      </c>
      <c r="G14" s="46">
        <v>50</v>
      </c>
      <c r="H14" s="46">
        <v>1</v>
      </c>
      <c r="I14" s="71">
        <f>_xll.qlRateHelperEarliestDate($A14,Trigger)</f>
        <v>42250</v>
      </c>
      <c r="J14" s="72">
        <f>_xll.qlRateHelperMaturityDate(A14)</f>
        <v>44442</v>
      </c>
      <c r="K14" s="189"/>
      <c r="L14" s="194"/>
    </row>
    <row r="15" spans="1:12" x14ac:dyDescent="0.2">
      <c r="A15" s="188" t="str">
        <f>Swaps!M9</f>
        <v>obj_00630#0001</v>
      </c>
      <c r="B15" s="69" t="str">
        <f>Swaps!N9</f>
        <v>obj_0062c#0001</v>
      </c>
      <c r="C15" s="69" t="str">
        <f>_xll.qlRateHelperQuoteName(A15)</f>
        <v>EURAB6E7Y_LCHQuote</v>
      </c>
      <c r="D15" s="70">
        <f>_xll.qlRateHelperQuoteValue($A15,Trigger)</f>
        <v>7.4780000000000003E-3</v>
      </c>
      <c r="E15" s="70">
        <f>_xll.qlSwapRateHelperSpread($A15,Trigger)</f>
        <v>0</v>
      </c>
      <c r="F15" s="46" t="b">
        <v>1</v>
      </c>
      <c r="G15" s="46">
        <v>50</v>
      </c>
      <c r="H15" s="46">
        <v>1</v>
      </c>
      <c r="I15" s="71">
        <f>_xll.qlRateHelperEarliestDate($A15,Trigger)</f>
        <v>42250</v>
      </c>
      <c r="J15" s="72">
        <f>_xll.qlRateHelperMaturityDate(A15)</f>
        <v>44809</v>
      </c>
      <c r="K15" s="189"/>
      <c r="L15" s="194"/>
    </row>
    <row r="16" spans="1:12" x14ac:dyDescent="0.2">
      <c r="A16" s="188" t="str">
        <f>Swaps!M10</f>
        <v>obj_0063a#0001</v>
      </c>
      <c r="B16" s="69" t="str">
        <f>Swaps!N10</f>
        <v>obj_00625#0001</v>
      </c>
      <c r="C16" s="69" t="str">
        <f>_xll.qlRateHelperQuoteName(A16)</f>
        <v>EURAB6E8Y_LCHQuote</v>
      </c>
      <c r="D16" s="70">
        <f>_xll.qlRateHelperQuoteValue($A16,Trigger)</f>
        <v>8.8542499999999993E-3</v>
      </c>
      <c r="E16" s="70">
        <f>_xll.qlSwapRateHelperSpread($A16,Trigger)</f>
        <v>0</v>
      </c>
      <c r="F16" s="46" t="b">
        <v>1</v>
      </c>
      <c r="G16" s="46">
        <v>50</v>
      </c>
      <c r="H16" s="46">
        <v>1</v>
      </c>
      <c r="I16" s="71">
        <f>_xll.qlRateHelperEarliestDate($A16,Trigger)</f>
        <v>42250</v>
      </c>
      <c r="J16" s="72">
        <f>_xll.qlRateHelperMaturityDate(A16)</f>
        <v>45173</v>
      </c>
      <c r="K16" s="189"/>
      <c r="L16" s="194"/>
    </row>
    <row r="17" spans="1:12" x14ac:dyDescent="0.2">
      <c r="A17" s="188" t="str">
        <f>Swaps!M11</f>
        <v>obj_00636#0001</v>
      </c>
      <c r="B17" s="69" t="str">
        <f>Swaps!N11</f>
        <v>obj_0062a#0001</v>
      </c>
      <c r="C17" s="69" t="str">
        <f>_xll.qlRateHelperQuoteName(A17)</f>
        <v>EURAB6E9Y_LCHQuote</v>
      </c>
      <c r="D17" s="70">
        <f>_xll.qlRateHelperQuoteValue($A17,Trigger)</f>
        <v>1.0107E-2</v>
      </c>
      <c r="E17" s="70">
        <f>_xll.qlSwapRateHelperSpread($A17,Trigger)</f>
        <v>0</v>
      </c>
      <c r="F17" s="46" t="b">
        <v>1</v>
      </c>
      <c r="G17" s="46">
        <v>50</v>
      </c>
      <c r="H17" s="46">
        <v>1</v>
      </c>
      <c r="I17" s="71">
        <f>_xll.qlRateHelperEarliestDate($A17,Trigger)</f>
        <v>42250</v>
      </c>
      <c r="J17" s="72">
        <f>_xll.qlRateHelperMaturityDate(A17)</f>
        <v>45538</v>
      </c>
      <c r="K17" s="189"/>
      <c r="L17" s="194"/>
    </row>
    <row r="18" spans="1:12" x14ac:dyDescent="0.2">
      <c r="A18" s="188" t="str">
        <f>Swaps!M12</f>
        <v>obj_00632#0001</v>
      </c>
      <c r="B18" s="69" t="str">
        <f>Swaps!N12</f>
        <v>obj_00640#0001</v>
      </c>
      <c r="C18" s="69" t="str">
        <f>_xll.qlRateHelperQuoteName(A18)</f>
        <v>EURAB6E10Y_LCHQuote</v>
      </c>
      <c r="D18" s="70">
        <f>_xll.qlRateHelperQuoteValue($A18,Trigger)</f>
        <v>1.1193E-2</v>
      </c>
      <c r="E18" s="70">
        <f>_xll.qlSwapRateHelperSpread($A18,Trigger)</f>
        <v>0</v>
      </c>
      <c r="F18" s="46" t="b">
        <v>1</v>
      </c>
      <c r="G18" s="46">
        <v>50</v>
      </c>
      <c r="H18" s="46">
        <v>1</v>
      </c>
      <c r="I18" s="71">
        <f>_xll.qlRateHelperEarliestDate($A18,Trigger)</f>
        <v>42250</v>
      </c>
      <c r="J18" s="72">
        <f>_xll.qlRateHelperMaturityDate(A18)</f>
        <v>45903</v>
      </c>
      <c r="K18" s="189"/>
      <c r="L18" s="194"/>
    </row>
    <row r="19" spans="1:12" x14ac:dyDescent="0.2">
      <c r="A19" s="188" t="str">
        <f>Swaps!M13</f>
        <v>obj_0063c#0001</v>
      </c>
      <c r="B19" s="69" t="str">
        <f>Swaps!N13</f>
        <v>obj_0063f#0001</v>
      </c>
      <c r="C19" s="69" t="str">
        <f>_xll.qlRateHelperQuoteName(A19)</f>
        <v>EURAB6E12Y_LCHQuote</v>
      </c>
      <c r="D19" s="70">
        <f>_xll.qlRateHelperQuoteValue($A19,Trigger)</f>
        <v>1.29455E-2</v>
      </c>
      <c r="E19" s="70">
        <f>_xll.qlSwapRateHelperSpread($A19,Trigger)</f>
        <v>0</v>
      </c>
      <c r="F19" s="46" t="b">
        <v>1</v>
      </c>
      <c r="G19" s="46">
        <v>50</v>
      </c>
      <c r="H19" s="46">
        <v>1</v>
      </c>
      <c r="I19" s="71">
        <f>_xll.qlRateHelperEarliestDate($A19,Trigger)</f>
        <v>42250</v>
      </c>
      <c r="J19" s="72">
        <f>_xll.qlRateHelperMaturityDate(A19)</f>
        <v>46633</v>
      </c>
      <c r="K19" s="189"/>
      <c r="L19" s="194"/>
    </row>
    <row r="20" spans="1:12" x14ac:dyDescent="0.2">
      <c r="A20" s="188" t="str">
        <f>Swaps!M14</f>
        <v>obj_0062d#0001</v>
      </c>
      <c r="B20" s="69" t="str">
        <f>Swaps!N14</f>
        <v>obj_00622#0001</v>
      </c>
      <c r="C20" s="69" t="str">
        <f>_xll.qlRateHelperQuoteName(A20)</f>
        <v>EURAB6E15Y_LCHQuote</v>
      </c>
      <c r="D20" s="70">
        <f>_xll.qlRateHelperQuoteValue($A20,Trigger)</f>
        <v>1.4725500000000001E-2</v>
      </c>
      <c r="E20" s="70">
        <f>_xll.qlSwapRateHelperSpread($A20,Trigger)</f>
        <v>0</v>
      </c>
      <c r="F20" s="46" t="b">
        <v>1</v>
      </c>
      <c r="G20" s="46">
        <v>50</v>
      </c>
      <c r="H20" s="46">
        <v>1</v>
      </c>
      <c r="I20" s="71">
        <f>_xll.qlRateHelperEarliestDate($A20,Trigger)</f>
        <v>42250</v>
      </c>
      <c r="J20" s="72">
        <f>_xll.qlRateHelperMaturityDate(A20)</f>
        <v>47729</v>
      </c>
      <c r="K20" s="189"/>
      <c r="L20" s="194"/>
    </row>
    <row r="21" spans="1:12" x14ac:dyDescent="0.2">
      <c r="A21" s="188" t="str">
        <f>Swaps!M15</f>
        <v>obj_0062e#0001</v>
      </c>
      <c r="B21" s="69" t="str">
        <f>Swaps!N15</f>
        <v>obj_00631#0001</v>
      </c>
      <c r="C21" s="69" t="str">
        <f>_xll.qlRateHelperQuoteName(A21)</f>
        <v>EURAB6E20Y_LCHQuote</v>
      </c>
      <c r="D21" s="70">
        <f>_xll.qlRateHelperQuoteValue($A21,Trigger)</f>
        <v>1.6125500000000001E-2</v>
      </c>
      <c r="E21" s="70">
        <f>_xll.qlSwapRateHelperSpread($A21,Trigger)</f>
        <v>0</v>
      </c>
      <c r="F21" s="46" t="b">
        <v>1</v>
      </c>
      <c r="G21" s="46">
        <v>50</v>
      </c>
      <c r="H21" s="46">
        <v>1</v>
      </c>
      <c r="I21" s="71">
        <f>_xll.qlRateHelperEarliestDate($A21,Trigger)</f>
        <v>42250</v>
      </c>
      <c r="J21" s="72">
        <f>_xll.qlRateHelperMaturityDate(A21)</f>
        <v>49555</v>
      </c>
      <c r="K21" s="189"/>
      <c r="L21" s="194"/>
    </row>
    <row r="22" spans="1:12" x14ac:dyDescent="0.2">
      <c r="A22" s="188" t="str">
        <f>Swaps!M16</f>
        <v>obj_0062b#0001</v>
      </c>
      <c r="B22" s="69" t="str">
        <f>Swaps!N16</f>
        <v>obj_00634#0001</v>
      </c>
      <c r="C22" s="69" t="str">
        <f>_xll.qlRateHelperQuoteName(A22)</f>
        <v>EURAB6E25Y_LCHQuote</v>
      </c>
      <c r="D22" s="70">
        <f>_xll.qlRateHelperQuoteValue($A22,Trigger)</f>
        <v>1.6433E-2</v>
      </c>
      <c r="E22" s="70">
        <f>_xll.qlSwapRateHelperSpread($A22,Trigger)</f>
        <v>0</v>
      </c>
      <c r="F22" s="46" t="b">
        <v>1</v>
      </c>
      <c r="G22" s="46">
        <v>50</v>
      </c>
      <c r="H22" s="46">
        <v>1</v>
      </c>
      <c r="I22" s="71">
        <f>_xll.qlRateHelperEarliestDate($A22,Trigger)</f>
        <v>42250</v>
      </c>
      <c r="J22" s="72">
        <f>_xll.qlRateHelperMaturityDate(A22)</f>
        <v>51382</v>
      </c>
      <c r="K22" s="189"/>
      <c r="L22" s="194"/>
    </row>
    <row r="23" spans="1:12" x14ac:dyDescent="0.2">
      <c r="A23" s="188" t="str">
        <f>Swaps!M17</f>
        <v>obj_00626#0001</v>
      </c>
      <c r="B23" s="69" t="str">
        <f>Swaps!N17</f>
        <v>obj_00635#0001</v>
      </c>
      <c r="C23" s="69" t="str">
        <f>_xll.qlRateHelperQuoteName(A23)</f>
        <v>EURAB6E30Y_LCHQuote</v>
      </c>
      <c r="D23" s="70">
        <f>_xll.qlRateHelperQuoteValue($A23,Trigger)</f>
        <v>1.6500500000000001E-2</v>
      </c>
      <c r="E23" s="70">
        <f>_xll.qlSwapRateHelperSpread($A23,Trigger)</f>
        <v>0</v>
      </c>
      <c r="F23" s="46" t="b">
        <v>1</v>
      </c>
      <c r="G23" s="46">
        <v>50</v>
      </c>
      <c r="H23" s="46">
        <v>1</v>
      </c>
      <c r="I23" s="71">
        <f>_xll.qlRateHelperEarliestDate($A23,Trigger)</f>
        <v>42250</v>
      </c>
      <c r="J23" s="72">
        <f>_xll.qlRateHelperMaturityDate(A23)</f>
        <v>53209</v>
      </c>
      <c r="K23" s="189"/>
      <c r="L23" s="194"/>
    </row>
    <row r="24" spans="1:12" x14ac:dyDescent="0.2">
      <c r="A24" s="188" t="str">
        <f>Swaps!M18</f>
        <v>obj_00637#0001</v>
      </c>
      <c r="B24" s="69" t="str">
        <f>Swaps!N18</f>
        <v>obj_00639#0001</v>
      </c>
      <c r="C24" s="69" t="str">
        <f>_xll.qlRateHelperQuoteName(A24)</f>
        <v>EURAB6E40Y_LCHQuote</v>
      </c>
      <c r="D24" s="70">
        <f>_xll.qlRateHelperQuoteValue($A24,Trigger)</f>
        <v>1.6621E-2</v>
      </c>
      <c r="E24" s="70">
        <f>_xll.qlSwapRateHelperSpread($A24,Trigger)</f>
        <v>0</v>
      </c>
      <c r="F24" s="46" t="b">
        <v>1</v>
      </c>
      <c r="G24" s="46">
        <v>50</v>
      </c>
      <c r="H24" s="46">
        <v>1</v>
      </c>
      <c r="I24" s="71">
        <f>_xll.qlRateHelperEarliestDate($A24,Trigger)</f>
        <v>42250</v>
      </c>
      <c r="J24" s="72">
        <f>_xll.qlRateHelperMaturityDate(A24)</f>
        <v>56860</v>
      </c>
      <c r="K24" s="189"/>
      <c r="L24" s="194"/>
    </row>
    <row r="25" spans="1:12" x14ac:dyDescent="0.2">
      <c r="A25" s="188" t="str">
        <f>Swaps!M19</f>
        <v>obj_00641#0001</v>
      </c>
      <c r="B25" s="69" t="str">
        <f>Swaps!N19</f>
        <v>obj_0063d#0001</v>
      </c>
      <c r="C25" s="69" t="str">
        <f>_xll.qlRateHelperQuoteName(A25)</f>
        <v>EURAB6E50Y_LCHQuote</v>
      </c>
      <c r="D25" s="70">
        <f>_xll.qlRateHelperQuoteValue($A25,Trigger)</f>
        <v>1.6251000000000002E-2</v>
      </c>
      <c r="E25" s="70">
        <f>_xll.qlSwapRateHelperSpread($A25,Trigger)</f>
        <v>0</v>
      </c>
      <c r="F25" s="46" t="b">
        <v>1</v>
      </c>
      <c r="G25" s="46">
        <v>50</v>
      </c>
      <c r="H25" s="46">
        <v>1</v>
      </c>
      <c r="I25" s="71">
        <f>_xll.qlRateHelperEarliestDate($A25,Trigger)</f>
        <v>42250</v>
      </c>
      <c r="J25" s="72">
        <f>_xll.qlRateHelperMaturityDate(A25)</f>
        <v>60513</v>
      </c>
      <c r="K25" s="189"/>
      <c r="L25" s="194"/>
    </row>
    <row r="26" spans="1:12" x14ac:dyDescent="0.2">
      <c r="A26" s="188" t="str">
        <f>Swaps!M20</f>
        <v>obj_0063b#0001</v>
      </c>
      <c r="B26" s="184" t="str">
        <f>Swaps!N20</f>
        <v>obj_00642#0001</v>
      </c>
      <c r="C26" s="69" t="str">
        <f>_xll.qlRateHelperQuoteName(A26)</f>
        <v>EURAB6E60Y_LCHQuote</v>
      </c>
      <c r="D26" s="70">
        <f>_xll.qlRateHelperQuoteValue($A26,Trigger)</f>
        <v>1.6047499999999999E-2</v>
      </c>
      <c r="E26" s="70">
        <f>_xll.qlSwapRateHelperSpread($A26,Trigger)</f>
        <v>0</v>
      </c>
      <c r="F26" s="46" t="b">
        <v>1</v>
      </c>
      <c r="G26" s="46">
        <v>50</v>
      </c>
      <c r="H26" s="46">
        <v>1</v>
      </c>
      <c r="I26" s="71">
        <f>_xll.qlRateHelperEarliestDate($A26,Trigger)</f>
        <v>42250</v>
      </c>
      <c r="J26" s="72">
        <f>_xll.qlRateHelperMaturityDate(A26)</f>
        <v>64165</v>
      </c>
      <c r="K26" s="189"/>
      <c r="L26" s="194"/>
    </row>
    <row r="27" spans="1:12" ht="12" thickBot="1" x14ac:dyDescent="0.25">
      <c r="A27" s="191"/>
      <c r="B27" s="192"/>
      <c r="C27" s="192"/>
      <c r="D27" s="192"/>
      <c r="E27" s="192"/>
      <c r="F27" s="192"/>
      <c r="G27" s="192"/>
      <c r="H27" s="192"/>
      <c r="I27" s="192"/>
      <c r="J27" s="192"/>
      <c r="K27" s="193"/>
      <c r="L27" s="194"/>
    </row>
    <row r="28" spans="1:12" x14ac:dyDescent="0.2">
      <c r="L28" s="194"/>
    </row>
    <row r="29" spans="1:12" x14ac:dyDescent="0.2">
      <c r="L29" s="194"/>
    </row>
    <row r="30" spans="1:12" x14ac:dyDescent="0.2">
      <c r="L30" s="194"/>
    </row>
    <row r="31" spans="1:12" x14ac:dyDescent="0.2">
      <c r="L31" s="194"/>
    </row>
    <row r="32" spans="1:12" x14ac:dyDescent="0.2">
      <c r="L32" s="194"/>
    </row>
    <row r="33" spans="12:12" x14ac:dyDescent="0.2">
      <c r="L33" s="194"/>
    </row>
    <row r="34" spans="12:12" x14ac:dyDescent="0.2">
      <c r="L34" s="194"/>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26"/>
  <sheetViews>
    <sheetView workbookViewId="0">
      <selection activeCell="I1" sqref="I1"/>
    </sheetView>
  </sheetViews>
  <sheetFormatPr defaultRowHeight="11.25" outlineLevelCol="1" x14ac:dyDescent="0.2"/>
  <cols>
    <col min="1" max="1" width="24.42578125" style="1" bestFit="1" customWidth="1"/>
    <col min="2" max="2" width="9" style="1" bestFit="1" customWidth="1"/>
    <col min="3" max="3" width="2.7109375" style="1" customWidth="1"/>
    <col min="4" max="5" width="22.42578125" style="2" hidden="1" customWidth="1" outlineLevel="1"/>
    <col min="6" max="6" width="22.42578125" style="2" customWidth="1" collapsed="1"/>
    <col min="7" max="7" width="22.42578125" style="2" hidden="1" customWidth="1"/>
    <col min="8" max="8" width="8" style="2" customWidth="1"/>
    <col min="9" max="9" width="8" style="2" bestFit="1" customWidth="1"/>
    <col min="10" max="10" width="17.28515625" style="2" bestFit="1" customWidth="1"/>
    <col min="11" max="11" width="17.28515625" style="2" customWidth="1"/>
    <col min="12" max="12" width="17.28515625" style="2" bestFit="1" customWidth="1"/>
    <col min="13" max="13" width="12" style="1" bestFit="1" customWidth="1"/>
    <col min="14" max="14" width="9.140625" style="1"/>
    <col min="15" max="15" width="19.28515625" style="1" bestFit="1" customWidth="1"/>
    <col min="16" max="18" width="17.28515625" style="1" bestFit="1" customWidth="1"/>
    <col min="19" max="16384" width="9.140625" style="1"/>
  </cols>
  <sheetData>
    <row r="1" spans="1:16" ht="23.25" thickBot="1" x14ac:dyDescent="0.25">
      <c r="A1" s="243" t="s">
        <v>30</v>
      </c>
      <c r="B1" s="244"/>
      <c r="D1" s="202" t="s">
        <v>93</v>
      </c>
      <c r="E1" s="202" t="s">
        <v>94</v>
      </c>
      <c r="F1" s="203" t="s">
        <v>75</v>
      </c>
      <c r="G1" s="204"/>
      <c r="H1" s="205" t="s">
        <v>29</v>
      </c>
      <c r="I1" s="205"/>
      <c r="J1" s="205" t="s">
        <v>17</v>
      </c>
      <c r="K1" s="225" t="s">
        <v>77</v>
      </c>
      <c r="L1" s="206" t="s">
        <v>106</v>
      </c>
      <c r="M1" s="78">
        <f t="array" ref="M1:M126">_xll.qlPiecewiseYieldCurveData(YieldCurve1)</f>
        <v>3.9537769042910552E-4</v>
      </c>
      <c r="N1" s="1">
        <f t="array" ref="N1:N126">_xll.qlPiecewiseYieldCurveData(YieldCurve2)</f>
        <v>1</v>
      </c>
    </row>
    <row r="2" spans="1:16" x14ac:dyDescent="0.2">
      <c r="A2" s="15" t="s">
        <v>28</v>
      </c>
      <c r="B2" s="14">
        <v>8</v>
      </c>
      <c r="D2" s="10" t="str">
        <f t="array" ref="D2:D126">_xll.qlRateHelperSelection(_xll.ohFilter(RateHelpers1,RateHelpersIncluded),_xll.ohFilter(RateHelpersPriority,RateHelpersIncluded),nIMMFutures,nSerialFutures,FrontFuturesRollingDays,DepoInclusionCriteria,_xll.ohFilter(MinDistance,RateHelpersIncluded),Trigger)</f>
        <v>obj_00645</v>
      </c>
      <c r="E2" s="10" t="str">
        <f t="array" ref="E2:E126">_xll.qlRateHelperSelection(_xll.ohFilter(RateHelpers2,RateHelpersIncluded),_xll.ohFilter(RateHelpersPriority,RateHelpersIncluded),nIMMFutures,nSerialFutures,FrontFuturesRollingDays,DepoInclusionCriteria,_xll.ohFilter(MinDistance,RateHelpersIncluded),Trigger)</f>
        <v>obj_00645</v>
      </c>
      <c r="F2" s="196" t="str">
        <f>_xll.qlRateHelperQuoteName(D2)</f>
        <v>EUR6MD_LCHQuote</v>
      </c>
      <c r="G2" s="197">
        <f>_xll.qlRateHelperRate(E2)-H2</f>
        <v>0</v>
      </c>
      <c r="H2" s="198">
        <f>_xll.qlRateHelperRate($D2)</f>
        <v>3.8999999999999999E-4</v>
      </c>
      <c r="I2" s="198" t="str">
        <f>IF(ISERROR(_xll.qlSwapRateHelperSpread($D2)),IF(ISERROR(_xll.qlFuturesRateHelperConvexityAdjustment($D2)),"--",_xll.qlFuturesRateHelperConvexityAdjustment($D2)),_xll.qlSwapRateHelperSpread($D2))</f>
        <v>--</v>
      </c>
      <c r="J2" s="199">
        <f>_xll.qlRateHelperEarliestDate($D2)</f>
        <v>42250</v>
      </c>
      <c r="K2" s="199">
        <f>_xll.qlRateHelperMaturityDate(E2)</f>
        <v>42432</v>
      </c>
      <c r="L2" s="200">
        <f>_xll.qlRateHelperPillarDate(E2)</f>
        <v>42432</v>
      </c>
      <c r="M2" s="78">
        <v>3.9537769042910552E-4</v>
      </c>
      <c r="N2" s="1">
        <v>0.99980017597598425</v>
      </c>
      <c r="P2" s="38"/>
    </row>
    <row r="3" spans="1:16" x14ac:dyDescent="0.2">
      <c r="A3" s="11" t="s">
        <v>27</v>
      </c>
      <c r="B3" s="13">
        <v>0</v>
      </c>
      <c r="D3" s="10" t="str">
        <v>obj_0064b</v>
      </c>
      <c r="E3" s="10" t="str">
        <v>obj_0064b</v>
      </c>
      <c r="F3" s="10" t="str">
        <f>_xll.qlRateHelperQuoteName(D3)</f>
        <v>EUR1x7F_LCHQuote</v>
      </c>
      <c r="G3" s="195">
        <f>_xll.qlRateHelperRate(E3)-H3</f>
        <v>0</v>
      </c>
      <c r="H3" s="9">
        <f>_xll.qlRateHelperRate($D3)</f>
        <v>3.6499999999999998E-4</v>
      </c>
      <c r="I3" s="9" t="str">
        <f>IF(ISERROR(_xll.qlSwapRateHelperSpread($D3)),IF(ISERROR(_xll.qlFuturesRateHelperConvexityAdjustment($D3)),"--",_xll.qlFuturesRateHelperConvexityAdjustment($D3)),_xll.qlSwapRateHelperSpread($D3))</f>
        <v>--</v>
      </c>
      <c r="J3" s="8">
        <f>_xll.qlRateHelperEarliestDate($D3)</f>
        <v>42282</v>
      </c>
      <c r="K3" s="8">
        <f>_xll.qlRateHelperMaturityDate(E3)</f>
        <v>42464</v>
      </c>
      <c r="L3" s="7">
        <f>_xll.qlRateHelperPillarDate(E3)</f>
        <v>42464</v>
      </c>
      <c r="M3" s="78">
        <v>3.7243575496090256E-4</v>
      </c>
      <c r="N3" s="1">
        <v>0.99977077259863212</v>
      </c>
      <c r="P3" s="38"/>
    </row>
    <row r="4" spans="1:16" x14ac:dyDescent="0.2">
      <c r="A4" s="11" t="s">
        <v>26</v>
      </c>
      <c r="B4" s="13">
        <v>1</v>
      </c>
      <c r="D4" s="10" t="str">
        <v>obj_00647</v>
      </c>
      <c r="E4" s="10" t="str">
        <v>obj_00647</v>
      </c>
      <c r="F4" s="10" t="str">
        <f>_xll.qlRateHelperQuoteName(D4)</f>
        <v>EUR2x8F_LCHQuote</v>
      </c>
      <c r="G4" s="195">
        <f>_xll.qlRateHelperRate(E4)-H4</f>
        <v>0</v>
      </c>
      <c r="H4" s="9">
        <f>_xll.qlRateHelperRate($D4)</f>
        <v>4.2000000000000002E-4</v>
      </c>
      <c r="I4" s="9" t="str">
        <f>IF(ISERROR(_xll.qlSwapRateHelperSpread($D4)),IF(ISERROR(_xll.qlFuturesRateHelperConvexityAdjustment($D4)),"--",_xll.qlFuturesRateHelperConvexityAdjustment($D4)),_xll.qlSwapRateHelperSpread($D4))</f>
        <v>--</v>
      </c>
      <c r="J4" s="8">
        <f>_xll.qlRateHelperEarliestDate($D4)</f>
        <v>42311</v>
      </c>
      <c r="K4" s="8">
        <f>_xll.qlRateHelperMaturityDate(E4)</f>
        <v>42493</v>
      </c>
      <c r="L4" s="7">
        <f>_xll.qlRateHelperPillarDate(E4)</f>
        <v>42493</v>
      </c>
      <c r="M4" s="78">
        <v>4.1796830299762065E-4</v>
      </c>
      <c r="N4" s="1">
        <v>0.99970472020223433</v>
      </c>
      <c r="P4" s="38"/>
    </row>
    <row r="5" spans="1:16" x14ac:dyDescent="0.2">
      <c r="A5" s="11" t="s">
        <v>25</v>
      </c>
      <c r="B5" s="12" t="s">
        <v>24</v>
      </c>
      <c r="D5" s="10" t="str">
        <v>obj_00649</v>
      </c>
      <c r="E5" s="10" t="str">
        <v>obj_00649</v>
      </c>
      <c r="F5" s="10" t="str">
        <f>_xll.qlRateHelperQuoteName(D5)</f>
        <v>EUR3x9F_LCHQuote</v>
      </c>
      <c r="G5" s="195">
        <f>_xll.qlRateHelperRate(E5)-H5</f>
        <v>0</v>
      </c>
      <c r="H5" s="9">
        <f>_xll.qlRateHelperRate($D5)</f>
        <v>4.3333329999999999E-4</v>
      </c>
      <c r="I5" s="9" t="str">
        <f>IF(ISERROR(_xll.qlSwapRateHelperSpread($D5)),IF(ISERROR(_xll.qlFuturesRateHelperConvexityAdjustment($D5)),"--",_xll.qlFuturesRateHelperConvexityAdjustment($D5)),_xll.qlSwapRateHelperSpread($D5))</f>
        <v>--</v>
      </c>
      <c r="J5" s="8">
        <f>_xll.qlRateHelperEarliestDate($D5)</f>
        <v>42341</v>
      </c>
      <c r="K5" s="8">
        <f>_xll.qlRateHelperMaturityDate(E5)</f>
        <v>42524</v>
      </c>
      <c r="L5" s="7">
        <f>_xll.qlRateHelperPillarDate(E5)</f>
        <v>42524</v>
      </c>
      <c r="M5" s="78">
        <v>4.2450236918843682E-4</v>
      </c>
      <c r="N5" s="1">
        <v>0.99966063372824332</v>
      </c>
      <c r="P5" s="38"/>
    </row>
    <row r="6" spans="1:16" x14ac:dyDescent="0.2">
      <c r="D6" s="10" t="str">
        <v>obj_0064c</v>
      </c>
      <c r="E6" s="10" t="str">
        <v>obj_0064c</v>
      </c>
      <c r="F6" s="10" t="str">
        <f>_xll.qlRateHelperQuoteName(D6)</f>
        <v>EUR4x10F_LCHQuote</v>
      </c>
      <c r="G6" s="195">
        <f>_xll.qlRateHelperRate(E6)-H6</f>
        <v>0</v>
      </c>
      <c r="H6" s="9">
        <f>_xll.qlRateHelperRate($D6)</f>
        <v>4.4000000000000002E-4</v>
      </c>
      <c r="I6" s="9" t="str">
        <f>IF(ISERROR(_xll.qlSwapRateHelperSpread($D6)),IF(ISERROR(_xll.qlFuturesRateHelperConvexityAdjustment($D6)),"--",_xll.qlFuturesRateHelperConvexityAdjustment($D6)),_xll.qlSwapRateHelperSpread($D6))</f>
        <v>--</v>
      </c>
      <c r="J6" s="8">
        <f>_xll.qlRateHelperEarliestDate($D6)</f>
        <v>42373</v>
      </c>
      <c r="K6" s="8">
        <f>_xll.qlRateHelperMaturityDate(E6)</f>
        <v>42555</v>
      </c>
      <c r="L6" s="7">
        <f>_xll.qlRateHelperPillarDate(E6)</f>
        <v>42555</v>
      </c>
      <c r="M6" s="78">
        <v>4.2542477031074606E-4</v>
      </c>
      <c r="N6" s="1">
        <v>0.99962423157381686</v>
      </c>
      <c r="P6" s="38"/>
    </row>
    <row r="7" spans="1:16" x14ac:dyDescent="0.2">
      <c r="D7" s="10" t="str">
        <v>obj_0064a</v>
      </c>
      <c r="E7" s="10" t="str">
        <v>obj_0064a</v>
      </c>
      <c r="F7" s="10" t="str">
        <f>_xll.qlRateHelperQuoteName(D7)</f>
        <v>EUR5x11F_LCHQuote</v>
      </c>
      <c r="G7" s="195">
        <f>_xll.qlRateHelperRate(E7)-H7</f>
        <v>0</v>
      </c>
      <c r="H7" s="9">
        <f>_xll.qlRateHelperRate($D7)</f>
        <v>4.6833330000000002E-4</v>
      </c>
      <c r="I7" s="9" t="str">
        <f>IF(ISERROR(_xll.qlSwapRateHelperSpread($D7)),IF(ISERROR(_xll.qlFuturesRateHelperConvexityAdjustment($D7)),"--",_xll.qlFuturesRateHelperConvexityAdjustment($D7)),_xll.qlSwapRateHelperSpread($D7))</f>
        <v>--</v>
      </c>
      <c r="J7" s="8">
        <f>_xll.qlRateHelperEarliestDate($D7)</f>
        <v>42403</v>
      </c>
      <c r="K7" s="8">
        <f>_xll.qlRateHelperMaturityDate(E7)</f>
        <v>42585</v>
      </c>
      <c r="L7" s="7">
        <f>_xll.qlRateHelperPillarDate(E7)</f>
        <v>42585</v>
      </c>
      <c r="M7" s="78">
        <v>4.3826058134392498E-4</v>
      </c>
      <c r="N7" s="1">
        <v>0.99958319377635196</v>
      </c>
      <c r="P7" s="38"/>
    </row>
    <row r="8" spans="1:16" x14ac:dyDescent="0.2">
      <c r="D8" s="10" t="str">
        <v>obj_00646</v>
      </c>
      <c r="E8" s="10" t="str">
        <v>obj_00646</v>
      </c>
      <c r="F8" s="10" t="str">
        <f>_xll.qlRateHelperQuoteName(D8)</f>
        <v>EUR6x12F_LCHQuote</v>
      </c>
      <c r="G8" s="195">
        <f>_xll.qlRateHelperRate(E8)-H8</f>
        <v>0</v>
      </c>
      <c r="H8" s="9">
        <f>_xll.qlRateHelperRate($D8)</f>
        <v>5.0250000000000002E-4</v>
      </c>
      <c r="I8" s="9" t="str">
        <f>IF(ISERROR(_xll.qlSwapRateHelperSpread($D8)),IF(ISERROR(_xll.qlFuturesRateHelperConvexityAdjustment($D8)),"--",_xll.qlFuturesRateHelperConvexityAdjustment($D8)),_xll.qlSwapRateHelperSpread($D8))</f>
        <v>--</v>
      </c>
      <c r="J8" s="8">
        <f>_xll.qlRateHelperEarliestDate($D8)</f>
        <v>42432</v>
      </c>
      <c r="K8" s="8">
        <f>_xll.qlRateHelperMaturityDate(E8)</f>
        <v>42618</v>
      </c>
      <c r="L8" s="7">
        <f>_xll.qlRateHelperPillarDate(E8)</f>
        <v>42618</v>
      </c>
      <c r="M8" s="78">
        <v>4.5270356955126416E-4</v>
      </c>
      <c r="N8" s="1">
        <v>0.99954067022923931</v>
      </c>
      <c r="P8" s="38"/>
    </row>
    <row r="9" spans="1:16" x14ac:dyDescent="0.2">
      <c r="D9" s="10" t="str">
        <v>obj_00648</v>
      </c>
      <c r="E9" s="10" t="str">
        <v>obj_00648</v>
      </c>
      <c r="F9" s="10" t="str">
        <f>_xll.qlRateHelperQuoteName(D9)</f>
        <v>EUR12x18F_LCHQuote</v>
      </c>
      <c r="G9" s="195">
        <f>_xll.qlRateHelperRate(E9)-H9</f>
        <v>0</v>
      </c>
      <c r="H9" s="9">
        <f>_xll.qlRateHelperRate($D9)</f>
        <v>9.6500000000000004E-4</v>
      </c>
      <c r="I9" s="9" t="str">
        <f>IF(ISERROR(_xll.qlSwapRateHelperSpread($D9)),IF(ISERROR(_xll.qlFuturesRateHelperConvexityAdjustment($D9)),"--",_xll.qlFuturesRateHelperConvexityAdjustment($D9)),_xll.qlSwapRateHelperSpread($D9))</f>
        <v>--</v>
      </c>
      <c r="J9" s="8">
        <f>_xll.qlRateHelperEarliestDate($D9)</f>
        <v>42618</v>
      </c>
      <c r="K9" s="8">
        <f>_xll.qlRateHelperMaturityDate(E9)</f>
        <v>42797</v>
      </c>
      <c r="L9" s="7">
        <f>_xll.qlRateHelperPillarDate(E9)</f>
        <v>42797</v>
      </c>
      <c r="M9" s="78">
        <v>6.2087663299398679E-4</v>
      </c>
      <c r="N9" s="1">
        <v>0.99906486312511034</v>
      </c>
      <c r="P9" s="38"/>
    </row>
    <row r="10" spans="1:16" x14ac:dyDescent="0.2">
      <c r="D10" s="10" t="str">
        <v>obj_00628</v>
      </c>
      <c r="E10" s="10" t="str">
        <v>obj_00629</v>
      </c>
      <c r="F10" s="10" t="str">
        <f>_xll.qlRateHelperQuoteName(D10)</f>
        <v>EURAB6E2Y_LCHQuote</v>
      </c>
      <c r="G10" s="195">
        <f>_xll.qlRateHelperRate(E10)-H10</f>
        <v>0</v>
      </c>
      <c r="H10" s="9">
        <f>_xll.qlRateHelperRate($D10)</f>
        <v>9.3924999999999998E-4</v>
      </c>
      <c r="I10" s="9">
        <f>IF(ISERROR(_xll.qlSwapRateHelperSpread($D10)),IF(ISERROR(_xll.qlFuturesRateHelperConvexityAdjustment($D10)),"--",_xll.qlFuturesRateHelperConvexityAdjustment($D10)),_xll.qlSwapRateHelperSpread($D10))</f>
        <v>0</v>
      </c>
      <c r="J10" s="8">
        <f>_xll.qlRateHelperEarliestDate($D10)</f>
        <v>42250</v>
      </c>
      <c r="K10" s="8">
        <f>_xll.qlRateHelperMaturityDate(E10)</f>
        <v>42982</v>
      </c>
      <c r="L10" s="7">
        <f>_xll.qlRateHelperPillarDate(E10)</f>
        <v>42982</v>
      </c>
      <c r="M10" s="78">
        <v>9.3393581341205927E-4</v>
      </c>
      <c r="N10" s="1">
        <v>0.99812195074103283</v>
      </c>
      <c r="P10" s="38"/>
    </row>
    <row r="11" spans="1:16" x14ac:dyDescent="0.2">
      <c r="D11" s="10" t="str">
        <v>obj_0063e</v>
      </c>
      <c r="E11" s="10" t="str">
        <v>obj_0062f</v>
      </c>
      <c r="F11" s="10" t="str">
        <f>_xll.qlRateHelperQuoteName(D11)</f>
        <v>EURAB6E3Y_LCHQuote</v>
      </c>
      <c r="G11" s="195">
        <f>_xll.qlRateHelperRate(E11)-H11</f>
        <v>0</v>
      </c>
      <c r="H11" s="9">
        <f>_xll.qlRateHelperRate($D11)</f>
        <v>1.8450000000000001E-3</v>
      </c>
      <c r="I11" s="9">
        <f>IF(ISERROR(_xll.qlSwapRateHelperSpread($D11)),IF(ISERROR(_xll.qlFuturesRateHelperConvexityAdjustment($D11)),"--",_xll.qlFuturesRateHelperConvexityAdjustment($D11)),_xll.qlSwapRateHelperSpread($D11))</f>
        <v>0</v>
      </c>
      <c r="J11" s="8">
        <f>_xll.qlRateHelperEarliestDate($D11)</f>
        <v>42250</v>
      </c>
      <c r="K11" s="8">
        <f>_xll.qlRateHelperMaturityDate(E11)</f>
        <v>43346</v>
      </c>
      <c r="L11" s="7">
        <f>_xll.qlRateHelperPillarDate(E11)</f>
        <v>43346</v>
      </c>
      <c r="M11" s="78">
        <v>1.8365203642269237E-3</v>
      </c>
      <c r="N11" s="1">
        <v>0.99448493416693462</v>
      </c>
      <c r="P11" s="38"/>
    </row>
    <row r="12" spans="1:16" x14ac:dyDescent="0.2">
      <c r="D12" s="10" t="str">
        <v>obj_00643</v>
      </c>
      <c r="E12" s="10" t="str">
        <v>obj_00633</v>
      </c>
      <c r="F12" s="10" t="str">
        <f>_xll.qlRateHelperQuoteName(D12)</f>
        <v>EURAB6E4Y_LCHQuote</v>
      </c>
      <c r="G12" s="195">
        <f>_xll.qlRateHelperRate(E12)-H12</f>
        <v>0</v>
      </c>
      <c r="H12" s="9">
        <f>_xll.qlRateHelperRate($D12)</f>
        <v>3.1212499999999999E-3</v>
      </c>
      <c r="I12" s="9">
        <f>IF(ISERROR(_xll.qlSwapRateHelperSpread($D12)),IF(ISERROR(_xll.qlFuturesRateHelperConvexityAdjustment($D12)),"--",_xll.qlFuturesRateHelperConvexityAdjustment($D12)),_xll.qlSwapRateHelperSpread($D12))</f>
        <v>0</v>
      </c>
      <c r="J12" s="8">
        <f>_xll.qlRateHelperEarliestDate($D12)</f>
        <v>42250</v>
      </c>
      <c r="K12" s="8">
        <f>_xll.qlRateHelperMaturityDate(E12)</f>
        <v>43711</v>
      </c>
      <c r="L12" s="7">
        <f>_xll.qlRateHelperPillarDate(E12)</f>
        <v>43711</v>
      </c>
      <c r="M12" s="78">
        <v>3.1148239375709493E-3</v>
      </c>
      <c r="N12" s="1">
        <v>0.98758597816002958</v>
      </c>
      <c r="P12" s="38"/>
    </row>
    <row r="13" spans="1:16" x14ac:dyDescent="0.2">
      <c r="D13" s="10" t="str">
        <v>obj_00627</v>
      </c>
      <c r="E13" s="10" t="str">
        <v>obj_00623</v>
      </c>
      <c r="F13" s="10" t="str">
        <f>_xll.qlRateHelperQuoteName(D13)</f>
        <v>EURAB6E5Y_LCHQuote</v>
      </c>
      <c r="G13" s="195">
        <f>_xll.qlRateHelperRate(E13)-H13</f>
        <v>0</v>
      </c>
      <c r="H13" s="9">
        <f>_xll.qlRateHelperRate($D13)</f>
        <v>4.5490000000000001E-3</v>
      </c>
      <c r="I13" s="9">
        <f>IF(ISERROR(_xll.qlSwapRateHelperSpread($D13)),IF(ISERROR(_xll.qlFuturesRateHelperConvexityAdjustment($D13)),"--",_xll.qlFuturesRateHelperConvexityAdjustment($D13)),_xll.qlSwapRateHelperSpread($D13))</f>
        <v>0</v>
      </c>
      <c r="J13" s="8">
        <f>_xll.qlRateHelperEarliestDate($D13)</f>
        <v>42250</v>
      </c>
      <c r="K13" s="8">
        <f>_xll.qlRateHelperMaturityDate(E13)</f>
        <v>44077</v>
      </c>
      <c r="L13" s="7">
        <f>_xll.qlRateHelperPillarDate(E13)</f>
        <v>44077</v>
      </c>
      <c r="M13" s="78">
        <v>4.5487687101818611E-3</v>
      </c>
      <c r="N13" s="1">
        <v>0.97745743406296515</v>
      </c>
      <c r="P13" s="38"/>
    </row>
    <row r="14" spans="1:16" x14ac:dyDescent="0.2">
      <c r="D14" s="10" t="str">
        <v>obj_00624</v>
      </c>
      <c r="E14" s="10" t="str">
        <v>obj_00638</v>
      </c>
      <c r="F14" s="10" t="str">
        <f>_xll.qlRateHelperQuoteName(D14)</f>
        <v>EURAB6E6Y_LCHQuote</v>
      </c>
      <c r="G14" s="195">
        <f>_xll.qlRateHelperRate(E14)-H14</f>
        <v>0</v>
      </c>
      <c r="H14" s="9">
        <f>_xll.qlRateHelperRate($D14)</f>
        <v>6.0192500000000003E-3</v>
      </c>
      <c r="I14" s="9">
        <f>IF(ISERROR(_xll.qlSwapRateHelperSpread($D14)),IF(ISERROR(_xll.qlFuturesRateHelperConvexityAdjustment($D14)),"--",_xll.qlFuturesRateHelperConvexityAdjustment($D14)),_xll.qlSwapRateHelperSpread($D14))</f>
        <v>0</v>
      </c>
      <c r="J14" s="8">
        <f>_xll.qlRateHelperEarliestDate($D14)</f>
        <v>42250</v>
      </c>
      <c r="K14" s="8">
        <f>_xll.qlRateHelperMaturityDate(E14)</f>
        <v>44442</v>
      </c>
      <c r="L14" s="7">
        <f>_xll.qlRateHelperPillarDate(E14)</f>
        <v>44442</v>
      </c>
      <c r="M14" s="78">
        <v>6.0355165734172914E-3</v>
      </c>
      <c r="N14" s="1">
        <v>0.96436434750275479</v>
      </c>
      <c r="P14" s="38"/>
    </row>
    <row r="15" spans="1:16" x14ac:dyDescent="0.2">
      <c r="D15" s="10" t="str">
        <v>obj_00630</v>
      </c>
      <c r="E15" s="10" t="str">
        <v>obj_0062c</v>
      </c>
      <c r="F15" s="10" t="str">
        <f>_xll.qlRateHelperQuoteName(D15)</f>
        <v>EURAB6E7Y_LCHQuote</v>
      </c>
      <c r="G15" s="195">
        <f>_xll.qlRateHelperRate(E15)-H15</f>
        <v>0</v>
      </c>
      <c r="H15" s="9">
        <f>_xll.qlRateHelperRate($D15)</f>
        <v>7.4780000000000003E-3</v>
      </c>
      <c r="I15" s="9">
        <f>IF(ISERROR(_xll.qlSwapRateHelperSpread($D15)),IF(ISERROR(_xll.qlFuturesRateHelperConvexityAdjustment($D15)),"--",_xll.qlFuturesRateHelperConvexityAdjustment($D15)),_xll.qlSwapRateHelperSpread($D15))</f>
        <v>0</v>
      </c>
      <c r="J15" s="8">
        <f>_xll.qlRateHelperEarliestDate($D15)</f>
        <v>42250</v>
      </c>
      <c r="K15" s="8">
        <f>_xll.qlRateHelperMaturityDate(E15)</f>
        <v>44809</v>
      </c>
      <c r="L15" s="7">
        <f>_xll.qlRateHelperPillarDate(E15)</f>
        <v>44809</v>
      </c>
      <c r="M15" s="78">
        <v>7.5206658139493716E-3</v>
      </c>
      <c r="N15" s="1">
        <v>0.94859326324953996</v>
      </c>
      <c r="P15" s="38"/>
    </row>
    <row r="16" spans="1:16" x14ac:dyDescent="0.2">
      <c r="D16" s="10" t="str">
        <v>obj_0063a</v>
      </c>
      <c r="E16" s="10" t="str">
        <v>obj_00625</v>
      </c>
      <c r="F16" s="10" t="str">
        <f>_xll.qlRateHelperQuoteName(D16)</f>
        <v>EURAB6E8Y_LCHQuote</v>
      </c>
      <c r="G16" s="195">
        <f>_xll.qlRateHelperRate(E16)-H16</f>
        <v>0</v>
      </c>
      <c r="H16" s="9">
        <f>_xll.qlRateHelperRate($D16)</f>
        <v>8.8542499999999993E-3</v>
      </c>
      <c r="I16" s="9">
        <f>IF(ISERROR(_xll.qlSwapRateHelperSpread($D16)),IF(ISERROR(_xll.qlFuturesRateHelperConvexityAdjustment($D16)),"--",_xll.qlFuturesRateHelperConvexityAdjustment($D16)),_xll.qlSwapRateHelperSpread($D16))</f>
        <v>0</v>
      </c>
      <c r="J16" s="8">
        <f>_xll.qlRateHelperEarliestDate($D16)</f>
        <v>42250</v>
      </c>
      <c r="K16" s="8">
        <f>_xll.qlRateHelperMaturityDate(E16)</f>
        <v>45173</v>
      </c>
      <c r="L16" s="7">
        <f>_xll.qlRateHelperPillarDate(E16)</f>
        <v>45173</v>
      </c>
      <c r="M16" s="78">
        <v>8.931947059136405E-3</v>
      </c>
      <c r="N16" s="1">
        <v>0.93091624758259062</v>
      </c>
      <c r="P16" s="38"/>
    </row>
    <row r="17" spans="4:16" x14ac:dyDescent="0.2">
      <c r="D17" s="10" t="str">
        <v>obj_00636</v>
      </c>
      <c r="E17" s="10" t="str">
        <v>obj_0062a</v>
      </c>
      <c r="F17" s="10" t="str">
        <f>_xll.qlRateHelperQuoteName(D17)</f>
        <v>EURAB6E9Y_LCHQuote</v>
      </c>
      <c r="G17" s="195">
        <f>_xll.qlRateHelperRate(E17)-H17</f>
        <v>0</v>
      </c>
      <c r="H17" s="9">
        <f>_xll.qlRateHelperRate($D17)</f>
        <v>1.0107E-2</v>
      </c>
      <c r="I17" s="9">
        <f>IF(ISERROR(_xll.qlSwapRateHelperSpread($D17)),IF(ISERROR(_xll.qlFuturesRateHelperConvexityAdjustment($D17)),"--",_xll.qlFuturesRateHelperConvexityAdjustment($D17)),_xll.qlSwapRateHelperSpread($D17))</f>
        <v>0</v>
      </c>
      <c r="J17" s="8">
        <f>_xll.qlRateHelperEarliestDate($D17)</f>
        <v>42250</v>
      </c>
      <c r="K17" s="8">
        <f>_xll.qlRateHelperMaturityDate(E17)</f>
        <v>45538</v>
      </c>
      <c r="L17" s="7">
        <f>_xll.qlRateHelperPillarDate(E17)</f>
        <v>45538</v>
      </c>
      <c r="M17" s="78">
        <v>1.0225041517280594E-2</v>
      </c>
      <c r="N17" s="1">
        <v>0.91194951730771912</v>
      </c>
      <c r="P17" s="38"/>
    </row>
    <row r="18" spans="4:16" x14ac:dyDescent="0.2">
      <c r="D18" s="10" t="str">
        <v>obj_00632</v>
      </c>
      <c r="E18" s="10" t="str">
        <v>obj_00640</v>
      </c>
      <c r="F18" s="10" t="str">
        <f>_xll.qlRateHelperQuoteName(D18)</f>
        <v>EURAB6E10Y_LCHQuote</v>
      </c>
      <c r="G18" s="195">
        <f>_xll.qlRateHelperRate(E18)-H18</f>
        <v>0</v>
      </c>
      <c r="H18" s="9">
        <f>_xll.qlRateHelperRate($D18)</f>
        <v>1.1193E-2</v>
      </c>
      <c r="I18" s="9">
        <f>IF(ISERROR(_xll.qlSwapRateHelperSpread($D18)),IF(ISERROR(_xll.qlFuturesRateHelperConvexityAdjustment($D18)),"--",_xll.qlFuturesRateHelperConvexityAdjustment($D18)),_xll.qlSwapRateHelperSpread($D18))</f>
        <v>0</v>
      </c>
      <c r="J18" s="8">
        <f>_xll.qlRateHelperEarliestDate($D18)</f>
        <v>42250</v>
      </c>
      <c r="K18" s="8">
        <f>_xll.qlRateHelperMaturityDate(E18)</f>
        <v>45903</v>
      </c>
      <c r="L18" s="7">
        <f>_xll.qlRateHelperPillarDate(E18)</f>
        <v>45903</v>
      </c>
      <c r="M18" s="78">
        <v>1.135710381574557E-2</v>
      </c>
      <c r="N18" s="1">
        <v>0.89249727829638648</v>
      </c>
      <c r="P18" s="38"/>
    </row>
    <row r="19" spans="4:16" x14ac:dyDescent="0.2">
      <c r="D19" s="10" t="str">
        <v>obj_0063c</v>
      </c>
      <c r="E19" s="10" t="str">
        <v>obj_0063f</v>
      </c>
      <c r="F19" s="10" t="str">
        <f>_xll.qlRateHelperQuoteName(D19)</f>
        <v>EURAB6E12Y_LCHQuote</v>
      </c>
      <c r="G19" s="195">
        <f>_xll.qlRateHelperRate(E19)-H19</f>
        <v>0</v>
      </c>
      <c r="H19" s="9">
        <f>_xll.qlRateHelperRate($D19)</f>
        <v>1.29455E-2</v>
      </c>
      <c r="I19" s="9">
        <f>IF(ISERROR(_xll.qlSwapRateHelperSpread($D19)),IF(ISERROR(_xll.qlFuturesRateHelperConvexityAdjustment($D19)),"--",_xll.qlFuturesRateHelperConvexityAdjustment($D19)),_xll.qlSwapRateHelperSpread($D19))</f>
        <v>0</v>
      </c>
      <c r="J19" s="8">
        <f>_xll.qlRateHelperEarliestDate($D19)</f>
        <v>42250</v>
      </c>
      <c r="K19" s="8">
        <f>_xll.qlRateHelperMaturityDate(E19)</f>
        <v>46633</v>
      </c>
      <c r="L19" s="7">
        <f>_xll.qlRateHelperPillarDate(E19)</f>
        <v>46633</v>
      </c>
      <c r="M19" s="78">
        <v>1.3203950883147946E-2</v>
      </c>
      <c r="N19" s="1">
        <v>0.85331700896578555</v>
      </c>
      <c r="P19" s="38"/>
    </row>
    <row r="20" spans="4:16" x14ac:dyDescent="0.2">
      <c r="D20" s="10" t="str">
        <v>obj_0062d</v>
      </c>
      <c r="E20" s="10" t="str">
        <v>obj_00622</v>
      </c>
      <c r="F20" s="10" t="str">
        <f>_xll.qlRateHelperQuoteName(D20)</f>
        <v>EURAB6E15Y_LCHQuote</v>
      </c>
      <c r="G20" s="195">
        <f>_xll.qlRateHelperRate(E20)-H20</f>
        <v>0</v>
      </c>
      <c r="H20" s="9">
        <f>_xll.qlRateHelperRate($D20)</f>
        <v>1.4725500000000001E-2</v>
      </c>
      <c r="I20" s="9">
        <f>IF(ISERROR(_xll.qlSwapRateHelperSpread($D20)),IF(ISERROR(_xll.qlFuturesRateHelperConvexityAdjustment($D20)),"--",_xll.qlFuturesRateHelperConvexityAdjustment($D20)),_xll.qlSwapRateHelperSpread($D20))</f>
        <v>0</v>
      </c>
      <c r="J20" s="8">
        <f>_xll.qlRateHelperEarliestDate($D20)</f>
        <v>42250</v>
      </c>
      <c r="K20" s="8">
        <f>_xll.qlRateHelperMaturityDate(E20)</f>
        <v>47729</v>
      </c>
      <c r="L20" s="7">
        <f>_xll.qlRateHelperPillarDate(E20)</f>
        <v>47729</v>
      </c>
      <c r="M20" s="78">
        <v>1.5103807832159371E-2</v>
      </c>
      <c r="N20" s="1">
        <v>0.79712172255093239</v>
      </c>
      <c r="P20" s="38"/>
    </row>
    <row r="21" spans="4:16" x14ac:dyDescent="0.2">
      <c r="D21" s="10" t="str">
        <v>obj_0062e</v>
      </c>
      <c r="E21" s="10" t="str">
        <v>obj_00631</v>
      </c>
      <c r="F21" s="10" t="str">
        <f>_xll.qlRateHelperQuoteName(D21)</f>
        <v>EURAB6E20Y_LCHQuote</v>
      </c>
      <c r="G21" s="195">
        <f>_xll.qlRateHelperRate(E21)-H21</f>
        <v>0</v>
      </c>
      <c r="H21" s="9">
        <f>_xll.qlRateHelperRate($D21)</f>
        <v>1.6125500000000001E-2</v>
      </c>
      <c r="I21" s="9">
        <f>IF(ISERROR(_xll.qlSwapRateHelperSpread($D21)),IF(ISERROR(_xll.qlFuturesRateHelperConvexityAdjustment($D21)),"--",_xll.qlFuturesRateHelperConvexityAdjustment($D21)),_xll.qlSwapRateHelperSpread($D21))</f>
        <v>0</v>
      </c>
      <c r="J21" s="8">
        <f>_xll.qlRateHelperEarliestDate($D21)</f>
        <v>42250</v>
      </c>
      <c r="K21" s="8">
        <f>_xll.qlRateHelperMaturityDate(E21)</f>
        <v>49555</v>
      </c>
      <c r="L21" s="7">
        <f>_xll.qlRateHelperPillarDate(E21)</f>
        <v>49555</v>
      </c>
      <c r="M21" s="78">
        <v>1.6594453378654409E-2</v>
      </c>
      <c r="N21" s="1">
        <v>0.71753977051492313</v>
      </c>
      <c r="P21" s="38"/>
    </row>
    <row r="22" spans="4:16" x14ac:dyDescent="0.2">
      <c r="D22" s="10" t="str">
        <v>obj_0062b</v>
      </c>
      <c r="E22" s="10" t="str">
        <v>obj_00634</v>
      </c>
      <c r="F22" s="10" t="str">
        <f>_xll.qlRateHelperQuoteName(D22)</f>
        <v>EURAB6E25Y_LCHQuote</v>
      </c>
      <c r="G22" s="195">
        <f>_xll.qlRateHelperRate(E22)-H22</f>
        <v>0</v>
      </c>
      <c r="H22" s="9">
        <f>_xll.qlRateHelperRate($D22)</f>
        <v>1.6433E-2</v>
      </c>
      <c r="I22" s="9">
        <f>IF(ISERROR(_xll.qlSwapRateHelperSpread($D22)),IF(ISERROR(_xll.qlFuturesRateHelperConvexityAdjustment($D22)),"--",_xll.qlFuturesRateHelperConvexityAdjustment($D22)),_xll.qlSwapRateHelperSpread($D22))</f>
        <v>0</v>
      </c>
      <c r="J22" s="8">
        <f>_xll.qlRateHelperEarliestDate($D22)</f>
        <v>42250</v>
      </c>
      <c r="K22" s="8">
        <f>_xll.qlRateHelperMaturityDate(E22)</f>
        <v>51382</v>
      </c>
      <c r="L22" s="7">
        <f>_xll.qlRateHelperPillarDate(E22)</f>
        <v>51382</v>
      </c>
      <c r="M22" s="78">
        <v>1.6844093516502619E-2</v>
      </c>
      <c r="N22" s="1">
        <v>0.65630712166821725</v>
      </c>
      <c r="P22" s="38"/>
    </row>
    <row r="23" spans="4:16" x14ac:dyDescent="0.2">
      <c r="D23" s="10" t="str">
        <v>obj_00626</v>
      </c>
      <c r="E23" s="10" t="str">
        <v>obj_00635</v>
      </c>
      <c r="F23" s="10" t="str">
        <f>_xll.qlRateHelperQuoteName(D23)</f>
        <v>EURAB6E30Y_LCHQuote</v>
      </c>
      <c r="G23" s="195">
        <f>_xll.qlRateHelperRate(E23)-H23</f>
        <v>0</v>
      </c>
      <c r="H23" s="9">
        <f>_xll.qlRateHelperRate($D23)</f>
        <v>1.6500500000000001E-2</v>
      </c>
      <c r="I23" s="9">
        <f>IF(ISERROR(_xll.qlSwapRateHelperSpread($D23)),IF(ISERROR(_xll.qlFuturesRateHelperConvexityAdjustment($D23)),"--",_xll.qlFuturesRateHelperConvexityAdjustment($D23)),_xll.qlSwapRateHelperSpread($D23))</f>
        <v>0</v>
      </c>
      <c r="J23" s="8">
        <f>_xll.qlRateHelperEarliestDate($D23)</f>
        <v>42250</v>
      </c>
      <c r="K23" s="8">
        <f>_xll.qlRateHelperMaturityDate(E23)</f>
        <v>53209</v>
      </c>
      <c r="L23" s="7">
        <f>_xll.qlRateHelperPillarDate(E23)</f>
        <v>53209</v>
      </c>
      <c r="M23" s="78">
        <v>1.6837036708127223E-2</v>
      </c>
      <c r="N23" s="1">
        <v>0.60336516305600485</v>
      </c>
      <c r="P23" s="38"/>
    </row>
    <row r="24" spans="4:16" x14ac:dyDescent="0.2">
      <c r="D24" s="10" t="str">
        <v>obj_00637</v>
      </c>
      <c r="E24" s="10" t="str">
        <v>obj_00639</v>
      </c>
      <c r="F24" s="10" t="str">
        <f>_xll.qlRateHelperQuoteName(D24)</f>
        <v>EURAB6E40Y_LCHQuote</v>
      </c>
      <c r="G24" s="195">
        <f>_xll.qlRateHelperRate(E24)-H24</f>
        <v>0</v>
      </c>
      <c r="H24" s="9">
        <f>_xll.qlRateHelperRate($D24)</f>
        <v>1.6621E-2</v>
      </c>
      <c r="I24" s="9">
        <f>IF(ISERROR(_xll.qlSwapRateHelperSpread($D24)),IF(ISERROR(_xll.qlFuturesRateHelperConvexityAdjustment($D24)),"--",_xll.qlFuturesRateHelperConvexityAdjustment($D24)),_xll.qlSwapRateHelperSpread($D24))</f>
        <v>0</v>
      </c>
      <c r="J24" s="8">
        <f>_xll.qlRateHelperEarliestDate($D24)</f>
        <v>42250</v>
      </c>
      <c r="K24" s="8">
        <f>_xll.qlRateHelperMaturityDate(E24)</f>
        <v>56860</v>
      </c>
      <c r="L24" s="7">
        <f>_xll.qlRateHelperPillarDate(E24)</f>
        <v>56860</v>
      </c>
      <c r="M24" s="78">
        <v>1.6876324745075295E-2</v>
      </c>
      <c r="N24" s="1">
        <v>0.50916554124097779</v>
      </c>
      <c r="P24" s="38"/>
    </row>
    <row r="25" spans="4:16" x14ac:dyDescent="0.2">
      <c r="D25" s="10" t="str">
        <v>obj_00641</v>
      </c>
      <c r="E25" s="10" t="str">
        <v>obj_0063d</v>
      </c>
      <c r="F25" s="10" t="str">
        <f>_xll.qlRateHelperQuoteName(D25)</f>
        <v>EURAB6E50Y_LCHQuote</v>
      </c>
      <c r="G25" s="195">
        <f>_xll.qlRateHelperRate(E25)-H25</f>
        <v>0</v>
      </c>
      <c r="H25" s="9">
        <f>_xll.qlRateHelperRate($D25)</f>
        <v>1.6251000000000002E-2</v>
      </c>
      <c r="I25" s="9">
        <f>IF(ISERROR(_xll.qlSwapRateHelperSpread($D25)),IF(ISERROR(_xll.qlFuturesRateHelperConvexityAdjustment($D25)),"--",_xll.qlFuturesRateHelperConvexityAdjustment($D25)),_xll.qlSwapRateHelperSpread($D25))</f>
        <v>0</v>
      </c>
      <c r="J25" s="8">
        <f>_xll.qlRateHelperEarliestDate($D25)</f>
        <v>42250</v>
      </c>
      <c r="K25" s="8">
        <f>_xll.qlRateHelperMaturityDate(E25)</f>
        <v>60513</v>
      </c>
      <c r="L25" s="7">
        <f>_xll.qlRateHelperPillarDate(E25)</f>
        <v>60513</v>
      </c>
      <c r="M25" s="78">
        <v>1.6263151915113426E-2</v>
      </c>
      <c r="N25" s="1">
        <v>0.4434639552263559</v>
      </c>
      <c r="P25" s="38"/>
    </row>
    <row r="26" spans="4:16" x14ac:dyDescent="0.2">
      <c r="D26" s="10" t="str">
        <v>obj_0063b</v>
      </c>
      <c r="E26" s="10" t="str">
        <v>obj_00642</v>
      </c>
      <c r="F26" s="10" t="str">
        <f>_xll.qlRateHelperQuoteName(D26)</f>
        <v>EURAB6E60Y_LCHQuote</v>
      </c>
      <c r="G26" s="195">
        <f>_xll.qlRateHelperRate(E26)-H26</f>
        <v>0</v>
      </c>
      <c r="H26" s="9">
        <f>_xll.qlRateHelperRate($D26)</f>
        <v>1.6047499999999999E-2</v>
      </c>
      <c r="I26" s="9">
        <f>IF(ISERROR(_xll.qlSwapRateHelperSpread($D26)),IF(ISERROR(_xll.qlFuturesRateHelperConvexityAdjustment($D26)),"--",_xll.qlFuturesRateHelperConvexityAdjustment($D26)),_xll.qlSwapRateHelperSpread($D26))</f>
        <v>0</v>
      </c>
      <c r="J26" s="8">
        <f>_xll.qlRateHelperEarliestDate($D26)</f>
        <v>42250</v>
      </c>
      <c r="K26" s="8">
        <f>_xll.qlRateHelperMaturityDate(E26)</f>
        <v>64165</v>
      </c>
      <c r="L26" s="7">
        <f>_xll.qlRateHelperPillarDate(E26)</f>
        <v>64165</v>
      </c>
      <c r="M26" s="78">
        <v>1.5924127874123457E-2</v>
      </c>
      <c r="N26" s="1">
        <v>0.38452340062878265</v>
      </c>
      <c r="P26" s="38"/>
    </row>
    <row r="27" spans="4:16" x14ac:dyDescent="0.2">
      <c r="D27" s="10" t="e">
        <v>#N/A</v>
      </c>
      <c r="E27" s="10" t="e">
        <v>#N/A</v>
      </c>
      <c r="F27" s="10" t="e">
        <f>_xll.qlRateHelperQuoteName(D27)</f>
        <v>#VALUE!</v>
      </c>
      <c r="G27" s="195" t="e">
        <f>_xll.qlRateHelperRate(E27)-H27</f>
        <v>#VALUE!</v>
      </c>
      <c r="H27" s="9" t="e">
        <f>_xll.qlRateHelperRate($D27)</f>
        <v>#VALUE!</v>
      </c>
      <c r="I27" s="9" t="str">
        <f>IF(ISERROR(_xll.qlSwapRateHelperSpread($D27)),IF(ISERROR(_xll.qlFuturesRateHelperConvexityAdjustment($D27)),"--",_xll.qlFuturesRateHelperConvexityAdjustment($D27)),_xll.qlSwapRateHelperSpread($D27))</f>
        <v>--</v>
      </c>
      <c r="J27" s="8" t="e">
        <f>_xll.qlRateHelperEarliestDate($D27)</f>
        <v>#VALUE!</v>
      </c>
      <c r="K27" s="8" t="e">
        <f>_xll.qlRateHelperMaturityDate(E27)</f>
        <v>#VALUE!</v>
      </c>
      <c r="L27" s="7" t="e">
        <f>_xll.qlRateHelperPillarDate(E27)</f>
        <v>#VALUE!</v>
      </c>
      <c r="M27" s="78" t="e">
        <v>#N/A</v>
      </c>
      <c r="N27" s="1" t="e">
        <v>#N/A</v>
      </c>
      <c r="P27" s="38"/>
    </row>
    <row r="28" spans="4:16" x14ac:dyDescent="0.2">
      <c r="D28" s="10" t="e">
        <v>#N/A</v>
      </c>
      <c r="E28" s="10" t="e">
        <v>#N/A</v>
      </c>
      <c r="F28" s="10" t="e">
        <f>_xll.qlRateHelperQuoteName(D28)</f>
        <v>#VALUE!</v>
      </c>
      <c r="G28" s="195" t="e">
        <f>_xll.qlRateHelperRate(E28)-H28</f>
        <v>#VALUE!</v>
      </c>
      <c r="H28" s="9" t="e">
        <f>_xll.qlRateHelperRate($D28)</f>
        <v>#VALUE!</v>
      </c>
      <c r="I28" s="9" t="str">
        <f>IF(ISERROR(_xll.qlSwapRateHelperSpread($D28)),IF(ISERROR(_xll.qlFuturesRateHelperConvexityAdjustment($D28)),"--",_xll.qlFuturesRateHelperConvexityAdjustment($D28)),_xll.qlSwapRateHelperSpread($D28))</f>
        <v>--</v>
      </c>
      <c r="J28" s="8" t="e">
        <f>_xll.qlRateHelperEarliestDate($D28)</f>
        <v>#VALUE!</v>
      </c>
      <c r="K28" s="8" t="e">
        <f>_xll.qlRateHelperMaturityDate(E28)</f>
        <v>#VALUE!</v>
      </c>
      <c r="L28" s="7" t="e">
        <f>_xll.qlRateHelperPillarDate(E28)</f>
        <v>#VALUE!</v>
      </c>
      <c r="M28" s="78" t="e">
        <v>#N/A</v>
      </c>
      <c r="N28" s="1" t="e">
        <v>#N/A</v>
      </c>
      <c r="P28" s="38"/>
    </row>
    <row r="29" spans="4:16" x14ac:dyDescent="0.2">
      <c r="D29" s="10" t="e">
        <v>#N/A</v>
      </c>
      <c r="E29" s="10" t="e">
        <v>#N/A</v>
      </c>
      <c r="F29" s="10" t="e">
        <f>_xll.qlRateHelperQuoteName(D29)</f>
        <v>#VALUE!</v>
      </c>
      <c r="G29" s="195" t="e">
        <f>_xll.qlRateHelperRate(E29)-H29</f>
        <v>#VALUE!</v>
      </c>
      <c r="H29" s="9" t="e">
        <f>_xll.qlRateHelperRate($D29)</f>
        <v>#VALUE!</v>
      </c>
      <c r="I29" s="9" t="str">
        <f>IF(ISERROR(_xll.qlSwapRateHelperSpread($D29)),IF(ISERROR(_xll.qlFuturesRateHelperConvexityAdjustment($D29)),"--",_xll.qlFuturesRateHelperConvexityAdjustment($D29)),_xll.qlSwapRateHelperSpread($D29))</f>
        <v>--</v>
      </c>
      <c r="J29" s="8" t="e">
        <f>_xll.qlRateHelperEarliestDate($D29)</f>
        <v>#VALUE!</v>
      </c>
      <c r="K29" s="8" t="e">
        <f>_xll.qlRateHelperMaturityDate(E29)</f>
        <v>#VALUE!</v>
      </c>
      <c r="L29" s="7" t="e">
        <f>_xll.qlRateHelperPillarDate(E29)</f>
        <v>#VALUE!</v>
      </c>
      <c r="M29" s="78" t="e">
        <v>#N/A</v>
      </c>
      <c r="N29" s="1" t="e">
        <v>#N/A</v>
      </c>
      <c r="P29" s="38"/>
    </row>
    <row r="30" spans="4:16" x14ac:dyDescent="0.2">
      <c r="D30" s="10" t="e">
        <v>#N/A</v>
      </c>
      <c r="E30" s="10" t="e">
        <v>#N/A</v>
      </c>
      <c r="F30" s="10" t="e">
        <f>_xll.qlRateHelperQuoteName(D30)</f>
        <v>#VALUE!</v>
      </c>
      <c r="G30" s="195" t="e">
        <f>_xll.qlRateHelperRate(E30)-H30</f>
        <v>#VALUE!</v>
      </c>
      <c r="H30" s="9" t="e">
        <f>_xll.qlRateHelperRate($D30)</f>
        <v>#VALUE!</v>
      </c>
      <c r="I30" s="9" t="str">
        <f>IF(ISERROR(_xll.qlSwapRateHelperSpread($D30)),IF(ISERROR(_xll.qlFuturesRateHelperConvexityAdjustment($D30)),"--",_xll.qlFuturesRateHelperConvexityAdjustment($D30)),_xll.qlSwapRateHelperSpread($D30))</f>
        <v>--</v>
      </c>
      <c r="J30" s="8" t="e">
        <f>_xll.qlRateHelperEarliestDate($D30)</f>
        <v>#VALUE!</v>
      </c>
      <c r="K30" s="8" t="e">
        <f>_xll.qlRateHelperMaturityDate(E30)</f>
        <v>#VALUE!</v>
      </c>
      <c r="L30" s="7" t="e">
        <f>_xll.qlRateHelperPillarDate(E30)</f>
        <v>#VALUE!</v>
      </c>
      <c r="M30" s="78" t="e">
        <v>#N/A</v>
      </c>
      <c r="N30" s="1" t="e">
        <v>#N/A</v>
      </c>
      <c r="P30" s="38"/>
    </row>
    <row r="31" spans="4:16" x14ac:dyDescent="0.2">
      <c r="D31" s="10" t="e">
        <v>#N/A</v>
      </c>
      <c r="E31" s="10" t="e">
        <v>#N/A</v>
      </c>
      <c r="F31" s="10" t="e">
        <f>_xll.qlRateHelperQuoteName(D31)</f>
        <v>#VALUE!</v>
      </c>
      <c r="G31" s="195" t="e">
        <f>_xll.qlRateHelperRate(E31)-H31</f>
        <v>#VALUE!</v>
      </c>
      <c r="H31" s="9" t="e">
        <f>_xll.qlRateHelperRate($D31)</f>
        <v>#VALUE!</v>
      </c>
      <c r="I31" s="9" t="str">
        <f>IF(ISERROR(_xll.qlSwapRateHelperSpread($D31)),IF(ISERROR(_xll.qlFuturesRateHelperConvexityAdjustment($D31)),"--",_xll.qlFuturesRateHelperConvexityAdjustment($D31)),_xll.qlSwapRateHelperSpread($D31))</f>
        <v>--</v>
      </c>
      <c r="J31" s="8" t="e">
        <f>_xll.qlRateHelperEarliestDate($D31)</f>
        <v>#VALUE!</v>
      </c>
      <c r="K31" s="8" t="e">
        <f>_xll.qlRateHelperMaturityDate(E31)</f>
        <v>#VALUE!</v>
      </c>
      <c r="L31" s="7" t="e">
        <f>_xll.qlRateHelperPillarDate(E31)</f>
        <v>#VALUE!</v>
      </c>
      <c r="M31" s="78" t="e">
        <v>#N/A</v>
      </c>
      <c r="N31" s="1" t="e">
        <v>#N/A</v>
      </c>
      <c r="P31" s="38"/>
    </row>
    <row r="32" spans="4:16" x14ac:dyDescent="0.2">
      <c r="D32" s="10" t="e">
        <v>#N/A</v>
      </c>
      <c r="E32" s="10" t="e">
        <v>#N/A</v>
      </c>
      <c r="F32" s="10" t="e">
        <f>_xll.qlRateHelperQuoteName(D32)</f>
        <v>#VALUE!</v>
      </c>
      <c r="G32" s="195" t="e">
        <f>_xll.qlRateHelperRate(E32)-H32</f>
        <v>#VALUE!</v>
      </c>
      <c r="H32" s="9" t="e">
        <f>_xll.qlRateHelperRate($D32)</f>
        <v>#VALUE!</v>
      </c>
      <c r="I32" s="9" t="str">
        <f>IF(ISERROR(_xll.qlSwapRateHelperSpread($D32)),IF(ISERROR(_xll.qlFuturesRateHelperConvexityAdjustment($D32)),"--",_xll.qlFuturesRateHelperConvexityAdjustment($D32)),_xll.qlSwapRateHelperSpread($D32))</f>
        <v>--</v>
      </c>
      <c r="J32" s="8" t="e">
        <f>_xll.qlRateHelperEarliestDate($D32)</f>
        <v>#VALUE!</v>
      </c>
      <c r="K32" s="8" t="e">
        <f>_xll.qlRateHelperMaturityDate(E32)</f>
        <v>#VALUE!</v>
      </c>
      <c r="L32" s="7" t="e">
        <f>_xll.qlRateHelperPillarDate(E32)</f>
        <v>#VALUE!</v>
      </c>
      <c r="M32" s="78" t="e">
        <v>#N/A</v>
      </c>
      <c r="N32" s="1" t="e">
        <v>#N/A</v>
      </c>
      <c r="P32" s="38"/>
    </row>
    <row r="33" spans="4:14" x14ac:dyDescent="0.2">
      <c r="D33" s="10" t="e">
        <v>#N/A</v>
      </c>
      <c r="E33" s="10" t="e">
        <v>#N/A</v>
      </c>
      <c r="F33" s="10" t="e">
        <f>_xll.qlRateHelperQuoteName(D33)</f>
        <v>#VALUE!</v>
      </c>
      <c r="G33" s="195" t="e">
        <f>_xll.qlRateHelperRate(E33)-H33</f>
        <v>#VALUE!</v>
      </c>
      <c r="H33" s="9" t="e">
        <f>_xll.qlRateHelperRate($D33)</f>
        <v>#VALUE!</v>
      </c>
      <c r="I33" s="9" t="str">
        <f>IF(ISERROR(_xll.qlSwapRateHelperSpread($D33)),IF(ISERROR(_xll.qlFuturesRateHelperConvexityAdjustment($D33)),"--",_xll.qlFuturesRateHelperConvexityAdjustment($D33)),_xll.qlSwapRateHelperSpread($D33))</f>
        <v>--</v>
      </c>
      <c r="J33" s="8" t="e">
        <f>_xll.qlRateHelperEarliestDate($D33)</f>
        <v>#VALUE!</v>
      </c>
      <c r="K33" s="8" t="e">
        <f>_xll.qlRateHelperMaturityDate(E33)</f>
        <v>#VALUE!</v>
      </c>
      <c r="L33" s="7" t="e">
        <f>_xll.qlRateHelperPillarDate(E33)</f>
        <v>#VALUE!</v>
      </c>
      <c r="M33" s="78" t="e">
        <v>#N/A</v>
      </c>
      <c r="N33" s="1" t="e">
        <v>#N/A</v>
      </c>
    </row>
    <row r="34" spans="4:14" x14ac:dyDescent="0.2">
      <c r="D34" s="10" t="e">
        <v>#N/A</v>
      </c>
      <c r="E34" s="10" t="e">
        <v>#N/A</v>
      </c>
      <c r="F34" s="10" t="e">
        <f>_xll.qlRateHelperQuoteName(D34)</f>
        <v>#VALUE!</v>
      </c>
      <c r="G34" s="195" t="e">
        <f>_xll.qlRateHelperRate(E34)-H34</f>
        <v>#VALUE!</v>
      </c>
      <c r="H34" s="9" t="e">
        <f>_xll.qlRateHelperRate($D34)</f>
        <v>#VALUE!</v>
      </c>
      <c r="I34" s="9" t="str">
        <f>IF(ISERROR(_xll.qlSwapRateHelperSpread($D34)),IF(ISERROR(_xll.qlFuturesRateHelperConvexityAdjustment($D34)),"--",_xll.qlFuturesRateHelperConvexityAdjustment($D34)),_xll.qlSwapRateHelperSpread($D34))</f>
        <v>--</v>
      </c>
      <c r="J34" s="8" t="e">
        <f>_xll.qlRateHelperEarliestDate($D34)</f>
        <v>#VALUE!</v>
      </c>
      <c r="K34" s="8" t="e">
        <f>_xll.qlRateHelperMaturityDate(E34)</f>
        <v>#VALUE!</v>
      </c>
      <c r="L34" s="7" t="e">
        <f>_xll.qlRateHelperPillarDate(E34)</f>
        <v>#VALUE!</v>
      </c>
      <c r="M34" s="78" t="e">
        <v>#N/A</v>
      </c>
      <c r="N34" s="1" t="e">
        <v>#N/A</v>
      </c>
    </row>
    <row r="35" spans="4:14" x14ac:dyDescent="0.2">
      <c r="D35" s="10" t="e">
        <v>#N/A</v>
      </c>
      <c r="E35" s="10" t="e">
        <v>#N/A</v>
      </c>
      <c r="F35" s="10" t="e">
        <f>_xll.qlRateHelperQuoteName(D35)</f>
        <v>#VALUE!</v>
      </c>
      <c r="G35" s="195" t="e">
        <f>_xll.qlRateHelperRate(E35)-H35</f>
        <v>#VALUE!</v>
      </c>
      <c r="H35" s="9" t="e">
        <f>_xll.qlRateHelperRate($D35)</f>
        <v>#VALUE!</v>
      </c>
      <c r="I35" s="9" t="str">
        <f>IF(ISERROR(_xll.qlSwapRateHelperSpread($D35)),IF(ISERROR(_xll.qlFuturesRateHelperConvexityAdjustment($D35)),"--",_xll.qlFuturesRateHelperConvexityAdjustment($D35)),_xll.qlSwapRateHelperSpread($D35))</f>
        <v>--</v>
      </c>
      <c r="J35" s="8" t="e">
        <f>_xll.qlRateHelperEarliestDate($D35)</f>
        <v>#VALUE!</v>
      </c>
      <c r="K35" s="8" t="e">
        <f>_xll.qlRateHelperMaturityDate(E35)</f>
        <v>#VALUE!</v>
      </c>
      <c r="L35" s="7" t="e">
        <f>_xll.qlRateHelperPillarDate(E35)</f>
        <v>#VALUE!</v>
      </c>
      <c r="M35" s="78" t="e">
        <v>#N/A</v>
      </c>
      <c r="N35" s="1" t="e">
        <v>#N/A</v>
      </c>
    </row>
    <row r="36" spans="4:14" x14ac:dyDescent="0.2">
      <c r="D36" s="10" t="e">
        <v>#N/A</v>
      </c>
      <c r="E36" s="10" t="e">
        <v>#N/A</v>
      </c>
      <c r="F36" s="10" t="e">
        <f>_xll.qlRateHelperQuoteName(D36)</f>
        <v>#VALUE!</v>
      </c>
      <c r="G36" s="195" t="e">
        <f>_xll.qlRateHelperRate(E36)-H36</f>
        <v>#VALUE!</v>
      </c>
      <c r="H36" s="9" t="e">
        <f>_xll.qlRateHelperRate($D36)</f>
        <v>#VALUE!</v>
      </c>
      <c r="I36" s="9" t="str">
        <f>IF(ISERROR(_xll.qlSwapRateHelperSpread($D36)),IF(ISERROR(_xll.qlFuturesRateHelperConvexityAdjustment($D36)),"--",_xll.qlFuturesRateHelperConvexityAdjustment($D36)),_xll.qlSwapRateHelperSpread($D36))</f>
        <v>--</v>
      </c>
      <c r="J36" s="8" t="e">
        <f>_xll.qlRateHelperEarliestDate($D36)</f>
        <v>#VALUE!</v>
      </c>
      <c r="K36" s="8" t="e">
        <f>_xll.qlRateHelperMaturityDate(E36)</f>
        <v>#VALUE!</v>
      </c>
      <c r="L36" s="7" t="e">
        <f>_xll.qlRateHelperPillarDate(E36)</f>
        <v>#VALUE!</v>
      </c>
      <c r="M36" s="78" t="e">
        <v>#N/A</v>
      </c>
      <c r="N36" s="1" t="e">
        <v>#N/A</v>
      </c>
    </row>
    <row r="37" spans="4:14" x14ac:dyDescent="0.2">
      <c r="D37" s="10" t="e">
        <v>#N/A</v>
      </c>
      <c r="E37" s="10" t="e">
        <v>#N/A</v>
      </c>
      <c r="F37" s="10" t="e">
        <f>_xll.qlRateHelperQuoteName(D37)</f>
        <v>#VALUE!</v>
      </c>
      <c r="G37" s="195" t="e">
        <f>_xll.qlRateHelperRate(E37)-H37</f>
        <v>#VALUE!</v>
      </c>
      <c r="H37" s="9" t="e">
        <f>_xll.qlRateHelperRate($D37)</f>
        <v>#VALUE!</v>
      </c>
      <c r="I37" s="9" t="str">
        <f>IF(ISERROR(_xll.qlSwapRateHelperSpread($D37)),IF(ISERROR(_xll.qlFuturesRateHelperConvexityAdjustment($D37)),"--",_xll.qlFuturesRateHelperConvexityAdjustment($D37)),_xll.qlSwapRateHelperSpread($D37))</f>
        <v>--</v>
      </c>
      <c r="J37" s="8" t="e">
        <f>_xll.qlRateHelperEarliestDate($D37)</f>
        <v>#VALUE!</v>
      </c>
      <c r="K37" s="8" t="e">
        <f>_xll.qlRateHelperMaturityDate(E37)</f>
        <v>#VALUE!</v>
      </c>
      <c r="L37" s="7" t="e">
        <f>_xll.qlRateHelperPillarDate(E37)</f>
        <v>#VALUE!</v>
      </c>
      <c r="M37" s="78" t="e">
        <v>#N/A</v>
      </c>
      <c r="N37" s="1" t="e">
        <v>#N/A</v>
      </c>
    </row>
    <row r="38" spans="4:14" x14ac:dyDescent="0.2">
      <c r="D38" s="10" t="e">
        <v>#N/A</v>
      </c>
      <c r="E38" s="10" t="e">
        <v>#N/A</v>
      </c>
      <c r="F38" s="10" t="e">
        <f>_xll.qlRateHelperQuoteName(D38)</f>
        <v>#VALUE!</v>
      </c>
      <c r="G38" s="195" t="e">
        <f>_xll.qlRateHelperRate(E38)-H38</f>
        <v>#VALUE!</v>
      </c>
      <c r="H38" s="9" t="e">
        <f>_xll.qlRateHelperRate($D38)</f>
        <v>#VALUE!</v>
      </c>
      <c r="I38" s="9" t="str">
        <f>IF(ISERROR(_xll.qlSwapRateHelperSpread($D38)),IF(ISERROR(_xll.qlFuturesRateHelperConvexityAdjustment($D38)),"--",_xll.qlFuturesRateHelperConvexityAdjustment($D38)),_xll.qlSwapRateHelperSpread($D38))</f>
        <v>--</v>
      </c>
      <c r="J38" s="8" t="e">
        <f>_xll.qlRateHelperEarliestDate($D38)</f>
        <v>#VALUE!</v>
      </c>
      <c r="K38" s="8" t="e">
        <f>_xll.qlRateHelperMaturityDate(E38)</f>
        <v>#VALUE!</v>
      </c>
      <c r="L38" s="7" t="e">
        <f>_xll.qlRateHelperPillarDate(E38)</f>
        <v>#VALUE!</v>
      </c>
      <c r="M38" s="78" t="e">
        <v>#N/A</v>
      </c>
      <c r="N38" s="1" t="e">
        <v>#N/A</v>
      </c>
    </row>
    <row r="39" spans="4:14" x14ac:dyDescent="0.2">
      <c r="D39" s="10" t="e">
        <v>#N/A</v>
      </c>
      <c r="E39" s="10" t="e">
        <v>#N/A</v>
      </c>
      <c r="F39" s="10" t="e">
        <f>_xll.qlRateHelperQuoteName(D39)</f>
        <v>#VALUE!</v>
      </c>
      <c r="G39" s="195" t="e">
        <f>_xll.qlRateHelperRate(E39)-H39</f>
        <v>#VALUE!</v>
      </c>
      <c r="H39" s="9" t="e">
        <f>_xll.qlRateHelperRate($D39)</f>
        <v>#VALUE!</v>
      </c>
      <c r="I39" s="9" t="str">
        <f>IF(ISERROR(_xll.qlSwapRateHelperSpread($D39)),IF(ISERROR(_xll.qlFuturesRateHelperConvexityAdjustment($D39)),"--",_xll.qlFuturesRateHelperConvexityAdjustment($D39)),_xll.qlSwapRateHelperSpread($D39))</f>
        <v>--</v>
      </c>
      <c r="J39" s="8" t="e">
        <f>_xll.qlRateHelperEarliestDate($D39)</f>
        <v>#VALUE!</v>
      </c>
      <c r="K39" s="8" t="e">
        <f>_xll.qlRateHelperMaturityDate(E39)</f>
        <v>#VALUE!</v>
      </c>
      <c r="L39" s="7" t="e">
        <f>_xll.qlRateHelperPillarDate(E39)</f>
        <v>#VALUE!</v>
      </c>
      <c r="M39" s="78" t="e">
        <v>#N/A</v>
      </c>
      <c r="N39" s="1" t="e">
        <v>#N/A</v>
      </c>
    </row>
    <row r="40" spans="4:14" x14ac:dyDescent="0.2">
      <c r="D40" s="10" t="e">
        <v>#N/A</v>
      </c>
      <c r="E40" s="10" t="e">
        <v>#N/A</v>
      </c>
      <c r="F40" s="10" t="e">
        <f>_xll.qlRateHelperQuoteName(D40)</f>
        <v>#VALUE!</v>
      </c>
      <c r="G40" s="195" t="e">
        <f>_xll.qlRateHelperRate(E40)-H40</f>
        <v>#VALUE!</v>
      </c>
      <c r="H40" s="9" t="e">
        <f>_xll.qlRateHelperRate($D40)</f>
        <v>#VALUE!</v>
      </c>
      <c r="I40" s="9" t="str">
        <f>IF(ISERROR(_xll.qlSwapRateHelperSpread($D40)),IF(ISERROR(_xll.qlFuturesRateHelperConvexityAdjustment($D40)),"--",_xll.qlFuturesRateHelperConvexityAdjustment($D40)),_xll.qlSwapRateHelperSpread($D40))</f>
        <v>--</v>
      </c>
      <c r="J40" s="8" t="e">
        <f>_xll.qlRateHelperEarliestDate($D40)</f>
        <v>#VALUE!</v>
      </c>
      <c r="K40" s="8" t="e">
        <f>_xll.qlRateHelperMaturityDate(E40)</f>
        <v>#VALUE!</v>
      </c>
      <c r="L40" s="7" t="e">
        <f>_xll.qlRateHelperPillarDate(E40)</f>
        <v>#VALUE!</v>
      </c>
      <c r="M40" s="78" t="e">
        <v>#N/A</v>
      </c>
      <c r="N40" s="1" t="e">
        <v>#N/A</v>
      </c>
    </row>
    <row r="41" spans="4:14" x14ac:dyDescent="0.2">
      <c r="D41" s="10" t="e">
        <v>#N/A</v>
      </c>
      <c r="E41" s="10" t="e">
        <v>#N/A</v>
      </c>
      <c r="F41" s="10" t="e">
        <f>_xll.qlRateHelperQuoteName(D41)</f>
        <v>#VALUE!</v>
      </c>
      <c r="G41" s="195" t="e">
        <f>_xll.qlRateHelperRate(E41)-H41</f>
        <v>#VALUE!</v>
      </c>
      <c r="H41" s="9" t="e">
        <f>_xll.qlRateHelperRate($D41)</f>
        <v>#VALUE!</v>
      </c>
      <c r="I41" s="9" t="str">
        <f>IF(ISERROR(_xll.qlSwapRateHelperSpread($D41)),IF(ISERROR(_xll.qlFuturesRateHelperConvexityAdjustment($D41)),"--",_xll.qlFuturesRateHelperConvexityAdjustment($D41)),_xll.qlSwapRateHelperSpread($D41))</f>
        <v>--</v>
      </c>
      <c r="J41" s="8" t="e">
        <f>_xll.qlRateHelperEarliestDate($D41)</f>
        <v>#VALUE!</v>
      </c>
      <c r="K41" s="8" t="e">
        <f>_xll.qlRateHelperMaturityDate(E41)</f>
        <v>#VALUE!</v>
      </c>
      <c r="L41" s="7" t="e">
        <f>_xll.qlRateHelperPillarDate(E41)</f>
        <v>#VALUE!</v>
      </c>
      <c r="M41" s="78" t="e">
        <v>#N/A</v>
      </c>
      <c r="N41" s="1" t="e">
        <v>#N/A</v>
      </c>
    </row>
    <row r="42" spans="4:14" x14ac:dyDescent="0.2">
      <c r="D42" s="10" t="e">
        <v>#N/A</v>
      </c>
      <c r="E42" s="10" t="e">
        <v>#N/A</v>
      </c>
      <c r="F42" s="10" t="e">
        <f>_xll.qlRateHelperQuoteName(D42)</f>
        <v>#VALUE!</v>
      </c>
      <c r="G42" s="195" t="e">
        <f>_xll.qlRateHelperRate(E42)-H42</f>
        <v>#VALUE!</v>
      </c>
      <c r="H42" s="9" t="e">
        <f>_xll.qlRateHelperRate($D42)</f>
        <v>#VALUE!</v>
      </c>
      <c r="I42" s="9" t="str">
        <f>IF(ISERROR(_xll.qlSwapRateHelperSpread($D42)),IF(ISERROR(_xll.qlFuturesRateHelperConvexityAdjustment($D42)),"--",_xll.qlFuturesRateHelperConvexityAdjustment($D42)),_xll.qlSwapRateHelperSpread($D42))</f>
        <v>--</v>
      </c>
      <c r="J42" s="8" t="e">
        <f>_xll.qlRateHelperEarliestDate($D42)</f>
        <v>#VALUE!</v>
      </c>
      <c r="K42" s="8" t="e">
        <f>_xll.qlRateHelperMaturityDate(E42)</f>
        <v>#VALUE!</v>
      </c>
      <c r="L42" s="7" t="e">
        <f>_xll.qlRateHelperPillarDate(E42)</f>
        <v>#VALUE!</v>
      </c>
      <c r="M42" s="78" t="e">
        <v>#N/A</v>
      </c>
      <c r="N42" s="1" t="e">
        <v>#N/A</v>
      </c>
    </row>
    <row r="43" spans="4:14" x14ac:dyDescent="0.2">
      <c r="D43" s="10" t="e">
        <v>#N/A</v>
      </c>
      <c r="E43" s="10" t="e">
        <v>#N/A</v>
      </c>
      <c r="F43" s="10" t="e">
        <f>_xll.qlRateHelperQuoteName(D43)</f>
        <v>#VALUE!</v>
      </c>
      <c r="G43" s="195" t="e">
        <f>_xll.qlRateHelperRate(E43)-H43</f>
        <v>#VALUE!</v>
      </c>
      <c r="H43" s="9" t="e">
        <f>_xll.qlRateHelperRate($D43)</f>
        <v>#VALUE!</v>
      </c>
      <c r="I43" s="9" t="str">
        <f>IF(ISERROR(_xll.qlSwapRateHelperSpread($D43)),IF(ISERROR(_xll.qlFuturesRateHelperConvexityAdjustment($D43)),"--",_xll.qlFuturesRateHelperConvexityAdjustment($D43)),_xll.qlSwapRateHelperSpread($D43))</f>
        <v>--</v>
      </c>
      <c r="J43" s="8" t="e">
        <f>_xll.qlRateHelperEarliestDate($D43)</f>
        <v>#VALUE!</v>
      </c>
      <c r="K43" s="8" t="e">
        <f>_xll.qlRateHelperMaturityDate(E43)</f>
        <v>#VALUE!</v>
      </c>
      <c r="L43" s="7" t="e">
        <f>_xll.qlRateHelperPillarDate(E43)</f>
        <v>#VALUE!</v>
      </c>
      <c r="M43" s="78" t="e">
        <v>#N/A</v>
      </c>
      <c r="N43" s="1" t="e">
        <v>#N/A</v>
      </c>
    </row>
    <row r="44" spans="4:14" x14ac:dyDescent="0.2">
      <c r="D44" s="10" t="e">
        <v>#N/A</v>
      </c>
      <c r="E44" s="10" t="e">
        <v>#N/A</v>
      </c>
      <c r="F44" s="10" t="e">
        <f>_xll.qlRateHelperQuoteName(D44)</f>
        <v>#VALUE!</v>
      </c>
      <c r="G44" s="195" t="e">
        <f>_xll.qlRateHelperRate(E44)-H44</f>
        <v>#VALUE!</v>
      </c>
      <c r="H44" s="9" t="e">
        <f>_xll.qlRateHelperRate($D44)</f>
        <v>#VALUE!</v>
      </c>
      <c r="I44" s="9" t="str">
        <f>IF(ISERROR(_xll.qlSwapRateHelperSpread($D44)),IF(ISERROR(_xll.qlFuturesRateHelperConvexityAdjustment($D44)),"--",_xll.qlFuturesRateHelperConvexityAdjustment($D44)),_xll.qlSwapRateHelperSpread($D44))</f>
        <v>--</v>
      </c>
      <c r="J44" s="8" t="e">
        <f>_xll.qlRateHelperEarliestDate($D44)</f>
        <v>#VALUE!</v>
      </c>
      <c r="K44" s="8" t="e">
        <f>_xll.qlRateHelperMaturityDate(E44)</f>
        <v>#VALUE!</v>
      </c>
      <c r="L44" s="7" t="e">
        <f>_xll.qlRateHelperPillarDate(E44)</f>
        <v>#VALUE!</v>
      </c>
      <c r="M44" s="78" t="e">
        <v>#N/A</v>
      </c>
      <c r="N44" s="1" t="e">
        <v>#N/A</v>
      </c>
    </row>
    <row r="45" spans="4:14" x14ac:dyDescent="0.2">
      <c r="D45" s="10" t="e">
        <v>#N/A</v>
      </c>
      <c r="E45" s="10" t="e">
        <v>#N/A</v>
      </c>
      <c r="F45" s="10" t="e">
        <f>_xll.qlRateHelperQuoteName(D45)</f>
        <v>#VALUE!</v>
      </c>
      <c r="G45" s="195" t="e">
        <f>_xll.qlRateHelperRate(E45)-H45</f>
        <v>#VALUE!</v>
      </c>
      <c r="H45" s="9" t="e">
        <f>_xll.qlRateHelperRate($D45)</f>
        <v>#VALUE!</v>
      </c>
      <c r="I45" s="9" t="str">
        <f>IF(ISERROR(_xll.qlSwapRateHelperSpread($D45)),IF(ISERROR(_xll.qlFuturesRateHelperConvexityAdjustment($D45)),"--",_xll.qlFuturesRateHelperConvexityAdjustment($D45)),_xll.qlSwapRateHelperSpread($D45))</f>
        <v>--</v>
      </c>
      <c r="J45" s="8" t="e">
        <f>_xll.qlRateHelperEarliestDate($D45)</f>
        <v>#VALUE!</v>
      </c>
      <c r="K45" s="8" t="e">
        <f>_xll.qlRateHelperMaturityDate(E45)</f>
        <v>#VALUE!</v>
      </c>
      <c r="L45" s="7" t="e">
        <f>_xll.qlRateHelperPillarDate(E45)</f>
        <v>#VALUE!</v>
      </c>
      <c r="M45" s="78" t="e">
        <v>#N/A</v>
      </c>
      <c r="N45" s="1" t="e">
        <v>#N/A</v>
      </c>
    </row>
    <row r="46" spans="4:14" x14ac:dyDescent="0.2">
      <c r="D46" s="10" t="e">
        <v>#N/A</v>
      </c>
      <c r="E46" s="10" t="e">
        <v>#N/A</v>
      </c>
      <c r="F46" s="10" t="e">
        <f>_xll.qlRateHelperQuoteName(D46)</f>
        <v>#VALUE!</v>
      </c>
      <c r="G46" s="195" t="e">
        <f>_xll.qlRateHelperRate(E46)-H46</f>
        <v>#VALUE!</v>
      </c>
      <c r="H46" s="9" t="e">
        <f>_xll.qlRateHelperRate($D46)</f>
        <v>#VALUE!</v>
      </c>
      <c r="I46" s="9" t="str">
        <f>IF(ISERROR(_xll.qlSwapRateHelperSpread($D46)),IF(ISERROR(_xll.qlFuturesRateHelperConvexityAdjustment($D46)),"--",_xll.qlFuturesRateHelperConvexityAdjustment($D46)),_xll.qlSwapRateHelperSpread($D46))</f>
        <v>--</v>
      </c>
      <c r="J46" s="8" t="e">
        <f>_xll.qlRateHelperEarliestDate($D46)</f>
        <v>#VALUE!</v>
      </c>
      <c r="K46" s="8" t="e">
        <f>_xll.qlRateHelperMaturityDate(E46)</f>
        <v>#VALUE!</v>
      </c>
      <c r="L46" s="7" t="e">
        <f>_xll.qlRateHelperPillarDate(E46)</f>
        <v>#VALUE!</v>
      </c>
      <c r="M46" s="78" t="e">
        <v>#N/A</v>
      </c>
      <c r="N46" s="1" t="e">
        <v>#N/A</v>
      </c>
    </row>
    <row r="47" spans="4:14" x14ac:dyDescent="0.2">
      <c r="D47" s="10" t="e">
        <v>#N/A</v>
      </c>
      <c r="E47" s="10" t="e">
        <v>#N/A</v>
      </c>
      <c r="F47" s="10" t="e">
        <f>_xll.qlRateHelperQuoteName(D47)</f>
        <v>#VALUE!</v>
      </c>
      <c r="G47" s="195" t="e">
        <f>_xll.qlRateHelperRate(E47)-H47</f>
        <v>#VALUE!</v>
      </c>
      <c r="H47" s="9" t="e">
        <f>_xll.qlRateHelperRate($D47)</f>
        <v>#VALUE!</v>
      </c>
      <c r="I47" s="9" t="str">
        <f>IF(ISERROR(_xll.qlSwapRateHelperSpread($D47)),IF(ISERROR(_xll.qlFuturesRateHelperConvexityAdjustment($D47)),"--",_xll.qlFuturesRateHelperConvexityAdjustment($D47)),_xll.qlSwapRateHelperSpread($D47))</f>
        <v>--</v>
      </c>
      <c r="J47" s="8" t="e">
        <f>_xll.qlRateHelperEarliestDate($D47)</f>
        <v>#VALUE!</v>
      </c>
      <c r="K47" s="8" t="e">
        <f>_xll.qlRateHelperMaturityDate(E47)</f>
        <v>#VALUE!</v>
      </c>
      <c r="L47" s="7" t="e">
        <f>_xll.qlRateHelperPillarDate(E47)</f>
        <v>#VALUE!</v>
      </c>
      <c r="M47" s="78" t="e">
        <v>#N/A</v>
      </c>
      <c r="N47" s="1" t="e">
        <v>#N/A</v>
      </c>
    </row>
    <row r="48" spans="4:14" x14ac:dyDescent="0.2">
      <c r="D48" s="10" t="e">
        <v>#N/A</v>
      </c>
      <c r="E48" s="10" t="e">
        <v>#N/A</v>
      </c>
      <c r="F48" s="10" t="e">
        <f>_xll.qlRateHelperQuoteName(D48)</f>
        <v>#VALUE!</v>
      </c>
      <c r="G48" s="195" t="e">
        <f>_xll.qlRateHelperRate(E48)-H48</f>
        <v>#VALUE!</v>
      </c>
      <c r="H48" s="9" t="e">
        <f>_xll.qlRateHelperRate($D48)</f>
        <v>#VALUE!</v>
      </c>
      <c r="I48" s="9" t="str">
        <f>IF(ISERROR(_xll.qlSwapRateHelperSpread($D48)),IF(ISERROR(_xll.qlFuturesRateHelperConvexityAdjustment($D48)),"--",_xll.qlFuturesRateHelperConvexityAdjustment($D48)),_xll.qlSwapRateHelperSpread($D48))</f>
        <v>--</v>
      </c>
      <c r="J48" s="8" t="e">
        <f>_xll.qlRateHelperEarliestDate($D48)</f>
        <v>#VALUE!</v>
      </c>
      <c r="K48" s="8" t="e">
        <f>_xll.qlRateHelperMaturityDate(E48)</f>
        <v>#VALUE!</v>
      </c>
      <c r="L48" s="7" t="e">
        <f>_xll.qlRateHelperPillarDate(E48)</f>
        <v>#VALUE!</v>
      </c>
      <c r="M48" s="78" t="e">
        <v>#N/A</v>
      </c>
      <c r="N48" s="1" t="e">
        <v>#N/A</v>
      </c>
    </row>
    <row r="49" spans="4:14" x14ac:dyDescent="0.2">
      <c r="D49" s="10" t="e">
        <v>#N/A</v>
      </c>
      <c r="E49" s="10" t="e">
        <v>#N/A</v>
      </c>
      <c r="F49" s="10" t="e">
        <f>_xll.qlRateHelperQuoteName(D49)</f>
        <v>#VALUE!</v>
      </c>
      <c r="G49" s="195" t="e">
        <f>_xll.qlRateHelperRate(E49)-H49</f>
        <v>#VALUE!</v>
      </c>
      <c r="H49" s="9" t="e">
        <f>_xll.qlRateHelperRate($D49)</f>
        <v>#VALUE!</v>
      </c>
      <c r="I49" s="9" t="str">
        <f>IF(ISERROR(_xll.qlSwapRateHelperSpread($D49)),IF(ISERROR(_xll.qlFuturesRateHelperConvexityAdjustment($D49)),"--",_xll.qlFuturesRateHelperConvexityAdjustment($D49)),_xll.qlSwapRateHelperSpread($D49))</f>
        <v>--</v>
      </c>
      <c r="J49" s="8" t="e">
        <f>_xll.qlRateHelperEarliestDate($D49)</f>
        <v>#VALUE!</v>
      </c>
      <c r="K49" s="8" t="e">
        <f>_xll.qlRateHelperMaturityDate(E49)</f>
        <v>#VALUE!</v>
      </c>
      <c r="L49" s="7" t="e">
        <f>_xll.qlRateHelperPillarDate(E49)</f>
        <v>#VALUE!</v>
      </c>
      <c r="M49" s="78" t="e">
        <v>#N/A</v>
      </c>
      <c r="N49" s="1" t="e">
        <v>#N/A</v>
      </c>
    </row>
    <row r="50" spans="4:14" x14ac:dyDescent="0.2">
      <c r="D50" s="10" t="e">
        <v>#N/A</v>
      </c>
      <c r="E50" s="10" t="e">
        <v>#N/A</v>
      </c>
      <c r="F50" s="10" t="e">
        <f>_xll.qlRateHelperQuoteName(D50)</f>
        <v>#VALUE!</v>
      </c>
      <c r="G50" s="195" t="e">
        <f>_xll.qlRateHelperRate(E50)-H50</f>
        <v>#VALUE!</v>
      </c>
      <c r="H50" s="9" t="e">
        <f>_xll.qlRateHelperRate($D50)</f>
        <v>#VALUE!</v>
      </c>
      <c r="I50" s="9" t="str">
        <f>IF(ISERROR(_xll.qlSwapRateHelperSpread($D50)),IF(ISERROR(_xll.qlFuturesRateHelperConvexityAdjustment($D50)),"--",_xll.qlFuturesRateHelperConvexityAdjustment($D50)),_xll.qlSwapRateHelperSpread($D50))</f>
        <v>--</v>
      </c>
      <c r="J50" s="8" t="e">
        <f>_xll.qlRateHelperEarliestDate($D50)</f>
        <v>#VALUE!</v>
      </c>
      <c r="K50" s="8" t="e">
        <f>_xll.qlRateHelperMaturityDate(E50)</f>
        <v>#VALUE!</v>
      </c>
      <c r="L50" s="7" t="e">
        <f>_xll.qlRateHelperPillarDate(E50)</f>
        <v>#VALUE!</v>
      </c>
      <c r="M50" s="78" t="e">
        <v>#N/A</v>
      </c>
      <c r="N50" s="1" t="e">
        <v>#N/A</v>
      </c>
    </row>
    <row r="51" spans="4:14" x14ac:dyDescent="0.2">
      <c r="D51" s="10" t="e">
        <v>#N/A</v>
      </c>
      <c r="E51" s="10" t="e">
        <v>#N/A</v>
      </c>
      <c r="F51" s="10" t="e">
        <f>_xll.qlRateHelperQuoteName(D51)</f>
        <v>#VALUE!</v>
      </c>
      <c r="G51" s="195" t="e">
        <f>_xll.qlRateHelperRate(E51)-H51</f>
        <v>#VALUE!</v>
      </c>
      <c r="H51" s="9" t="e">
        <f>_xll.qlRateHelperRate($D51)</f>
        <v>#VALUE!</v>
      </c>
      <c r="I51" s="9" t="str">
        <f>IF(ISERROR(_xll.qlSwapRateHelperSpread($D51)),IF(ISERROR(_xll.qlFuturesRateHelperConvexityAdjustment($D51)),"--",_xll.qlFuturesRateHelperConvexityAdjustment($D51)),_xll.qlSwapRateHelperSpread($D51))</f>
        <v>--</v>
      </c>
      <c r="J51" s="8" t="e">
        <f>_xll.qlRateHelperEarliestDate($D51)</f>
        <v>#VALUE!</v>
      </c>
      <c r="K51" s="8" t="e">
        <f>_xll.qlRateHelperMaturityDate(E51)</f>
        <v>#VALUE!</v>
      </c>
      <c r="L51" s="7" t="e">
        <f>_xll.qlRateHelperPillarDate(E51)</f>
        <v>#VALUE!</v>
      </c>
      <c r="M51" s="78" t="e">
        <v>#N/A</v>
      </c>
      <c r="N51" s="1" t="e">
        <v>#N/A</v>
      </c>
    </row>
    <row r="52" spans="4:14" x14ac:dyDescent="0.2">
      <c r="D52" s="10" t="e">
        <v>#N/A</v>
      </c>
      <c r="E52" s="10" t="e">
        <v>#N/A</v>
      </c>
      <c r="F52" s="10" t="e">
        <f>_xll.qlRateHelperQuoteName(D52)</f>
        <v>#VALUE!</v>
      </c>
      <c r="G52" s="195" t="e">
        <f>_xll.qlRateHelperRate(E52)-H52</f>
        <v>#VALUE!</v>
      </c>
      <c r="H52" s="9" t="e">
        <f>_xll.qlRateHelperRate($D52)</f>
        <v>#VALUE!</v>
      </c>
      <c r="I52" s="9" t="str">
        <f>IF(ISERROR(_xll.qlSwapRateHelperSpread($D52)),IF(ISERROR(_xll.qlFuturesRateHelperConvexityAdjustment($D52)),"--",_xll.qlFuturesRateHelperConvexityAdjustment($D52)),_xll.qlSwapRateHelperSpread($D52))</f>
        <v>--</v>
      </c>
      <c r="J52" s="8" t="e">
        <f>_xll.qlRateHelperEarliestDate($D52)</f>
        <v>#VALUE!</v>
      </c>
      <c r="K52" s="8" t="e">
        <f>_xll.qlRateHelperMaturityDate(E52)</f>
        <v>#VALUE!</v>
      </c>
      <c r="L52" s="7" t="e">
        <f>_xll.qlRateHelperPillarDate(E52)</f>
        <v>#VALUE!</v>
      </c>
      <c r="M52" s="78" t="e">
        <v>#N/A</v>
      </c>
      <c r="N52" s="1" t="e">
        <v>#N/A</v>
      </c>
    </row>
    <row r="53" spans="4:14" x14ac:dyDescent="0.2">
      <c r="D53" s="10" t="e">
        <v>#N/A</v>
      </c>
      <c r="E53" s="10" t="e">
        <v>#N/A</v>
      </c>
      <c r="F53" s="10" t="e">
        <f>_xll.qlRateHelperQuoteName(D53)</f>
        <v>#VALUE!</v>
      </c>
      <c r="G53" s="195" t="e">
        <f>_xll.qlRateHelperRate(E53)-H53</f>
        <v>#VALUE!</v>
      </c>
      <c r="H53" s="9" t="e">
        <f>_xll.qlRateHelperRate($D53)</f>
        <v>#VALUE!</v>
      </c>
      <c r="I53" s="9" t="str">
        <f>IF(ISERROR(_xll.qlSwapRateHelperSpread($D53)),IF(ISERROR(_xll.qlFuturesRateHelperConvexityAdjustment($D53)),"--",_xll.qlFuturesRateHelperConvexityAdjustment($D53)),_xll.qlSwapRateHelperSpread($D53))</f>
        <v>--</v>
      </c>
      <c r="J53" s="8" t="e">
        <f>_xll.qlRateHelperEarliestDate($D53)</f>
        <v>#VALUE!</v>
      </c>
      <c r="K53" s="8" t="e">
        <f>_xll.qlRateHelperMaturityDate(E53)</f>
        <v>#VALUE!</v>
      </c>
      <c r="L53" s="7" t="e">
        <f>_xll.qlRateHelperPillarDate(E53)</f>
        <v>#VALUE!</v>
      </c>
      <c r="M53" s="78" t="e">
        <v>#N/A</v>
      </c>
      <c r="N53" s="1" t="e">
        <v>#N/A</v>
      </c>
    </row>
    <row r="54" spans="4:14" x14ac:dyDescent="0.2">
      <c r="D54" s="10" t="e">
        <v>#N/A</v>
      </c>
      <c r="E54" s="10" t="e">
        <v>#N/A</v>
      </c>
      <c r="F54" s="10" t="e">
        <f>_xll.qlRateHelperQuoteName(D54)</f>
        <v>#VALUE!</v>
      </c>
      <c r="G54" s="195" t="e">
        <f>_xll.qlRateHelperRate(E54)-H54</f>
        <v>#VALUE!</v>
      </c>
      <c r="H54" s="9" t="e">
        <f>_xll.qlRateHelperRate($D54)</f>
        <v>#VALUE!</v>
      </c>
      <c r="I54" s="9" t="str">
        <f>IF(ISERROR(_xll.qlSwapRateHelperSpread($D54)),IF(ISERROR(_xll.qlFuturesRateHelperConvexityAdjustment($D54)),"--",_xll.qlFuturesRateHelperConvexityAdjustment($D54)),_xll.qlSwapRateHelperSpread($D54))</f>
        <v>--</v>
      </c>
      <c r="J54" s="8" t="e">
        <f>_xll.qlRateHelperEarliestDate($D54)</f>
        <v>#VALUE!</v>
      </c>
      <c r="K54" s="8" t="e">
        <f>_xll.qlRateHelperMaturityDate(E54)</f>
        <v>#VALUE!</v>
      </c>
      <c r="L54" s="7" t="e">
        <f>_xll.qlRateHelperPillarDate(E54)</f>
        <v>#VALUE!</v>
      </c>
      <c r="M54" s="78" t="e">
        <v>#N/A</v>
      </c>
      <c r="N54" s="1" t="e">
        <v>#N/A</v>
      </c>
    </row>
    <row r="55" spans="4:14" x14ac:dyDescent="0.2">
      <c r="D55" s="10" t="e">
        <v>#N/A</v>
      </c>
      <c r="E55" s="10" t="e">
        <v>#N/A</v>
      </c>
      <c r="F55" s="10" t="e">
        <f>_xll.qlRateHelperQuoteName(D55)</f>
        <v>#VALUE!</v>
      </c>
      <c r="G55" s="195" t="e">
        <f>_xll.qlRateHelperRate(E55)-H55</f>
        <v>#VALUE!</v>
      </c>
      <c r="H55" s="9" t="e">
        <f>_xll.qlRateHelperRate($D55)</f>
        <v>#VALUE!</v>
      </c>
      <c r="I55" s="9" t="str">
        <f>IF(ISERROR(_xll.qlSwapRateHelperSpread($D55)),IF(ISERROR(_xll.qlFuturesRateHelperConvexityAdjustment($D55)),"--",_xll.qlFuturesRateHelperConvexityAdjustment($D55)),_xll.qlSwapRateHelperSpread($D55))</f>
        <v>--</v>
      </c>
      <c r="J55" s="8" t="e">
        <f>_xll.qlRateHelperEarliestDate($D55)</f>
        <v>#VALUE!</v>
      </c>
      <c r="K55" s="8" t="e">
        <f>_xll.qlRateHelperMaturityDate(E55)</f>
        <v>#VALUE!</v>
      </c>
      <c r="L55" s="7" t="e">
        <f>_xll.qlRateHelperPillarDate(E55)</f>
        <v>#VALUE!</v>
      </c>
      <c r="M55" s="78" t="e">
        <v>#N/A</v>
      </c>
      <c r="N55" s="1" t="e">
        <v>#N/A</v>
      </c>
    </row>
    <row r="56" spans="4:14" x14ac:dyDescent="0.2">
      <c r="D56" s="10" t="e">
        <v>#N/A</v>
      </c>
      <c r="E56" s="10" t="e">
        <v>#N/A</v>
      </c>
      <c r="F56" s="10" t="e">
        <f>_xll.qlRateHelperQuoteName(D56)</f>
        <v>#VALUE!</v>
      </c>
      <c r="G56" s="195" t="e">
        <f>_xll.qlRateHelperRate(E56)-H56</f>
        <v>#VALUE!</v>
      </c>
      <c r="H56" s="9" t="e">
        <f>_xll.qlRateHelperRate($D56)</f>
        <v>#VALUE!</v>
      </c>
      <c r="I56" s="9" t="str">
        <f>IF(ISERROR(_xll.qlSwapRateHelperSpread($D56)),IF(ISERROR(_xll.qlFuturesRateHelperConvexityAdjustment($D56)),"--",_xll.qlFuturesRateHelperConvexityAdjustment($D56)),_xll.qlSwapRateHelperSpread($D56))</f>
        <v>--</v>
      </c>
      <c r="J56" s="8" t="e">
        <f>_xll.qlRateHelperEarliestDate($D56)</f>
        <v>#VALUE!</v>
      </c>
      <c r="K56" s="8" t="e">
        <f>_xll.qlRateHelperMaturityDate(E56)</f>
        <v>#VALUE!</v>
      </c>
      <c r="L56" s="7" t="e">
        <f>_xll.qlRateHelperPillarDate(E56)</f>
        <v>#VALUE!</v>
      </c>
      <c r="M56" s="78" t="e">
        <v>#N/A</v>
      </c>
      <c r="N56" s="1" t="e">
        <v>#N/A</v>
      </c>
    </row>
    <row r="57" spans="4:14" x14ac:dyDescent="0.2">
      <c r="D57" s="10" t="e">
        <v>#N/A</v>
      </c>
      <c r="E57" s="10" t="e">
        <v>#N/A</v>
      </c>
      <c r="F57" s="10" t="e">
        <f>_xll.qlRateHelperQuoteName(D57)</f>
        <v>#VALUE!</v>
      </c>
      <c r="G57" s="195" t="e">
        <f>_xll.qlRateHelperRate(E57)-H57</f>
        <v>#VALUE!</v>
      </c>
      <c r="H57" s="9" t="e">
        <f>_xll.qlRateHelperRate($D57)</f>
        <v>#VALUE!</v>
      </c>
      <c r="I57" s="9" t="str">
        <f>IF(ISERROR(_xll.qlSwapRateHelperSpread($D57)),IF(ISERROR(_xll.qlFuturesRateHelperConvexityAdjustment($D57)),"--",_xll.qlFuturesRateHelperConvexityAdjustment($D57)),_xll.qlSwapRateHelperSpread($D57))</f>
        <v>--</v>
      </c>
      <c r="J57" s="8" t="e">
        <f>_xll.qlRateHelperEarliestDate($D57)</f>
        <v>#VALUE!</v>
      </c>
      <c r="K57" s="8" t="e">
        <f>_xll.qlRateHelperMaturityDate(E57)</f>
        <v>#VALUE!</v>
      </c>
      <c r="L57" s="7" t="e">
        <f>_xll.qlRateHelperPillarDate(E57)</f>
        <v>#VALUE!</v>
      </c>
      <c r="M57" s="78" t="e">
        <v>#N/A</v>
      </c>
      <c r="N57" s="1" t="e">
        <v>#N/A</v>
      </c>
    </row>
    <row r="58" spans="4:14" x14ac:dyDescent="0.2">
      <c r="D58" s="10" t="e">
        <v>#N/A</v>
      </c>
      <c r="E58" s="10" t="e">
        <v>#N/A</v>
      </c>
      <c r="F58" s="10" t="e">
        <f>_xll.qlRateHelperQuoteName(D58)</f>
        <v>#VALUE!</v>
      </c>
      <c r="G58" s="195" t="e">
        <f>_xll.qlRateHelperRate(E58)-H58</f>
        <v>#VALUE!</v>
      </c>
      <c r="H58" s="9" t="e">
        <f>_xll.qlRateHelperRate($D58)</f>
        <v>#VALUE!</v>
      </c>
      <c r="I58" s="9" t="str">
        <f>IF(ISERROR(_xll.qlSwapRateHelperSpread($D58)),IF(ISERROR(_xll.qlFuturesRateHelperConvexityAdjustment($D58)),"--",_xll.qlFuturesRateHelperConvexityAdjustment($D58)),_xll.qlSwapRateHelperSpread($D58))</f>
        <v>--</v>
      </c>
      <c r="J58" s="8" t="e">
        <f>_xll.qlRateHelperEarliestDate($D58)</f>
        <v>#VALUE!</v>
      </c>
      <c r="K58" s="8" t="e">
        <f>_xll.qlRateHelperMaturityDate(E58)</f>
        <v>#VALUE!</v>
      </c>
      <c r="L58" s="7" t="e">
        <f>_xll.qlRateHelperPillarDate(E58)</f>
        <v>#VALUE!</v>
      </c>
      <c r="M58" s="78" t="e">
        <v>#N/A</v>
      </c>
      <c r="N58" s="1" t="e">
        <v>#N/A</v>
      </c>
    </row>
    <row r="59" spans="4:14" x14ac:dyDescent="0.2">
      <c r="D59" s="10" t="e">
        <v>#N/A</v>
      </c>
      <c r="E59" s="10" t="e">
        <v>#N/A</v>
      </c>
      <c r="F59" s="10" t="e">
        <f>_xll.qlRateHelperQuoteName(D59)</f>
        <v>#VALUE!</v>
      </c>
      <c r="G59" s="195" t="e">
        <f>_xll.qlRateHelperRate(E59)-H59</f>
        <v>#VALUE!</v>
      </c>
      <c r="H59" s="9" t="e">
        <f>_xll.qlRateHelperRate($D59)</f>
        <v>#VALUE!</v>
      </c>
      <c r="I59" s="9" t="str">
        <f>IF(ISERROR(_xll.qlSwapRateHelperSpread($D59)),IF(ISERROR(_xll.qlFuturesRateHelperConvexityAdjustment($D59)),"--",_xll.qlFuturesRateHelperConvexityAdjustment($D59)),_xll.qlSwapRateHelperSpread($D59))</f>
        <v>--</v>
      </c>
      <c r="J59" s="8" t="e">
        <f>_xll.qlRateHelperEarliestDate($D59)</f>
        <v>#VALUE!</v>
      </c>
      <c r="K59" s="8" t="e">
        <f>_xll.qlRateHelperMaturityDate(E59)</f>
        <v>#VALUE!</v>
      </c>
      <c r="L59" s="7" t="e">
        <f>_xll.qlRateHelperPillarDate(E59)</f>
        <v>#VALUE!</v>
      </c>
      <c r="M59" s="78" t="e">
        <v>#N/A</v>
      </c>
      <c r="N59" s="1" t="e">
        <v>#N/A</v>
      </c>
    </row>
    <row r="60" spans="4:14" x14ac:dyDescent="0.2">
      <c r="D60" s="10" t="e">
        <v>#N/A</v>
      </c>
      <c r="E60" s="10" t="e">
        <v>#N/A</v>
      </c>
      <c r="F60" s="10" t="e">
        <f>_xll.qlRateHelperQuoteName(D60)</f>
        <v>#VALUE!</v>
      </c>
      <c r="G60" s="195" t="e">
        <f>_xll.qlRateHelperRate(E60)-H60</f>
        <v>#VALUE!</v>
      </c>
      <c r="H60" s="9" t="e">
        <f>_xll.qlRateHelperRate($D60)</f>
        <v>#VALUE!</v>
      </c>
      <c r="I60" s="9" t="str">
        <f>IF(ISERROR(_xll.qlSwapRateHelperSpread($D60)),IF(ISERROR(_xll.qlFuturesRateHelperConvexityAdjustment($D60)),"--",_xll.qlFuturesRateHelperConvexityAdjustment($D60)),_xll.qlSwapRateHelperSpread($D60))</f>
        <v>--</v>
      </c>
      <c r="J60" s="8" t="e">
        <f>_xll.qlRateHelperEarliestDate($D60)</f>
        <v>#VALUE!</v>
      </c>
      <c r="K60" s="8" t="e">
        <f>_xll.qlRateHelperMaturityDate(E60)</f>
        <v>#VALUE!</v>
      </c>
      <c r="L60" s="7" t="e">
        <f>_xll.qlRateHelperPillarDate(E60)</f>
        <v>#VALUE!</v>
      </c>
      <c r="M60" s="78" t="e">
        <v>#N/A</v>
      </c>
      <c r="N60" s="1" t="e">
        <v>#N/A</v>
      </c>
    </row>
    <row r="61" spans="4:14" x14ac:dyDescent="0.2">
      <c r="D61" s="10" t="e">
        <v>#N/A</v>
      </c>
      <c r="E61" s="10" t="e">
        <v>#N/A</v>
      </c>
      <c r="F61" s="10" t="e">
        <f>_xll.qlRateHelperQuoteName(D61)</f>
        <v>#VALUE!</v>
      </c>
      <c r="G61" s="195" t="e">
        <f>_xll.qlRateHelperRate(E61)-H61</f>
        <v>#VALUE!</v>
      </c>
      <c r="H61" s="9" t="e">
        <f>_xll.qlRateHelperRate($D61)</f>
        <v>#VALUE!</v>
      </c>
      <c r="I61" s="9" t="str">
        <f>IF(ISERROR(_xll.qlSwapRateHelperSpread($D61)),IF(ISERROR(_xll.qlFuturesRateHelperConvexityAdjustment($D61)),"--",_xll.qlFuturesRateHelperConvexityAdjustment($D61)),_xll.qlSwapRateHelperSpread($D61))</f>
        <v>--</v>
      </c>
      <c r="J61" s="8" t="e">
        <f>_xll.qlRateHelperEarliestDate($D61)</f>
        <v>#VALUE!</v>
      </c>
      <c r="K61" s="8" t="e">
        <f>_xll.qlRateHelperMaturityDate(E61)</f>
        <v>#VALUE!</v>
      </c>
      <c r="L61" s="7" t="e">
        <f>_xll.qlRateHelperPillarDate(E61)</f>
        <v>#VALUE!</v>
      </c>
      <c r="M61" s="78" t="e">
        <v>#N/A</v>
      </c>
      <c r="N61" s="1" t="e">
        <v>#N/A</v>
      </c>
    </row>
    <row r="62" spans="4:14" x14ac:dyDescent="0.2">
      <c r="D62" s="10" t="e">
        <v>#N/A</v>
      </c>
      <c r="E62" s="10" t="e">
        <v>#N/A</v>
      </c>
      <c r="F62" s="10" t="e">
        <f>_xll.qlRateHelperQuoteName(D62)</f>
        <v>#VALUE!</v>
      </c>
      <c r="G62" s="195" t="e">
        <f>_xll.qlRateHelperRate(E62)-H62</f>
        <v>#VALUE!</v>
      </c>
      <c r="H62" s="9" t="e">
        <f>_xll.qlRateHelperRate($D62)</f>
        <v>#VALUE!</v>
      </c>
      <c r="I62" s="9" t="str">
        <f>IF(ISERROR(_xll.qlSwapRateHelperSpread($D62)),IF(ISERROR(_xll.qlFuturesRateHelperConvexityAdjustment($D62)),"--",_xll.qlFuturesRateHelperConvexityAdjustment($D62)),_xll.qlSwapRateHelperSpread($D62))</f>
        <v>--</v>
      </c>
      <c r="J62" s="8" t="e">
        <f>_xll.qlRateHelperEarliestDate($D62)</f>
        <v>#VALUE!</v>
      </c>
      <c r="K62" s="8" t="e">
        <f>_xll.qlRateHelperMaturityDate(E62)</f>
        <v>#VALUE!</v>
      </c>
      <c r="L62" s="7" t="e">
        <f>_xll.qlRateHelperPillarDate(E62)</f>
        <v>#VALUE!</v>
      </c>
      <c r="M62" s="78" t="e">
        <v>#N/A</v>
      </c>
      <c r="N62" s="1" t="e">
        <v>#N/A</v>
      </c>
    </row>
    <row r="63" spans="4:14" x14ac:dyDescent="0.2">
      <c r="D63" s="10" t="e">
        <v>#N/A</v>
      </c>
      <c r="E63" s="10" t="e">
        <v>#N/A</v>
      </c>
      <c r="F63" s="10" t="e">
        <f>_xll.qlRateHelperQuoteName(D63)</f>
        <v>#VALUE!</v>
      </c>
      <c r="G63" s="195" t="e">
        <f>_xll.qlRateHelperRate(E63)-H63</f>
        <v>#VALUE!</v>
      </c>
      <c r="H63" s="9" t="e">
        <f>_xll.qlRateHelperRate($D63)</f>
        <v>#VALUE!</v>
      </c>
      <c r="I63" s="9" t="str">
        <f>IF(ISERROR(_xll.qlSwapRateHelperSpread($D63)),IF(ISERROR(_xll.qlFuturesRateHelperConvexityAdjustment($D63)),"--",_xll.qlFuturesRateHelperConvexityAdjustment($D63)),_xll.qlSwapRateHelperSpread($D63))</f>
        <v>--</v>
      </c>
      <c r="J63" s="8" t="e">
        <f>_xll.qlRateHelperEarliestDate($D63)</f>
        <v>#VALUE!</v>
      </c>
      <c r="K63" s="8" t="e">
        <f>_xll.qlRateHelperMaturityDate(E63)</f>
        <v>#VALUE!</v>
      </c>
      <c r="L63" s="7" t="e">
        <f>_xll.qlRateHelperPillarDate(E63)</f>
        <v>#VALUE!</v>
      </c>
      <c r="M63" s="78" t="e">
        <v>#N/A</v>
      </c>
      <c r="N63" s="1" t="e">
        <v>#N/A</v>
      </c>
    </row>
    <row r="64" spans="4:14" x14ac:dyDescent="0.2">
      <c r="D64" s="10" t="e">
        <v>#N/A</v>
      </c>
      <c r="E64" s="10" t="e">
        <v>#N/A</v>
      </c>
      <c r="F64" s="10" t="e">
        <f>_xll.qlRateHelperQuoteName(D64)</f>
        <v>#VALUE!</v>
      </c>
      <c r="G64" s="195" t="e">
        <f>_xll.qlRateHelperRate(E64)-H64</f>
        <v>#VALUE!</v>
      </c>
      <c r="H64" s="9" t="e">
        <f>_xll.qlRateHelperRate($D64)</f>
        <v>#VALUE!</v>
      </c>
      <c r="I64" s="9" t="str">
        <f>IF(ISERROR(_xll.qlSwapRateHelperSpread($D64)),IF(ISERROR(_xll.qlFuturesRateHelperConvexityAdjustment($D64)),"--",_xll.qlFuturesRateHelperConvexityAdjustment($D64)),_xll.qlSwapRateHelperSpread($D64))</f>
        <v>--</v>
      </c>
      <c r="J64" s="8" t="e">
        <f>_xll.qlRateHelperEarliestDate($D64)</f>
        <v>#VALUE!</v>
      </c>
      <c r="K64" s="8" t="e">
        <f>_xll.qlRateHelperMaturityDate(E64)</f>
        <v>#VALUE!</v>
      </c>
      <c r="L64" s="7" t="e">
        <f>_xll.qlRateHelperPillarDate(E64)</f>
        <v>#VALUE!</v>
      </c>
      <c r="M64" s="78" t="e">
        <v>#N/A</v>
      </c>
      <c r="N64" s="1" t="e">
        <v>#N/A</v>
      </c>
    </row>
    <row r="65" spans="4:14" x14ac:dyDescent="0.2">
      <c r="D65" s="10" t="e">
        <v>#N/A</v>
      </c>
      <c r="E65" s="10" t="e">
        <v>#N/A</v>
      </c>
      <c r="F65" s="10" t="e">
        <f>_xll.qlRateHelperQuoteName(D65)</f>
        <v>#VALUE!</v>
      </c>
      <c r="G65" s="195" t="e">
        <f>_xll.qlRateHelperRate(E65)-H65</f>
        <v>#VALUE!</v>
      </c>
      <c r="H65" s="9" t="e">
        <f>_xll.qlRateHelperRate($D65)</f>
        <v>#VALUE!</v>
      </c>
      <c r="I65" s="9" t="str">
        <f>IF(ISERROR(_xll.qlSwapRateHelperSpread($D65)),IF(ISERROR(_xll.qlFuturesRateHelperConvexityAdjustment($D65)),"--",_xll.qlFuturesRateHelperConvexityAdjustment($D65)),_xll.qlSwapRateHelperSpread($D65))</f>
        <v>--</v>
      </c>
      <c r="J65" s="8" t="e">
        <f>_xll.qlRateHelperEarliestDate($D65)</f>
        <v>#VALUE!</v>
      </c>
      <c r="K65" s="8" t="e">
        <f>_xll.qlRateHelperMaturityDate(E65)</f>
        <v>#VALUE!</v>
      </c>
      <c r="L65" s="7" t="e">
        <f>_xll.qlRateHelperPillarDate(E65)</f>
        <v>#VALUE!</v>
      </c>
      <c r="M65" s="78" t="e">
        <v>#N/A</v>
      </c>
      <c r="N65" s="1" t="e">
        <v>#N/A</v>
      </c>
    </row>
    <row r="66" spans="4:14" x14ac:dyDescent="0.2">
      <c r="D66" s="10" t="e">
        <v>#N/A</v>
      </c>
      <c r="E66" s="10" t="e">
        <v>#N/A</v>
      </c>
      <c r="F66" s="10" t="e">
        <f>_xll.qlRateHelperQuoteName(D66)</f>
        <v>#VALUE!</v>
      </c>
      <c r="G66" s="195" t="e">
        <f>_xll.qlRateHelperRate(E66)-H66</f>
        <v>#VALUE!</v>
      </c>
      <c r="H66" s="9" t="e">
        <f>_xll.qlRateHelperRate($D66)</f>
        <v>#VALUE!</v>
      </c>
      <c r="I66" s="9" t="str">
        <f>IF(ISERROR(_xll.qlSwapRateHelperSpread($D66)),IF(ISERROR(_xll.qlFuturesRateHelperConvexityAdjustment($D66)),"--",_xll.qlFuturesRateHelperConvexityAdjustment($D66)),_xll.qlSwapRateHelperSpread($D66))</f>
        <v>--</v>
      </c>
      <c r="J66" s="8" t="e">
        <f>_xll.qlRateHelperEarliestDate($D66)</f>
        <v>#VALUE!</v>
      </c>
      <c r="K66" s="8" t="e">
        <f>_xll.qlRateHelperMaturityDate(E66)</f>
        <v>#VALUE!</v>
      </c>
      <c r="L66" s="7" t="e">
        <f>_xll.qlRateHelperPillarDate(E66)</f>
        <v>#VALUE!</v>
      </c>
      <c r="M66" s="78" t="e">
        <v>#N/A</v>
      </c>
      <c r="N66" s="1" t="e">
        <v>#N/A</v>
      </c>
    </row>
    <row r="67" spans="4:14" x14ac:dyDescent="0.2">
      <c r="D67" s="10" t="e">
        <v>#N/A</v>
      </c>
      <c r="E67" s="10" t="e">
        <v>#N/A</v>
      </c>
      <c r="F67" s="10" t="e">
        <f>_xll.qlRateHelperQuoteName(D67)</f>
        <v>#VALUE!</v>
      </c>
      <c r="G67" s="195" t="e">
        <f>_xll.qlRateHelperRate(E67)-H67</f>
        <v>#VALUE!</v>
      </c>
      <c r="H67" s="9" t="e">
        <f>_xll.qlRateHelperRate($D67)</f>
        <v>#VALUE!</v>
      </c>
      <c r="I67" s="9" t="str">
        <f>IF(ISERROR(_xll.qlSwapRateHelperSpread($D67)),IF(ISERROR(_xll.qlFuturesRateHelperConvexityAdjustment($D67)),"--",_xll.qlFuturesRateHelperConvexityAdjustment($D67)),_xll.qlSwapRateHelperSpread($D67))</f>
        <v>--</v>
      </c>
      <c r="J67" s="8" t="e">
        <f>_xll.qlRateHelperEarliestDate($D67)</f>
        <v>#VALUE!</v>
      </c>
      <c r="K67" s="8" t="e">
        <f>_xll.qlRateHelperMaturityDate(E67)</f>
        <v>#VALUE!</v>
      </c>
      <c r="L67" s="7" t="e">
        <f>_xll.qlRateHelperPillarDate(E67)</f>
        <v>#VALUE!</v>
      </c>
      <c r="M67" s="78" t="e">
        <v>#N/A</v>
      </c>
      <c r="N67" s="1" t="e">
        <v>#N/A</v>
      </c>
    </row>
    <row r="68" spans="4:14" x14ac:dyDescent="0.2">
      <c r="D68" s="10" t="e">
        <v>#N/A</v>
      </c>
      <c r="E68" s="10" t="e">
        <v>#N/A</v>
      </c>
      <c r="F68" s="10" t="e">
        <f>_xll.qlRateHelperQuoteName(D68)</f>
        <v>#VALUE!</v>
      </c>
      <c r="G68" s="195" t="e">
        <f>_xll.qlRateHelperRate(E68)-H68</f>
        <v>#VALUE!</v>
      </c>
      <c r="H68" s="9" t="e">
        <f>_xll.qlRateHelperRate($D68)</f>
        <v>#VALUE!</v>
      </c>
      <c r="I68" s="9" t="str">
        <f>IF(ISERROR(_xll.qlSwapRateHelperSpread($D68)),IF(ISERROR(_xll.qlFuturesRateHelperConvexityAdjustment($D68)),"--",_xll.qlFuturesRateHelperConvexityAdjustment($D68)),_xll.qlSwapRateHelperSpread($D68))</f>
        <v>--</v>
      </c>
      <c r="J68" s="8" t="e">
        <f>_xll.qlRateHelperEarliestDate($D68)</f>
        <v>#VALUE!</v>
      </c>
      <c r="K68" s="8" t="e">
        <f>_xll.qlRateHelperMaturityDate(E68)</f>
        <v>#VALUE!</v>
      </c>
      <c r="L68" s="7" t="e">
        <f>_xll.qlRateHelperPillarDate(E68)</f>
        <v>#VALUE!</v>
      </c>
      <c r="M68" s="78" t="e">
        <v>#N/A</v>
      </c>
      <c r="N68" s="1" t="e">
        <v>#N/A</v>
      </c>
    </row>
    <row r="69" spans="4:14" x14ac:dyDescent="0.2">
      <c r="D69" s="10" t="e">
        <v>#N/A</v>
      </c>
      <c r="E69" s="10" t="e">
        <v>#N/A</v>
      </c>
      <c r="F69" s="10" t="e">
        <f>_xll.qlRateHelperQuoteName(D69)</f>
        <v>#VALUE!</v>
      </c>
      <c r="G69" s="195" t="e">
        <f>_xll.qlRateHelperRate(E69)-H69</f>
        <v>#VALUE!</v>
      </c>
      <c r="H69" s="9" t="e">
        <f>_xll.qlRateHelperRate($D69)</f>
        <v>#VALUE!</v>
      </c>
      <c r="I69" s="9" t="str">
        <f>IF(ISERROR(_xll.qlSwapRateHelperSpread($D69)),IF(ISERROR(_xll.qlFuturesRateHelperConvexityAdjustment($D69)),"--",_xll.qlFuturesRateHelperConvexityAdjustment($D69)),_xll.qlSwapRateHelperSpread($D69))</f>
        <v>--</v>
      </c>
      <c r="J69" s="8" t="e">
        <f>_xll.qlRateHelperEarliestDate($D69)</f>
        <v>#VALUE!</v>
      </c>
      <c r="K69" s="8" t="e">
        <f>_xll.qlRateHelperMaturityDate(E69)</f>
        <v>#VALUE!</v>
      </c>
      <c r="L69" s="7" t="e">
        <f>_xll.qlRateHelperPillarDate(E69)</f>
        <v>#VALUE!</v>
      </c>
      <c r="M69" s="78" t="e">
        <v>#N/A</v>
      </c>
      <c r="N69" s="1" t="e">
        <v>#N/A</v>
      </c>
    </row>
    <row r="70" spans="4:14" x14ac:dyDescent="0.2">
      <c r="D70" s="10" t="e">
        <v>#N/A</v>
      </c>
      <c r="E70" s="10" t="e">
        <v>#N/A</v>
      </c>
      <c r="F70" s="10" t="e">
        <f>_xll.qlRateHelperQuoteName(D70)</f>
        <v>#VALUE!</v>
      </c>
      <c r="G70" s="195" t="e">
        <f>_xll.qlRateHelperRate(E70)-H70</f>
        <v>#VALUE!</v>
      </c>
      <c r="H70" s="9" t="e">
        <f>_xll.qlRateHelperRate($D70)</f>
        <v>#VALUE!</v>
      </c>
      <c r="I70" s="9" t="str">
        <f>IF(ISERROR(_xll.qlSwapRateHelperSpread($D70)),IF(ISERROR(_xll.qlFuturesRateHelperConvexityAdjustment($D70)),"--",_xll.qlFuturesRateHelperConvexityAdjustment($D70)),_xll.qlSwapRateHelperSpread($D70))</f>
        <v>--</v>
      </c>
      <c r="J70" s="8" t="e">
        <f>_xll.qlRateHelperEarliestDate($D70)</f>
        <v>#VALUE!</v>
      </c>
      <c r="K70" s="8" t="e">
        <f>_xll.qlRateHelperMaturityDate(E70)</f>
        <v>#VALUE!</v>
      </c>
      <c r="L70" s="7" t="e">
        <f>_xll.qlRateHelperPillarDate(E70)</f>
        <v>#VALUE!</v>
      </c>
      <c r="M70" s="78" t="e">
        <v>#N/A</v>
      </c>
      <c r="N70" s="1" t="e">
        <v>#N/A</v>
      </c>
    </row>
    <row r="71" spans="4:14" x14ac:dyDescent="0.2">
      <c r="D71" s="10" t="e">
        <v>#N/A</v>
      </c>
      <c r="E71" s="10" t="e">
        <v>#N/A</v>
      </c>
      <c r="F71" s="10" t="e">
        <f>_xll.qlRateHelperQuoteName(D71)</f>
        <v>#VALUE!</v>
      </c>
      <c r="G71" s="195" t="e">
        <f>_xll.qlRateHelperRate(E71)-H71</f>
        <v>#VALUE!</v>
      </c>
      <c r="H71" s="9" t="e">
        <f>_xll.qlRateHelperRate($D71)</f>
        <v>#VALUE!</v>
      </c>
      <c r="I71" s="9" t="str">
        <f>IF(ISERROR(_xll.qlSwapRateHelperSpread($D71)),IF(ISERROR(_xll.qlFuturesRateHelperConvexityAdjustment($D71)),"--",_xll.qlFuturesRateHelperConvexityAdjustment($D71)),_xll.qlSwapRateHelperSpread($D71))</f>
        <v>--</v>
      </c>
      <c r="J71" s="8" t="e">
        <f>_xll.qlRateHelperEarliestDate($D71)</f>
        <v>#VALUE!</v>
      </c>
      <c r="K71" s="8" t="e">
        <f>_xll.qlRateHelperMaturityDate(E71)</f>
        <v>#VALUE!</v>
      </c>
      <c r="L71" s="7" t="e">
        <f>_xll.qlRateHelperPillarDate(E71)</f>
        <v>#VALUE!</v>
      </c>
      <c r="M71" s="78" t="e">
        <v>#N/A</v>
      </c>
      <c r="N71" s="1" t="e">
        <v>#N/A</v>
      </c>
    </row>
    <row r="72" spans="4:14" x14ac:dyDescent="0.2">
      <c r="D72" s="10" t="e">
        <v>#N/A</v>
      </c>
      <c r="E72" s="10" t="e">
        <v>#N/A</v>
      </c>
      <c r="F72" s="10" t="e">
        <f>_xll.qlRateHelperQuoteName(D72)</f>
        <v>#VALUE!</v>
      </c>
      <c r="G72" s="195" t="e">
        <f>_xll.qlRateHelperRate(E72)-H72</f>
        <v>#VALUE!</v>
      </c>
      <c r="H72" s="9" t="e">
        <f>_xll.qlRateHelperRate($D72)</f>
        <v>#VALUE!</v>
      </c>
      <c r="I72" s="9" t="str">
        <f>IF(ISERROR(_xll.qlSwapRateHelperSpread($D72)),IF(ISERROR(_xll.qlFuturesRateHelperConvexityAdjustment($D72)),"--",_xll.qlFuturesRateHelperConvexityAdjustment($D72)),_xll.qlSwapRateHelperSpread($D72))</f>
        <v>--</v>
      </c>
      <c r="J72" s="8" t="e">
        <f>_xll.qlRateHelperEarliestDate($D72)</f>
        <v>#VALUE!</v>
      </c>
      <c r="K72" s="8" t="e">
        <f>_xll.qlRateHelperMaturityDate(E72)</f>
        <v>#VALUE!</v>
      </c>
      <c r="L72" s="7" t="e">
        <f>_xll.qlRateHelperPillarDate(E72)</f>
        <v>#VALUE!</v>
      </c>
      <c r="M72" s="78" t="e">
        <v>#N/A</v>
      </c>
      <c r="N72" s="1" t="e">
        <v>#N/A</v>
      </c>
    </row>
    <row r="73" spans="4:14" x14ac:dyDescent="0.2">
      <c r="D73" s="10" t="e">
        <v>#N/A</v>
      </c>
      <c r="E73" s="10" t="e">
        <v>#N/A</v>
      </c>
      <c r="F73" s="10" t="e">
        <f>_xll.qlRateHelperQuoteName(D73)</f>
        <v>#VALUE!</v>
      </c>
      <c r="G73" s="195" t="e">
        <f>_xll.qlRateHelperRate(E73)-H73</f>
        <v>#VALUE!</v>
      </c>
      <c r="H73" s="9" t="e">
        <f>_xll.qlRateHelperRate($D73)</f>
        <v>#VALUE!</v>
      </c>
      <c r="I73" s="9" t="str">
        <f>IF(ISERROR(_xll.qlSwapRateHelperSpread($D73)),IF(ISERROR(_xll.qlFuturesRateHelperConvexityAdjustment($D73)),"--",_xll.qlFuturesRateHelperConvexityAdjustment($D73)),_xll.qlSwapRateHelperSpread($D73))</f>
        <v>--</v>
      </c>
      <c r="J73" s="8" t="e">
        <f>_xll.qlRateHelperEarliestDate($D73)</f>
        <v>#VALUE!</v>
      </c>
      <c r="K73" s="8" t="e">
        <f>_xll.qlRateHelperMaturityDate(E73)</f>
        <v>#VALUE!</v>
      </c>
      <c r="L73" s="7" t="e">
        <f>_xll.qlRateHelperPillarDate(E73)</f>
        <v>#VALUE!</v>
      </c>
      <c r="M73" s="78" t="e">
        <v>#N/A</v>
      </c>
      <c r="N73" s="1" t="e">
        <v>#N/A</v>
      </c>
    </row>
    <row r="74" spans="4:14" x14ac:dyDescent="0.2">
      <c r="D74" s="10" t="e">
        <v>#N/A</v>
      </c>
      <c r="E74" s="10" t="e">
        <v>#N/A</v>
      </c>
      <c r="F74" s="10" t="e">
        <f>_xll.qlRateHelperQuoteName(D74)</f>
        <v>#VALUE!</v>
      </c>
      <c r="G74" s="195" t="e">
        <f>_xll.qlRateHelperRate(E74)-H74</f>
        <v>#VALUE!</v>
      </c>
      <c r="H74" s="9" t="e">
        <f>_xll.qlRateHelperRate($D74)</f>
        <v>#VALUE!</v>
      </c>
      <c r="I74" s="9" t="str">
        <f>IF(ISERROR(_xll.qlSwapRateHelperSpread($D74)),IF(ISERROR(_xll.qlFuturesRateHelperConvexityAdjustment($D74)),"--",_xll.qlFuturesRateHelperConvexityAdjustment($D74)),_xll.qlSwapRateHelperSpread($D74))</f>
        <v>--</v>
      </c>
      <c r="J74" s="8" t="e">
        <f>_xll.qlRateHelperEarliestDate($D74)</f>
        <v>#VALUE!</v>
      </c>
      <c r="K74" s="8" t="e">
        <f>_xll.qlRateHelperMaturityDate(E74)</f>
        <v>#VALUE!</v>
      </c>
      <c r="L74" s="7" t="e">
        <f>_xll.qlRateHelperPillarDate(E74)</f>
        <v>#VALUE!</v>
      </c>
      <c r="M74" s="78" t="e">
        <v>#N/A</v>
      </c>
      <c r="N74" s="1" t="e">
        <v>#N/A</v>
      </c>
    </row>
    <row r="75" spans="4:14" x14ac:dyDescent="0.2">
      <c r="D75" s="10" t="e">
        <v>#N/A</v>
      </c>
      <c r="E75" s="10" t="e">
        <v>#N/A</v>
      </c>
      <c r="F75" s="10" t="e">
        <f>_xll.qlRateHelperQuoteName(D75)</f>
        <v>#VALUE!</v>
      </c>
      <c r="G75" s="195" t="e">
        <f>_xll.qlRateHelperRate(E75)-H75</f>
        <v>#VALUE!</v>
      </c>
      <c r="H75" s="9" t="e">
        <f>_xll.qlRateHelperRate($D75)</f>
        <v>#VALUE!</v>
      </c>
      <c r="I75" s="9" t="str">
        <f>IF(ISERROR(_xll.qlSwapRateHelperSpread($D75)),IF(ISERROR(_xll.qlFuturesRateHelperConvexityAdjustment($D75)),"--",_xll.qlFuturesRateHelperConvexityAdjustment($D75)),_xll.qlSwapRateHelperSpread($D75))</f>
        <v>--</v>
      </c>
      <c r="J75" s="8" t="e">
        <f>_xll.qlRateHelperEarliestDate($D75)</f>
        <v>#VALUE!</v>
      </c>
      <c r="K75" s="8" t="e">
        <f>_xll.qlRateHelperMaturityDate(E75)</f>
        <v>#VALUE!</v>
      </c>
      <c r="L75" s="7" t="e">
        <f>_xll.qlRateHelperPillarDate(E75)</f>
        <v>#VALUE!</v>
      </c>
      <c r="M75" s="78" t="e">
        <v>#N/A</v>
      </c>
      <c r="N75" s="1" t="e">
        <v>#N/A</v>
      </c>
    </row>
    <row r="76" spans="4:14" x14ac:dyDescent="0.2">
      <c r="D76" s="10" t="e">
        <v>#N/A</v>
      </c>
      <c r="E76" s="10" t="e">
        <v>#N/A</v>
      </c>
      <c r="F76" s="10" t="e">
        <f>_xll.qlRateHelperQuoteName(D76)</f>
        <v>#VALUE!</v>
      </c>
      <c r="G76" s="195" t="e">
        <f>_xll.qlRateHelperRate(E76)-H76</f>
        <v>#VALUE!</v>
      </c>
      <c r="H76" s="9" t="e">
        <f>_xll.qlRateHelperRate($D76)</f>
        <v>#VALUE!</v>
      </c>
      <c r="I76" s="9" t="str">
        <f>IF(ISERROR(_xll.qlSwapRateHelperSpread($D76)),IF(ISERROR(_xll.qlFuturesRateHelperConvexityAdjustment($D76)),"--",_xll.qlFuturesRateHelperConvexityAdjustment($D76)),_xll.qlSwapRateHelperSpread($D76))</f>
        <v>--</v>
      </c>
      <c r="J76" s="8" t="e">
        <f>_xll.qlRateHelperEarliestDate($D76)</f>
        <v>#VALUE!</v>
      </c>
      <c r="K76" s="8" t="e">
        <f>_xll.qlRateHelperMaturityDate(E76)</f>
        <v>#VALUE!</v>
      </c>
      <c r="L76" s="7" t="e">
        <f>_xll.qlRateHelperPillarDate(E76)</f>
        <v>#VALUE!</v>
      </c>
      <c r="M76" s="78" t="e">
        <v>#N/A</v>
      </c>
      <c r="N76" s="1" t="e">
        <v>#N/A</v>
      </c>
    </row>
    <row r="77" spans="4:14" x14ac:dyDescent="0.2">
      <c r="D77" s="10" t="e">
        <v>#N/A</v>
      </c>
      <c r="E77" s="10" t="e">
        <v>#N/A</v>
      </c>
      <c r="F77" s="10" t="e">
        <f>_xll.qlRateHelperQuoteName(D77)</f>
        <v>#VALUE!</v>
      </c>
      <c r="G77" s="195" t="e">
        <f>_xll.qlRateHelperRate(E77)-H77</f>
        <v>#VALUE!</v>
      </c>
      <c r="H77" s="9" t="e">
        <f>_xll.qlRateHelperRate($D77)</f>
        <v>#VALUE!</v>
      </c>
      <c r="I77" s="9" t="str">
        <f>IF(ISERROR(_xll.qlSwapRateHelperSpread($D77)),IF(ISERROR(_xll.qlFuturesRateHelperConvexityAdjustment($D77)),"--",_xll.qlFuturesRateHelperConvexityAdjustment($D77)),_xll.qlSwapRateHelperSpread($D77))</f>
        <v>--</v>
      </c>
      <c r="J77" s="8" t="e">
        <f>_xll.qlRateHelperEarliestDate($D77)</f>
        <v>#VALUE!</v>
      </c>
      <c r="K77" s="8" t="e">
        <f>_xll.qlRateHelperMaturityDate(E77)</f>
        <v>#VALUE!</v>
      </c>
      <c r="L77" s="7" t="e">
        <f>_xll.qlRateHelperPillarDate(E77)</f>
        <v>#VALUE!</v>
      </c>
      <c r="M77" s="78" t="e">
        <v>#N/A</v>
      </c>
      <c r="N77" s="1" t="e">
        <v>#N/A</v>
      </c>
    </row>
    <row r="78" spans="4:14" x14ac:dyDescent="0.2">
      <c r="D78" s="10" t="e">
        <v>#N/A</v>
      </c>
      <c r="E78" s="10" t="e">
        <v>#N/A</v>
      </c>
      <c r="F78" s="10" t="e">
        <f>_xll.qlRateHelperQuoteName(D78)</f>
        <v>#VALUE!</v>
      </c>
      <c r="G78" s="195" t="e">
        <f>_xll.qlRateHelperRate(E78)-H78</f>
        <v>#VALUE!</v>
      </c>
      <c r="H78" s="9" t="e">
        <f>_xll.qlRateHelperRate($D78)</f>
        <v>#VALUE!</v>
      </c>
      <c r="I78" s="9" t="str">
        <f>IF(ISERROR(_xll.qlSwapRateHelperSpread($D78)),IF(ISERROR(_xll.qlFuturesRateHelperConvexityAdjustment($D78)),"--",_xll.qlFuturesRateHelperConvexityAdjustment($D78)),_xll.qlSwapRateHelperSpread($D78))</f>
        <v>--</v>
      </c>
      <c r="J78" s="8" t="e">
        <f>_xll.qlRateHelperEarliestDate($D78)</f>
        <v>#VALUE!</v>
      </c>
      <c r="K78" s="8" t="e">
        <f>_xll.qlRateHelperMaturityDate(E78)</f>
        <v>#VALUE!</v>
      </c>
      <c r="L78" s="7" t="e">
        <f>_xll.qlRateHelperPillarDate(E78)</f>
        <v>#VALUE!</v>
      </c>
      <c r="M78" s="78" t="e">
        <v>#N/A</v>
      </c>
      <c r="N78" s="1" t="e">
        <v>#N/A</v>
      </c>
    </row>
    <row r="79" spans="4:14" x14ac:dyDescent="0.2">
      <c r="D79" s="10" t="e">
        <v>#N/A</v>
      </c>
      <c r="E79" s="10" t="e">
        <v>#N/A</v>
      </c>
      <c r="F79" s="10" t="e">
        <f>_xll.qlRateHelperQuoteName(D79)</f>
        <v>#VALUE!</v>
      </c>
      <c r="G79" s="195" t="e">
        <f>_xll.qlRateHelperRate(E79)-H79</f>
        <v>#VALUE!</v>
      </c>
      <c r="H79" s="9" t="e">
        <f>_xll.qlRateHelperRate($D79)</f>
        <v>#VALUE!</v>
      </c>
      <c r="I79" s="9" t="str">
        <f>IF(ISERROR(_xll.qlSwapRateHelperSpread($D79)),IF(ISERROR(_xll.qlFuturesRateHelperConvexityAdjustment($D79)),"--",_xll.qlFuturesRateHelperConvexityAdjustment($D79)),_xll.qlSwapRateHelperSpread($D79))</f>
        <v>--</v>
      </c>
      <c r="J79" s="8" t="e">
        <f>_xll.qlRateHelperEarliestDate($D79)</f>
        <v>#VALUE!</v>
      </c>
      <c r="K79" s="8" t="e">
        <f>_xll.qlRateHelperMaturityDate(E79)</f>
        <v>#VALUE!</v>
      </c>
      <c r="L79" s="7" t="e">
        <f>_xll.qlRateHelperPillarDate(E79)</f>
        <v>#VALUE!</v>
      </c>
      <c r="M79" s="78" t="e">
        <v>#N/A</v>
      </c>
      <c r="N79" s="1" t="e">
        <v>#N/A</v>
      </c>
    </row>
    <row r="80" spans="4:14" x14ac:dyDescent="0.2">
      <c r="D80" s="10" t="e">
        <v>#N/A</v>
      </c>
      <c r="E80" s="10" t="e">
        <v>#N/A</v>
      </c>
      <c r="F80" s="10" t="e">
        <f>_xll.qlRateHelperQuoteName(D80)</f>
        <v>#VALUE!</v>
      </c>
      <c r="G80" s="195" t="e">
        <f>_xll.qlRateHelperRate(E80)-H80</f>
        <v>#VALUE!</v>
      </c>
      <c r="H80" s="9" t="e">
        <f>_xll.qlRateHelperRate($D80)</f>
        <v>#VALUE!</v>
      </c>
      <c r="I80" s="9" t="str">
        <f>IF(ISERROR(_xll.qlSwapRateHelperSpread($D80)),IF(ISERROR(_xll.qlFuturesRateHelperConvexityAdjustment($D80)),"--",_xll.qlFuturesRateHelperConvexityAdjustment($D80)),_xll.qlSwapRateHelperSpread($D80))</f>
        <v>--</v>
      </c>
      <c r="J80" s="8" t="e">
        <f>_xll.qlRateHelperEarliestDate($D80)</f>
        <v>#VALUE!</v>
      </c>
      <c r="K80" s="8" t="e">
        <f>_xll.qlRateHelperMaturityDate(E80)</f>
        <v>#VALUE!</v>
      </c>
      <c r="L80" s="7" t="e">
        <f>_xll.qlRateHelperPillarDate(E80)</f>
        <v>#VALUE!</v>
      </c>
      <c r="M80" s="78" t="e">
        <v>#N/A</v>
      </c>
      <c r="N80" s="1" t="e">
        <v>#N/A</v>
      </c>
    </row>
    <row r="81" spans="4:14" x14ac:dyDescent="0.2">
      <c r="D81" s="10" t="e">
        <v>#N/A</v>
      </c>
      <c r="E81" s="10" t="e">
        <v>#N/A</v>
      </c>
      <c r="F81" s="10" t="e">
        <f>_xll.qlRateHelperQuoteName(D81)</f>
        <v>#VALUE!</v>
      </c>
      <c r="G81" s="195" t="e">
        <f>_xll.qlRateHelperRate(E81)-H81</f>
        <v>#VALUE!</v>
      </c>
      <c r="H81" s="9" t="e">
        <f>_xll.qlRateHelperRate($D81)</f>
        <v>#VALUE!</v>
      </c>
      <c r="I81" s="9" t="str">
        <f>IF(ISERROR(_xll.qlSwapRateHelperSpread($D81)),IF(ISERROR(_xll.qlFuturesRateHelperConvexityAdjustment($D81)),"--",_xll.qlFuturesRateHelperConvexityAdjustment($D81)),_xll.qlSwapRateHelperSpread($D81))</f>
        <v>--</v>
      </c>
      <c r="J81" s="8" t="e">
        <f>_xll.qlRateHelperEarliestDate($D81)</f>
        <v>#VALUE!</v>
      </c>
      <c r="K81" s="8" t="e">
        <f>_xll.qlRateHelperMaturityDate(E81)</f>
        <v>#VALUE!</v>
      </c>
      <c r="L81" s="7" t="e">
        <f>_xll.qlRateHelperPillarDate(E81)</f>
        <v>#VALUE!</v>
      </c>
      <c r="M81" s="78" t="e">
        <v>#N/A</v>
      </c>
      <c r="N81" s="1" t="e">
        <v>#N/A</v>
      </c>
    </row>
    <row r="82" spans="4:14" x14ac:dyDescent="0.2">
      <c r="D82" s="10" t="e">
        <v>#N/A</v>
      </c>
      <c r="E82" s="10" t="e">
        <v>#N/A</v>
      </c>
      <c r="F82" s="10" t="e">
        <f>_xll.qlRateHelperQuoteName(D82)</f>
        <v>#VALUE!</v>
      </c>
      <c r="G82" s="195" t="e">
        <f>_xll.qlRateHelperRate(E82)-H82</f>
        <v>#VALUE!</v>
      </c>
      <c r="H82" s="9" t="e">
        <f>_xll.qlRateHelperRate($D82)</f>
        <v>#VALUE!</v>
      </c>
      <c r="I82" s="9" t="str">
        <f>IF(ISERROR(_xll.qlSwapRateHelperSpread($D82)),IF(ISERROR(_xll.qlFuturesRateHelperConvexityAdjustment($D82)),"--",_xll.qlFuturesRateHelperConvexityAdjustment($D82)),_xll.qlSwapRateHelperSpread($D82))</f>
        <v>--</v>
      </c>
      <c r="J82" s="8" t="e">
        <f>_xll.qlRateHelperEarliestDate($D82)</f>
        <v>#VALUE!</v>
      </c>
      <c r="K82" s="8" t="e">
        <f>_xll.qlRateHelperMaturityDate(E82)</f>
        <v>#VALUE!</v>
      </c>
      <c r="L82" s="7" t="e">
        <f>_xll.qlRateHelperPillarDate(E82)</f>
        <v>#VALUE!</v>
      </c>
      <c r="M82" s="78" t="e">
        <v>#N/A</v>
      </c>
      <c r="N82" s="1" t="e">
        <v>#N/A</v>
      </c>
    </row>
    <row r="83" spans="4:14" x14ac:dyDescent="0.2">
      <c r="D83" s="10" t="e">
        <v>#N/A</v>
      </c>
      <c r="E83" s="10" t="e">
        <v>#N/A</v>
      </c>
      <c r="F83" s="10" t="e">
        <f>_xll.qlRateHelperQuoteName(D83)</f>
        <v>#VALUE!</v>
      </c>
      <c r="G83" s="195" t="e">
        <f>_xll.qlRateHelperRate(E83)-H83</f>
        <v>#VALUE!</v>
      </c>
      <c r="H83" s="9" t="e">
        <f>_xll.qlRateHelperRate($D83)</f>
        <v>#VALUE!</v>
      </c>
      <c r="I83" s="9" t="str">
        <f>IF(ISERROR(_xll.qlSwapRateHelperSpread($D83)),IF(ISERROR(_xll.qlFuturesRateHelperConvexityAdjustment($D83)),"--",_xll.qlFuturesRateHelperConvexityAdjustment($D83)),_xll.qlSwapRateHelperSpread($D83))</f>
        <v>--</v>
      </c>
      <c r="J83" s="8" t="e">
        <f>_xll.qlRateHelperEarliestDate($D83)</f>
        <v>#VALUE!</v>
      </c>
      <c r="K83" s="8" t="e">
        <f>_xll.qlRateHelperMaturityDate(E83)</f>
        <v>#VALUE!</v>
      </c>
      <c r="L83" s="7" t="e">
        <f>_xll.qlRateHelperPillarDate(E83)</f>
        <v>#VALUE!</v>
      </c>
      <c r="M83" s="78" t="e">
        <v>#N/A</v>
      </c>
      <c r="N83" s="1" t="e">
        <v>#N/A</v>
      </c>
    </row>
    <row r="84" spans="4:14" x14ac:dyDescent="0.2">
      <c r="D84" s="10" t="e">
        <v>#N/A</v>
      </c>
      <c r="E84" s="10" t="e">
        <v>#N/A</v>
      </c>
      <c r="F84" s="10" t="e">
        <f>_xll.qlRateHelperQuoteName(D84)</f>
        <v>#VALUE!</v>
      </c>
      <c r="G84" s="195" t="e">
        <f>_xll.qlRateHelperRate(E84)-H84</f>
        <v>#VALUE!</v>
      </c>
      <c r="H84" s="9" t="e">
        <f>_xll.qlRateHelperRate($D84)</f>
        <v>#VALUE!</v>
      </c>
      <c r="I84" s="9" t="str">
        <f>IF(ISERROR(_xll.qlSwapRateHelperSpread($D84)),IF(ISERROR(_xll.qlFuturesRateHelperConvexityAdjustment($D84)),"--",_xll.qlFuturesRateHelperConvexityAdjustment($D84)),_xll.qlSwapRateHelperSpread($D84))</f>
        <v>--</v>
      </c>
      <c r="J84" s="8" t="e">
        <f>_xll.qlRateHelperEarliestDate($D84)</f>
        <v>#VALUE!</v>
      </c>
      <c r="K84" s="8" t="e">
        <f>_xll.qlRateHelperMaturityDate(E84)</f>
        <v>#VALUE!</v>
      </c>
      <c r="L84" s="7" t="e">
        <f>_xll.qlRateHelperPillarDate(E84)</f>
        <v>#VALUE!</v>
      </c>
      <c r="M84" s="78" t="e">
        <v>#N/A</v>
      </c>
      <c r="N84" s="1" t="e">
        <v>#N/A</v>
      </c>
    </row>
    <row r="85" spans="4:14" x14ac:dyDescent="0.2">
      <c r="D85" s="10" t="e">
        <v>#N/A</v>
      </c>
      <c r="E85" s="10" t="e">
        <v>#N/A</v>
      </c>
      <c r="F85" s="10" t="e">
        <f>_xll.qlRateHelperQuoteName(D85)</f>
        <v>#VALUE!</v>
      </c>
      <c r="G85" s="195" t="e">
        <f>_xll.qlRateHelperRate(E85)-H85</f>
        <v>#VALUE!</v>
      </c>
      <c r="H85" s="9" t="e">
        <f>_xll.qlRateHelperRate($D85)</f>
        <v>#VALUE!</v>
      </c>
      <c r="I85" s="9" t="str">
        <f>IF(ISERROR(_xll.qlSwapRateHelperSpread($D85)),IF(ISERROR(_xll.qlFuturesRateHelperConvexityAdjustment($D85)),"--",_xll.qlFuturesRateHelperConvexityAdjustment($D85)),_xll.qlSwapRateHelperSpread($D85))</f>
        <v>--</v>
      </c>
      <c r="J85" s="8" t="e">
        <f>_xll.qlRateHelperEarliestDate($D85)</f>
        <v>#VALUE!</v>
      </c>
      <c r="K85" s="8" t="e">
        <f>_xll.qlRateHelperMaturityDate(E85)</f>
        <v>#VALUE!</v>
      </c>
      <c r="L85" s="7" t="e">
        <f>_xll.qlRateHelperPillarDate(E85)</f>
        <v>#VALUE!</v>
      </c>
      <c r="M85" s="78" t="e">
        <v>#N/A</v>
      </c>
      <c r="N85" s="1" t="e">
        <v>#N/A</v>
      </c>
    </row>
    <row r="86" spans="4:14" x14ac:dyDescent="0.2">
      <c r="D86" s="10" t="e">
        <v>#N/A</v>
      </c>
      <c r="E86" s="10" t="e">
        <v>#N/A</v>
      </c>
      <c r="F86" s="10" t="e">
        <f>_xll.qlRateHelperQuoteName(D86)</f>
        <v>#VALUE!</v>
      </c>
      <c r="G86" s="195" t="e">
        <f>_xll.qlRateHelperRate(E86)-H86</f>
        <v>#VALUE!</v>
      </c>
      <c r="H86" s="9" t="e">
        <f>_xll.qlRateHelperRate($D86)</f>
        <v>#VALUE!</v>
      </c>
      <c r="I86" s="9" t="str">
        <f>IF(ISERROR(_xll.qlSwapRateHelperSpread($D86)),IF(ISERROR(_xll.qlFuturesRateHelperConvexityAdjustment($D86)),"--",_xll.qlFuturesRateHelperConvexityAdjustment($D86)),_xll.qlSwapRateHelperSpread($D86))</f>
        <v>--</v>
      </c>
      <c r="J86" s="8" t="e">
        <f>_xll.qlRateHelperEarliestDate($D86)</f>
        <v>#VALUE!</v>
      </c>
      <c r="K86" s="8" t="e">
        <f>_xll.qlRateHelperMaturityDate(E86)</f>
        <v>#VALUE!</v>
      </c>
      <c r="L86" s="7" t="e">
        <f>_xll.qlRateHelperPillarDate(E86)</f>
        <v>#VALUE!</v>
      </c>
      <c r="M86" s="78" t="e">
        <v>#N/A</v>
      </c>
      <c r="N86" s="1" t="e">
        <v>#N/A</v>
      </c>
    </row>
    <row r="87" spans="4:14" x14ac:dyDescent="0.2">
      <c r="D87" s="10" t="e">
        <v>#N/A</v>
      </c>
      <c r="E87" s="10" t="e">
        <v>#N/A</v>
      </c>
      <c r="F87" s="10" t="e">
        <f>_xll.qlRateHelperQuoteName(D87)</f>
        <v>#VALUE!</v>
      </c>
      <c r="G87" s="195" t="e">
        <f>_xll.qlRateHelperRate(E87)-H87</f>
        <v>#VALUE!</v>
      </c>
      <c r="H87" s="9" t="e">
        <f>_xll.qlRateHelperRate($D87)</f>
        <v>#VALUE!</v>
      </c>
      <c r="I87" s="9" t="str">
        <f>IF(ISERROR(_xll.qlSwapRateHelperSpread($D87)),IF(ISERROR(_xll.qlFuturesRateHelperConvexityAdjustment($D87)),"--",_xll.qlFuturesRateHelperConvexityAdjustment($D87)),_xll.qlSwapRateHelperSpread($D87))</f>
        <v>--</v>
      </c>
      <c r="J87" s="8" t="e">
        <f>_xll.qlRateHelperEarliestDate($D87)</f>
        <v>#VALUE!</v>
      </c>
      <c r="K87" s="8" t="e">
        <f>_xll.qlRateHelperMaturityDate(E87)</f>
        <v>#VALUE!</v>
      </c>
      <c r="L87" s="7" t="e">
        <f>_xll.qlRateHelperPillarDate(E87)</f>
        <v>#VALUE!</v>
      </c>
      <c r="M87" s="78" t="e">
        <v>#N/A</v>
      </c>
      <c r="N87" s="1" t="e">
        <v>#N/A</v>
      </c>
    </row>
    <row r="88" spans="4:14" x14ac:dyDescent="0.2">
      <c r="D88" s="10" t="e">
        <v>#N/A</v>
      </c>
      <c r="E88" s="10" t="e">
        <v>#N/A</v>
      </c>
      <c r="F88" s="10" t="e">
        <f>_xll.qlRateHelperQuoteName(D88)</f>
        <v>#VALUE!</v>
      </c>
      <c r="G88" s="195" t="e">
        <f>_xll.qlRateHelperRate(E88)-H88</f>
        <v>#VALUE!</v>
      </c>
      <c r="H88" s="9" t="e">
        <f>_xll.qlRateHelperRate($D88)</f>
        <v>#VALUE!</v>
      </c>
      <c r="I88" s="9" t="str">
        <f>IF(ISERROR(_xll.qlSwapRateHelperSpread($D88)),IF(ISERROR(_xll.qlFuturesRateHelperConvexityAdjustment($D88)),"--",_xll.qlFuturesRateHelperConvexityAdjustment($D88)),_xll.qlSwapRateHelperSpread($D88))</f>
        <v>--</v>
      </c>
      <c r="J88" s="8" t="e">
        <f>_xll.qlRateHelperEarliestDate($D88)</f>
        <v>#VALUE!</v>
      </c>
      <c r="K88" s="8" t="e">
        <f>_xll.qlRateHelperMaturityDate(E88)</f>
        <v>#VALUE!</v>
      </c>
      <c r="L88" s="7" t="e">
        <f>_xll.qlRateHelperPillarDate(E88)</f>
        <v>#VALUE!</v>
      </c>
      <c r="M88" s="78" t="e">
        <v>#N/A</v>
      </c>
      <c r="N88" s="1" t="e">
        <v>#N/A</v>
      </c>
    </row>
    <row r="89" spans="4:14" x14ac:dyDescent="0.2">
      <c r="D89" s="10" t="e">
        <v>#N/A</v>
      </c>
      <c r="E89" s="10" t="e">
        <v>#N/A</v>
      </c>
      <c r="F89" s="10" t="e">
        <f>_xll.qlRateHelperQuoteName(D89)</f>
        <v>#VALUE!</v>
      </c>
      <c r="G89" s="195" t="e">
        <f>_xll.qlRateHelperRate(E89)-H89</f>
        <v>#VALUE!</v>
      </c>
      <c r="H89" s="9" t="e">
        <f>_xll.qlRateHelperRate($D89)</f>
        <v>#VALUE!</v>
      </c>
      <c r="I89" s="9" t="str">
        <f>IF(ISERROR(_xll.qlSwapRateHelperSpread($D89)),IF(ISERROR(_xll.qlFuturesRateHelperConvexityAdjustment($D89)),"--",_xll.qlFuturesRateHelperConvexityAdjustment($D89)),_xll.qlSwapRateHelperSpread($D89))</f>
        <v>--</v>
      </c>
      <c r="J89" s="8" t="e">
        <f>_xll.qlRateHelperEarliestDate($D89)</f>
        <v>#VALUE!</v>
      </c>
      <c r="K89" s="8" t="e">
        <f>_xll.qlRateHelperMaturityDate(E89)</f>
        <v>#VALUE!</v>
      </c>
      <c r="L89" s="7" t="e">
        <f>_xll.qlRateHelperPillarDate(E89)</f>
        <v>#VALUE!</v>
      </c>
      <c r="M89" s="78" t="e">
        <v>#N/A</v>
      </c>
      <c r="N89" s="1" t="e">
        <v>#N/A</v>
      </c>
    </row>
    <row r="90" spans="4:14" x14ac:dyDescent="0.2">
      <c r="D90" s="10" t="e">
        <v>#N/A</v>
      </c>
      <c r="E90" s="10" t="e">
        <v>#N/A</v>
      </c>
      <c r="F90" s="10" t="e">
        <f>_xll.qlRateHelperQuoteName(D90)</f>
        <v>#VALUE!</v>
      </c>
      <c r="G90" s="195" t="e">
        <f>_xll.qlRateHelperRate(E90)-H90</f>
        <v>#VALUE!</v>
      </c>
      <c r="H90" s="9" t="e">
        <f>_xll.qlRateHelperRate($D90)</f>
        <v>#VALUE!</v>
      </c>
      <c r="I90" s="9" t="str">
        <f>IF(ISERROR(_xll.qlSwapRateHelperSpread($D90)),IF(ISERROR(_xll.qlFuturesRateHelperConvexityAdjustment($D90)),"--",_xll.qlFuturesRateHelperConvexityAdjustment($D90)),_xll.qlSwapRateHelperSpread($D90))</f>
        <v>--</v>
      </c>
      <c r="J90" s="8" t="e">
        <f>_xll.qlRateHelperEarliestDate($D90)</f>
        <v>#VALUE!</v>
      </c>
      <c r="K90" s="8" t="e">
        <f>_xll.qlRateHelperMaturityDate(E90)</f>
        <v>#VALUE!</v>
      </c>
      <c r="L90" s="7" t="e">
        <f>_xll.qlRateHelperPillarDate(E90)</f>
        <v>#VALUE!</v>
      </c>
      <c r="M90" s="78" t="e">
        <v>#N/A</v>
      </c>
      <c r="N90" s="1" t="e">
        <v>#N/A</v>
      </c>
    </row>
    <row r="91" spans="4:14" x14ac:dyDescent="0.2">
      <c r="D91" s="10" t="e">
        <v>#N/A</v>
      </c>
      <c r="E91" s="10" t="e">
        <v>#N/A</v>
      </c>
      <c r="F91" s="10" t="e">
        <f>_xll.qlRateHelperQuoteName(D91)</f>
        <v>#VALUE!</v>
      </c>
      <c r="G91" s="195" t="e">
        <f>_xll.qlRateHelperRate(E91)-H91</f>
        <v>#VALUE!</v>
      </c>
      <c r="H91" s="9" t="e">
        <f>_xll.qlRateHelperRate($D91)</f>
        <v>#VALUE!</v>
      </c>
      <c r="I91" s="9" t="str">
        <f>IF(ISERROR(_xll.qlSwapRateHelperSpread($D91)),IF(ISERROR(_xll.qlFuturesRateHelperConvexityAdjustment($D91)),"--",_xll.qlFuturesRateHelperConvexityAdjustment($D91)),_xll.qlSwapRateHelperSpread($D91))</f>
        <v>--</v>
      </c>
      <c r="J91" s="8" t="e">
        <f>_xll.qlRateHelperEarliestDate($D91)</f>
        <v>#VALUE!</v>
      </c>
      <c r="K91" s="8" t="e">
        <f>_xll.qlRateHelperMaturityDate(E91)</f>
        <v>#VALUE!</v>
      </c>
      <c r="L91" s="7" t="e">
        <f>_xll.qlRateHelperPillarDate(E91)</f>
        <v>#VALUE!</v>
      </c>
      <c r="M91" s="78" t="e">
        <v>#N/A</v>
      </c>
      <c r="N91" s="1" t="e">
        <v>#N/A</v>
      </c>
    </row>
    <row r="92" spans="4:14" x14ac:dyDescent="0.2">
      <c r="D92" s="10" t="e">
        <v>#N/A</v>
      </c>
      <c r="E92" s="10" t="e">
        <v>#N/A</v>
      </c>
      <c r="F92" s="10" t="e">
        <f>_xll.qlRateHelperQuoteName(D92)</f>
        <v>#VALUE!</v>
      </c>
      <c r="G92" s="195" t="e">
        <f>_xll.qlRateHelperRate(E92)-H92</f>
        <v>#VALUE!</v>
      </c>
      <c r="H92" s="9" t="e">
        <f>_xll.qlRateHelperRate($D92)</f>
        <v>#VALUE!</v>
      </c>
      <c r="I92" s="9" t="str">
        <f>IF(ISERROR(_xll.qlSwapRateHelperSpread($D92)),IF(ISERROR(_xll.qlFuturesRateHelperConvexityAdjustment($D92)),"--",_xll.qlFuturesRateHelperConvexityAdjustment($D92)),_xll.qlSwapRateHelperSpread($D92))</f>
        <v>--</v>
      </c>
      <c r="J92" s="8" t="e">
        <f>_xll.qlRateHelperEarliestDate($D92)</f>
        <v>#VALUE!</v>
      </c>
      <c r="K92" s="8" t="e">
        <f>_xll.qlRateHelperMaturityDate(E92)</f>
        <v>#VALUE!</v>
      </c>
      <c r="L92" s="7" t="e">
        <f>_xll.qlRateHelperPillarDate(E92)</f>
        <v>#VALUE!</v>
      </c>
      <c r="M92" s="78" t="e">
        <v>#N/A</v>
      </c>
      <c r="N92" s="1" t="e">
        <v>#N/A</v>
      </c>
    </row>
    <row r="93" spans="4:14" x14ac:dyDescent="0.2">
      <c r="D93" s="10" t="e">
        <v>#N/A</v>
      </c>
      <c r="E93" s="10" t="e">
        <v>#N/A</v>
      </c>
      <c r="F93" s="10" t="e">
        <f>_xll.qlRateHelperQuoteName(D93)</f>
        <v>#VALUE!</v>
      </c>
      <c r="G93" s="195" t="e">
        <f>_xll.qlRateHelperRate(E93)-H93</f>
        <v>#VALUE!</v>
      </c>
      <c r="H93" s="9" t="e">
        <f>_xll.qlRateHelperRate($D93)</f>
        <v>#VALUE!</v>
      </c>
      <c r="I93" s="9" t="str">
        <f>IF(ISERROR(_xll.qlSwapRateHelperSpread($D93)),IF(ISERROR(_xll.qlFuturesRateHelperConvexityAdjustment($D93)),"--",_xll.qlFuturesRateHelperConvexityAdjustment($D93)),_xll.qlSwapRateHelperSpread($D93))</f>
        <v>--</v>
      </c>
      <c r="J93" s="8" t="e">
        <f>_xll.qlRateHelperEarliestDate($D93)</f>
        <v>#VALUE!</v>
      </c>
      <c r="K93" s="8" t="e">
        <f>_xll.qlRateHelperMaturityDate(E93)</f>
        <v>#VALUE!</v>
      </c>
      <c r="L93" s="7" t="e">
        <f>_xll.qlRateHelperPillarDate(E93)</f>
        <v>#VALUE!</v>
      </c>
      <c r="M93" s="78" t="e">
        <v>#N/A</v>
      </c>
      <c r="N93" s="1" t="e">
        <v>#N/A</v>
      </c>
    </row>
    <row r="94" spans="4:14" x14ac:dyDescent="0.2">
      <c r="D94" s="10" t="e">
        <v>#N/A</v>
      </c>
      <c r="E94" s="10" t="e">
        <v>#N/A</v>
      </c>
      <c r="F94" s="10" t="e">
        <f>_xll.qlRateHelperQuoteName(D94)</f>
        <v>#VALUE!</v>
      </c>
      <c r="G94" s="195" t="e">
        <f>_xll.qlRateHelperRate(E94)-H94</f>
        <v>#VALUE!</v>
      </c>
      <c r="H94" s="9" t="e">
        <f>_xll.qlRateHelperRate($D94)</f>
        <v>#VALUE!</v>
      </c>
      <c r="I94" s="9" t="str">
        <f>IF(ISERROR(_xll.qlSwapRateHelperSpread($D94)),IF(ISERROR(_xll.qlFuturesRateHelperConvexityAdjustment($D94)),"--",_xll.qlFuturesRateHelperConvexityAdjustment($D94)),_xll.qlSwapRateHelperSpread($D94))</f>
        <v>--</v>
      </c>
      <c r="J94" s="8" t="e">
        <f>_xll.qlRateHelperEarliestDate($D94)</f>
        <v>#VALUE!</v>
      </c>
      <c r="K94" s="8" t="e">
        <f>_xll.qlRateHelperMaturityDate(E94)</f>
        <v>#VALUE!</v>
      </c>
      <c r="L94" s="7" t="e">
        <f>_xll.qlRateHelperPillarDate(E94)</f>
        <v>#VALUE!</v>
      </c>
      <c r="M94" s="78" t="e">
        <v>#N/A</v>
      </c>
      <c r="N94" s="1" t="e">
        <v>#N/A</v>
      </c>
    </row>
    <row r="95" spans="4:14" x14ac:dyDescent="0.2">
      <c r="D95" s="10" t="e">
        <v>#N/A</v>
      </c>
      <c r="E95" s="10" t="e">
        <v>#N/A</v>
      </c>
      <c r="F95" s="10" t="e">
        <f>_xll.qlRateHelperQuoteName(D95)</f>
        <v>#VALUE!</v>
      </c>
      <c r="G95" s="195" t="e">
        <f>_xll.qlRateHelperRate(E95)-H95</f>
        <v>#VALUE!</v>
      </c>
      <c r="H95" s="9" t="e">
        <f>_xll.qlRateHelperRate($D95)</f>
        <v>#VALUE!</v>
      </c>
      <c r="I95" s="9" t="str">
        <f>IF(ISERROR(_xll.qlSwapRateHelperSpread($D95)),IF(ISERROR(_xll.qlFuturesRateHelperConvexityAdjustment($D95)),"--",_xll.qlFuturesRateHelperConvexityAdjustment($D95)),_xll.qlSwapRateHelperSpread($D95))</f>
        <v>--</v>
      </c>
      <c r="J95" s="8" t="e">
        <f>_xll.qlRateHelperEarliestDate($D95)</f>
        <v>#VALUE!</v>
      </c>
      <c r="K95" s="8" t="e">
        <f>_xll.qlRateHelperMaturityDate(E95)</f>
        <v>#VALUE!</v>
      </c>
      <c r="L95" s="7" t="e">
        <f>_xll.qlRateHelperPillarDate(E95)</f>
        <v>#VALUE!</v>
      </c>
      <c r="M95" s="78" t="e">
        <v>#N/A</v>
      </c>
      <c r="N95" s="1" t="e">
        <v>#N/A</v>
      </c>
    </row>
    <row r="96" spans="4:14" x14ac:dyDescent="0.2">
      <c r="D96" s="10" t="e">
        <v>#N/A</v>
      </c>
      <c r="E96" s="10" t="e">
        <v>#N/A</v>
      </c>
      <c r="F96" s="10" t="e">
        <f>_xll.qlRateHelperQuoteName(D96)</f>
        <v>#VALUE!</v>
      </c>
      <c r="G96" s="195" t="e">
        <f>_xll.qlRateHelperRate(E96)-H96</f>
        <v>#VALUE!</v>
      </c>
      <c r="H96" s="9" t="e">
        <f>_xll.qlRateHelperRate($D96)</f>
        <v>#VALUE!</v>
      </c>
      <c r="I96" s="9" t="str">
        <f>IF(ISERROR(_xll.qlSwapRateHelperSpread($D96)),IF(ISERROR(_xll.qlFuturesRateHelperConvexityAdjustment($D96)),"--",_xll.qlFuturesRateHelperConvexityAdjustment($D96)),_xll.qlSwapRateHelperSpread($D96))</f>
        <v>--</v>
      </c>
      <c r="J96" s="8" t="e">
        <f>_xll.qlRateHelperEarliestDate($D96)</f>
        <v>#VALUE!</v>
      </c>
      <c r="K96" s="8" t="e">
        <f>_xll.qlRateHelperMaturityDate(E96)</f>
        <v>#VALUE!</v>
      </c>
      <c r="L96" s="7" t="e">
        <f>_xll.qlRateHelperPillarDate(E96)</f>
        <v>#VALUE!</v>
      </c>
      <c r="M96" s="78" t="e">
        <v>#N/A</v>
      </c>
      <c r="N96" s="1" t="e">
        <v>#N/A</v>
      </c>
    </row>
    <row r="97" spans="4:14" x14ac:dyDescent="0.2">
      <c r="D97" s="10" t="e">
        <v>#N/A</v>
      </c>
      <c r="E97" s="10" t="e">
        <v>#N/A</v>
      </c>
      <c r="F97" s="10" t="e">
        <f>_xll.qlRateHelperQuoteName(D97)</f>
        <v>#VALUE!</v>
      </c>
      <c r="G97" s="195" t="e">
        <f>_xll.qlRateHelperRate(E97)-H97</f>
        <v>#VALUE!</v>
      </c>
      <c r="H97" s="9" t="e">
        <f>_xll.qlRateHelperRate($D97)</f>
        <v>#VALUE!</v>
      </c>
      <c r="I97" s="9" t="str">
        <f>IF(ISERROR(_xll.qlSwapRateHelperSpread($D97)),IF(ISERROR(_xll.qlFuturesRateHelperConvexityAdjustment($D97)),"--",_xll.qlFuturesRateHelperConvexityAdjustment($D97)),_xll.qlSwapRateHelperSpread($D97))</f>
        <v>--</v>
      </c>
      <c r="J97" s="8" t="e">
        <f>_xll.qlRateHelperEarliestDate($D97)</f>
        <v>#VALUE!</v>
      </c>
      <c r="K97" s="8" t="e">
        <f>_xll.qlRateHelperMaturityDate(E97)</f>
        <v>#VALUE!</v>
      </c>
      <c r="L97" s="7" t="e">
        <f>_xll.qlRateHelperPillarDate(E97)</f>
        <v>#VALUE!</v>
      </c>
      <c r="M97" s="78" t="e">
        <v>#N/A</v>
      </c>
      <c r="N97" s="1" t="e">
        <v>#N/A</v>
      </c>
    </row>
    <row r="98" spans="4:14" x14ac:dyDescent="0.2">
      <c r="D98" s="10" t="e">
        <v>#N/A</v>
      </c>
      <c r="E98" s="10" t="e">
        <v>#N/A</v>
      </c>
      <c r="F98" s="10" t="e">
        <f>_xll.qlRateHelperQuoteName(D98)</f>
        <v>#VALUE!</v>
      </c>
      <c r="G98" s="195" t="e">
        <f>_xll.qlRateHelperRate(E98)-H98</f>
        <v>#VALUE!</v>
      </c>
      <c r="H98" s="9" t="e">
        <f>_xll.qlRateHelperRate($D98)</f>
        <v>#VALUE!</v>
      </c>
      <c r="I98" s="9" t="str">
        <f>IF(ISERROR(_xll.qlSwapRateHelperSpread($D98)),IF(ISERROR(_xll.qlFuturesRateHelperConvexityAdjustment($D98)),"--",_xll.qlFuturesRateHelperConvexityAdjustment($D98)),_xll.qlSwapRateHelperSpread($D98))</f>
        <v>--</v>
      </c>
      <c r="J98" s="8" t="e">
        <f>_xll.qlRateHelperEarliestDate($D98)</f>
        <v>#VALUE!</v>
      </c>
      <c r="K98" s="8" t="e">
        <f>_xll.qlRateHelperMaturityDate(E98)</f>
        <v>#VALUE!</v>
      </c>
      <c r="L98" s="7" t="e">
        <f>_xll.qlRateHelperPillarDate(E98)</f>
        <v>#VALUE!</v>
      </c>
      <c r="M98" s="78" t="e">
        <v>#N/A</v>
      </c>
      <c r="N98" s="1" t="e">
        <v>#N/A</v>
      </c>
    </row>
    <row r="99" spans="4:14" x14ac:dyDescent="0.2">
      <c r="D99" s="10" t="e">
        <v>#N/A</v>
      </c>
      <c r="E99" s="10" t="e">
        <v>#N/A</v>
      </c>
      <c r="F99" s="10" t="e">
        <f>_xll.qlRateHelperQuoteName(D99)</f>
        <v>#VALUE!</v>
      </c>
      <c r="G99" s="195" t="e">
        <f>_xll.qlRateHelperRate(E99)-H99</f>
        <v>#VALUE!</v>
      </c>
      <c r="H99" s="9" t="e">
        <f>_xll.qlRateHelperRate($D99)</f>
        <v>#VALUE!</v>
      </c>
      <c r="I99" s="9" t="str">
        <f>IF(ISERROR(_xll.qlSwapRateHelperSpread($D99)),IF(ISERROR(_xll.qlFuturesRateHelperConvexityAdjustment($D99)),"--",_xll.qlFuturesRateHelperConvexityAdjustment($D99)),_xll.qlSwapRateHelperSpread($D99))</f>
        <v>--</v>
      </c>
      <c r="J99" s="8" t="e">
        <f>_xll.qlRateHelperEarliestDate($D99)</f>
        <v>#VALUE!</v>
      </c>
      <c r="K99" s="8" t="e">
        <f>_xll.qlRateHelperMaturityDate(E99)</f>
        <v>#VALUE!</v>
      </c>
      <c r="L99" s="7" t="e">
        <f>_xll.qlRateHelperPillarDate(E99)</f>
        <v>#VALUE!</v>
      </c>
      <c r="M99" s="78" t="e">
        <v>#N/A</v>
      </c>
      <c r="N99" s="1" t="e">
        <v>#N/A</v>
      </c>
    </row>
    <row r="100" spans="4:14" x14ac:dyDescent="0.2">
      <c r="D100" s="10" t="e">
        <v>#N/A</v>
      </c>
      <c r="E100" s="10" t="e">
        <v>#N/A</v>
      </c>
      <c r="F100" s="10" t="e">
        <f>_xll.qlRateHelperQuoteName(D100)</f>
        <v>#VALUE!</v>
      </c>
      <c r="G100" s="195" t="e">
        <f>_xll.qlRateHelperRate(E100)-H100</f>
        <v>#VALUE!</v>
      </c>
      <c r="H100" s="9" t="e">
        <f>_xll.qlRateHelperRate($D100)</f>
        <v>#VALUE!</v>
      </c>
      <c r="I100" s="9" t="str">
        <f>IF(ISERROR(_xll.qlSwapRateHelperSpread($D100)),IF(ISERROR(_xll.qlFuturesRateHelperConvexityAdjustment($D100)),"--",_xll.qlFuturesRateHelperConvexityAdjustment($D100)),_xll.qlSwapRateHelperSpread($D100))</f>
        <v>--</v>
      </c>
      <c r="J100" s="8" t="e">
        <f>_xll.qlRateHelperEarliestDate($D100)</f>
        <v>#VALUE!</v>
      </c>
      <c r="K100" s="8" t="e">
        <f>_xll.qlRateHelperMaturityDate(E100)</f>
        <v>#VALUE!</v>
      </c>
      <c r="L100" s="7" t="e">
        <f>_xll.qlRateHelperPillarDate(E100)</f>
        <v>#VALUE!</v>
      </c>
      <c r="M100" s="78" t="e">
        <v>#N/A</v>
      </c>
      <c r="N100" s="1" t="e">
        <v>#N/A</v>
      </c>
    </row>
    <row r="101" spans="4:14" x14ac:dyDescent="0.2">
      <c r="D101" s="10" t="e">
        <v>#N/A</v>
      </c>
      <c r="E101" s="10" t="e">
        <v>#N/A</v>
      </c>
      <c r="F101" s="10" t="e">
        <f>_xll.qlRateHelperQuoteName(D101)</f>
        <v>#VALUE!</v>
      </c>
      <c r="G101" s="195" t="e">
        <f>_xll.qlRateHelperRate(E101)-H101</f>
        <v>#VALUE!</v>
      </c>
      <c r="H101" s="9" t="e">
        <f>_xll.qlRateHelperRate($D101)</f>
        <v>#VALUE!</v>
      </c>
      <c r="I101" s="9" t="str">
        <f>IF(ISERROR(_xll.qlSwapRateHelperSpread($D101)),IF(ISERROR(_xll.qlFuturesRateHelperConvexityAdjustment($D101)),"--",_xll.qlFuturesRateHelperConvexityAdjustment($D101)),_xll.qlSwapRateHelperSpread($D101))</f>
        <v>--</v>
      </c>
      <c r="J101" s="8" t="e">
        <f>_xll.qlRateHelperEarliestDate($D101)</f>
        <v>#VALUE!</v>
      </c>
      <c r="K101" s="8" t="e">
        <f>_xll.qlRateHelperMaturityDate(E101)</f>
        <v>#VALUE!</v>
      </c>
      <c r="L101" s="7" t="e">
        <f>_xll.qlRateHelperPillarDate(E101)</f>
        <v>#VALUE!</v>
      </c>
      <c r="M101" s="78" t="e">
        <v>#N/A</v>
      </c>
      <c r="N101" s="1" t="e">
        <v>#N/A</v>
      </c>
    </row>
    <row r="102" spans="4:14" x14ac:dyDescent="0.2">
      <c r="D102" s="10" t="e">
        <v>#N/A</v>
      </c>
      <c r="E102" s="10" t="e">
        <v>#N/A</v>
      </c>
      <c r="F102" s="10" t="e">
        <f>_xll.qlRateHelperQuoteName(D102)</f>
        <v>#VALUE!</v>
      </c>
      <c r="G102" s="195" t="e">
        <f>_xll.qlRateHelperRate(E102)-H102</f>
        <v>#VALUE!</v>
      </c>
      <c r="H102" s="9" t="e">
        <f>_xll.qlRateHelperRate($D102)</f>
        <v>#VALUE!</v>
      </c>
      <c r="I102" s="9" t="str">
        <f>IF(ISERROR(_xll.qlSwapRateHelperSpread($D102)),IF(ISERROR(_xll.qlFuturesRateHelperConvexityAdjustment($D102)),"--",_xll.qlFuturesRateHelperConvexityAdjustment($D102)),_xll.qlSwapRateHelperSpread($D102))</f>
        <v>--</v>
      </c>
      <c r="J102" s="8" t="e">
        <f>_xll.qlRateHelperEarliestDate($D102)</f>
        <v>#VALUE!</v>
      </c>
      <c r="K102" s="8" t="e">
        <f>_xll.qlRateHelperMaturityDate(E102)</f>
        <v>#VALUE!</v>
      </c>
      <c r="L102" s="7" t="e">
        <f>_xll.qlRateHelperPillarDate(E102)</f>
        <v>#VALUE!</v>
      </c>
      <c r="M102" s="78" t="e">
        <v>#N/A</v>
      </c>
      <c r="N102" s="1" t="e">
        <v>#N/A</v>
      </c>
    </row>
    <row r="103" spans="4:14" x14ac:dyDescent="0.2">
      <c r="D103" s="10" t="e">
        <v>#N/A</v>
      </c>
      <c r="E103" s="10" t="e">
        <v>#N/A</v>
      </c>
      <c r="F103" s="10" t="e">
        <f>_xll.qlRateHelperQuoteName(D103)</f>
        <v>#VALUE!</v>
      </c>
      <c r="G103" s="195" t="e">
        <f>_xll.qlRateHelperRate(E103)-H103</f>
        <v>#VALUE!</v>
      </c>
      <c r="H103" s="9" t="e">
        <f>_xll.qlRateHelperRate($D103)</f>
        <v>#VALUE!</v>
      </c>
      <c r="I103" s="9" t="str">
        <f>IF(ISERROR(_xll.qlSwapRateHelperSpread($D103)),IF(ISERROR(_xll.qlFuturesRateHelperConvexityAdjustment($D103)),"--",_xll.qlFuturesRateHelperConvexityAdjustment($D103)),_xll.qlSwapRateHelperSpread($D103))</f>
        <v>--</v>
      </c>
      <c r="J103" s="8" t="e">
        <f>_xll.qlRateHelperEarliestDate($D103)</f>
        <v>#VALUE!</v>
      </c>
      <c r="K103" s="8" t="e">
        <f>_xll.qlRateHelperMaturityDate(E103)</f>
        <v>#VALUE!</v>
      </c>
      <c r="L103" s="7" t="e">
        <f>_xll.qlRateHelperPillarDate(E103)</f>
        <v>#VALUE!</v>
      </c>
      <c r="M103" s="78" t="e">
        <v>#N/A</v>
      </c>
      <c r="N103" s="1" t="e">
        <v>#N/A</v>
      </c>
    </row>
    <row r="104" spans="4:14" x14ac:dyDescent="0.2">
      <c r="D104" s="10" t="e">
        <v>#N/A</v>
      </c>
      <c r="E104" s="10" t="e">
        <v>#N/A</v>
      </c>
      <c r="F104" s="10" t="e">
        <f>_xll.qlRateHelperQuoteName(D104)</f>
        <v>#VALUE!</v>
      </c>
      <c r="G104" s="195" t="e">
        <f>_xll.qlRateHelperRate(E104)-H104</f>
        <v>#VALUE!</v>
      </c>
      <c r="H104" s="9" t="e">
        <f>_xll.qlRateHelperRate($D104)</f>
        <v>#VALUE!</v>
      </c>
      <c r="I104" s="9" t="str">
        <f>IF(ISERROR(_xll.qlSwapRateHelperSpread($D104)),IF(ISERROR(_xll.qlFuturesRateHelperConvexityAdjustment($D104)),"--",_xll.qlFuturesRateHelperConvexityAdjustment($D104)),_xll.qlSwapRateHelperSpread($D104))</f>
        <v>--</v>
      </c>
      <c r="J104" s="8" t="e">
        <f>_xll.qlRateHelperEarliestDate($D104)</f>
        <v>#VALUE!</v>
      </c>
      <c r="K104" s="8" t="e">
        <f>_xll.qlRateHelperMaturityDate(E104)</f>
        <v>#VALUE!</v>
      </c>
      <c r="L104" s="7" t="e">
        <f>_xll.qlRateHelperPillarDate(E104)</f>
        <v>#VALUE!</v>
      </c>
      <c r="M104" s="78" t="e">
        <v>#N/A</v>
      </c>
      <c r="N104" s="1" t="e">
        <v>#N/A</v>
      </c>
    </row>
    <row r="105" spans="4:14" x14ac:dyDescent="0.2">
      <c r="D105" s="10" t="e">
        <v>#N/A</v>
      </c>
      <c r="E105" s="10" t="e">
        <v>#N/A</v>
      </c>
      <c r="F105" s="10" t="e">
        <f>_xll.qlRateHelperQuoteName(D105)</f>
        <v>#VALUE!</v>
      </c>
      <c r="G105" s="195" t="e">
        <f>_xll.qlRateHelperRate(E105)-H105</f>
        <v>#VALUE!</v>
      </c>
      <c r="H105" s="9" t="e">
        <f>_xll.qlRateHelperRate($D105)</f>
        <v>#VALUE!</v>
      </c>
      <c r="I105" s="9" t="str">
        <f>IF(ISERROR(_xll.qlSwapRateHelperSpread($D105)),IF(ISERROR(_xll.qlFuturesRateHelperConvexityAdjustment($D105)),"--",_xll.qlFuturesRateHelperConvexityAdjustment($D105)),_xll.qlSwapRateHelperSpread($D105))</f>
        <v>--</v>
      </c>
      <c r="J105" s="8" t="e">
        <f>_xll.qlRateHelperEarliestDate($D105)</f>
        <v>#VALUE!</v>
      </c>
      <c r="K105" s="8" t="e">
        <f>_xll.qlRateHelperMaturityDate(E105)</f>
        <v>#VALUE!</v>
      </c>
      <c r="L105" s="7" t="e">
        <f>_xll.qlRateHelperPillarDate(E105)</f>
        <v>#VALUE!</v>
      </c>
      <c r="M105" s="78" t="e">
        <v>#N/A</v>
      </c>
      <c r="N105" s="1" t="e">
        <v>#N/A</v>
      </c>
    </row>
    <row r="106" spans="4:14" x14ac:dyDescent="0.2">
      <c r="D106" s="10" t="e">
        <v>#N/A</v>
      </c>
      <c r="E106" s="10" t="e">
        <v>#N/A</v>
      </c>
      <c r="F106" s="10" t="e">
        <f>_xll.qlRateHelperQuoteName(D106)</f>
        <v>#VALUE!</v>
      </c>
      <c r="G106" s="195" t="e">
        <f>_xll.qlRateHelperRate(E106)-H106</f>
        <v>#VALUE!</v>
      </c>
      <c r="H106" s="9" t="e">
        <f>_xll.qlRateHelperRate($D106)</f>
        <v>#VALUE!</v>
      </c>
      <c r="I106" s="9" t="str">
        <f>IF(ISERROR(_xll.qlSwapRateHelperSpread($D106)),IF(ISERROR(_xll.qlFuturesRateHelperConvexityAdjustment($D106)),"--",_xll.qlFuturesRateHelperConvexityAdjustment($D106)),_xll.qlSwapRateHelperSpread($D106))</f>
        <v>--</v>
      </c>
      <c r="J106" s="8" t="e">
        <f>_xll.qlRateHelperEarliestDate($D106)</f>
        <v>#VALUE!</v>
      </c>
      <c r="K106" s="8" t="e">
        <f>_xll.qlRateHelperMaturityDate(E106)</f>
        <v>#VALUE!</v>
      </c>
      <c r="L106" s="7" t="e">
        <f>_xll.qlRateHelperPillarDate(E106)</f>
        <v>#VALUE!</v>
      </c>
      <c r="M106" s="78" t="e">
        <v>#N/A</v>
      </c>
      <c r="N106" s="1" t="e">
        <v>#N/A</v>
      </c>
    </row>
    <row r="107" spans="4:14" x14ac:dyDescent="0.2">
      <c r="D107" s="10" t="e">
        <v>#N/A</v>
      </c>
      <c r="E107" s="10" t="e">
        <v>#N/A</v>
      </c>
      <c r="F107" s="10" t="e">
        <f>_xll.qlRateHelperQuoteName(D107)</f>
        <v>#VALUE!</v>
      </c>
      <c r="G107" s="195" t="e">
        <f>_xll.qlRateHelperRate(E107)-H107</f>
        <v>#VALUE!</v>
      </c>
      <c r="H107" s="9" t="e">
        <f>_xll.qlRateHelperRate($D107)</f>
        <v>#VALUE!</v>
      </c>
      <c r="I107" s="9" t="str">
        <f>IF(ISERROR(_xll.qlSwapRateHelperSpread($D107)),IF(ISERROR(_xll.qlFuturesRateHelperConvexityAdjustment($D107)),"--",_xll.qlFuturesRateHelperConvexityAdjustment($D107)),_xll.qlSwapRateHelperSpread($D107))</f>
        <v>--</v>
      </c>
      <c r="J107" s="8" t="e">
        <f>_xll.qlRateHelperEarliestDate($D107)</f>
        <v>#VALUE!</v>
      </c>
      <c r="K107" s="8" t="e">
        <f>_xll.qlRateHelperMaturityDate(E107)</f>
        <v>#VALUE!</v>
      </c>
      <c r="L107" s="7" t="e">
        <f>_xll.qlRateHelperPillarDate(E107)</f>
        <v>#VALUE!</v>
      </c>
      <c r="M107" s="78" t="e">
        <v>#N/A</v>
      </c>
      <c r="N107" s="1" t="e">
        <v>#N/A</v>
      </c>
    </row>
    <row r="108" spans="4:14" x14ac:dyDescent="0.2">
      <c r="D108" s="10" t="e">
        <v>#N/A</v>
      </c>
      <c r="E108" s="10" t="e">
        <v>#N/A</v>
      </c>
      <c r="F108" s="10" t="e">
        <f>_xll.qlRateHelperQuoteName(D108)</f>
        <v>#VALUE!</v>
      </c>
      <c r="G108" s="195" t="e">
        <f>_xll.qlRateHelperRate(E108)-H108</f>
        <v>#VALUE!</v>
      </c>
      <c r="H108" s="9" t="e">
        <f>_xll.qlRateHelperRate($D108)</f>
        <v>#VALUE!</v>
      </c>
      <c r="I108" s="9" t="str">
        <f>IF(ISERROR(_xll.qlSwapRateHelperSpread($D108)),IF(ISERROR(_xll.qlFuturesRateHelperConvexityAdjustment($D108)),"--",_xll.qlFuturesRateHelperConvexityAdjustment($D108)),_xll.qlSwapRateHelperSpread($D108))</f>
        <v>--</v>
      </c>
      <c r="J108" s="8" t="e">
        <f>_xll.qlRateHelperEarliestDate($D108)</f>
        <v>#VALUE!</v>
      </c>
      <c r="K108" s="8" t="e">
        <f>_xll.qlRateHelperMaturityDate(E108)</f>
        <v>#VALUE!</v>
      </c>
      <c r="L108" s="7" t="e">
        <f>_xll.qlRateHelperPillarDate(E108)</f>
        <v>#VALUE!</v>
      </c>
      <c r="M108" s="78" t="e">
        <v>#N/A</v>
      </c>
      <c r="N108" s="1" t="e">
        <v>#N/A</v>
      </c>
    </row>
    <row r="109" spans="4:14" x14ac:dyDescent="0.2">
      <c r="D109" s="10" t="e">
        <v>#N/A</v>
      </c>
      <c r="E109" s="10" t="e">
        <v>#N/A</v>
      </c>
      <c r="F109" s="10" t="e">
        <f>_xll.qlRateHelperQuoteName(D109)</f>
        <v>#VALUE!</v>
      </c>
      <c r="G109" s="195" t="e">
        <f>_xll.qlRateHelperRate(E109)-H109</f>
        <v>#VALUE!</v>
      </c>
      <c r="H109" s="9" t="e">
        <f>_xll.qlRateHelperRate($D109)</f>
        <v>#VALUE!</v>
      </c>
      <c r="I109" s="9" t="str">
        <f>IF(ISERROR(_xll.qlSwapRateHelperSpread($D109)),IF(ISERROR(_xll.qlFuturesRateHelperConvexityAdjustment($D109)),"--",_xll.qlFuturesRateHelperConvexityAdjustment($D109)),_xll.qlSwapRateHelperSpread($D109))</f>
        <v>--</v>
      </c>
      <c r="J109" s="8" t="e">
        <f>_xll.qlRateHelperEarliestDate($D109)</f>
        <v>#VALUE!</v>
      </c>
      <c r="K109" s="8" t="e">
        <f>_xll.qlRateHelperMaturityDate(E109)</f>
        <v>#VALUE!</v>
      </c>
      <c r="L109" s="7" t="e">
        <f>_xll.qlRateHelperPillarDate(E109)</f>
        <v>#VALUE!</v>
      </c>
      <c r="M109" s="78" t="e">
        <v>#N/A</v>
      </c>
      <c r="N109" s="1" t="e">
        <v>#N/A</v>
      </c>
    </row>
    <row r="110" spans="4:14" x14ac:dyDescent="0.2">
      <c r="D110" s="10" t="e">
        <v>#N/A</v>
      </c>
      <c r="E110" s="10" t="e">
        <v>#N/A</v>
      </c>
      <c r="F110" s="10" t="e">
        <f>_xll.qlRateHelperQuoteName(D110)</f>
        <v>#VALUE!</v>
      </c>
      <c r="G110" s="195" t="e">
        <f>_xll.qlRateHelperRate(E110)-H110</f>
        <v>#VALUE!</v>
      </c>
      <c r="H110" s="9" t="e">
        <f>_xll.qlRateHelperRate($D110)</f>
        <v>#VALUE!</v>
      </c>
      <c r="I110" s="9" t="str">
        <f>IF(ISERROR(_xll.qlSwapRateHelperSpread($D110)),IF(ISERROR(_xll.qlFuturesRateHelperConvexityAdjustment($D110)),"--",_xll.qlFuturesRateHelperConvexityAdjustment($D110)),_xll.qlSwapRateHelperSpread($D110))</f>
        <v>--</v>
      </c>
      <c r="J110" s="8" t="e">
        <f>_xll.qlRateHelperEarliestDate($D110)</f>
        <v>#VALUE!</v>
      </c>
      <c r="K110" s="8" t="e">
        <f>_xll.qlRateHelperMaturityDate(E110)</f>
        <v>#VALUE!</v>
      </c>
      <c r="L110" s="7" t="e">
        <f>_xll.qlRateHelperPillarDate(E110)</f>
        <v>#VALUE!</v>
      </c>
      <c r="M110" s="78" t="e">
        <v>#N/A</v>
      </c>
      <c r="N110" s="1" t="e">
        <v>#N/A</v>
      </c>
    </row>
    <row r="111" spans="4:14" x14ac:dyDescent="0.2">
      <c r="D111" s="10" t="e">
        <v>#N/A</v>
      </c>
      <c r="E111" s="10" t="e">
        <v>#N/A</v>
      </c>
      <c r="F111" s="10" t="e">
        <f>_xll.qlRateHelperQuoteName(D111)</f>
        <v>#VALUE!</v>
      </c>
      <c r="G111" s="195" t="e">
        <f>_xll.qlRateHelperRate(E111)-H111</f>
        <v>#VALUE!</v>
      </c>
      <c r="H111" s="9" t="e">
        <f>_xll.qlRateHelperRate($D111)</f>
        <v>#VALUE!</v>
      </c>
      <c r="I111" s="9" t="str">
        <f>IF(ISERROR(_xll.qlSwapRateHelperSpread($D111)),IF(ISERROR(_xll.qlFuturesRateHelperConvexityAdjustment($D111)),"--",_xll.qlFuturesRateHelperConvexityAdjustment($D111)),_xll.qlSwapRateHelperSpread($D111))</f>
        <v>--</v>
      </c>
      <c r="J111" s="8" t="e">
        <f>_xll.qlRateHelperEarliestDate($D111)</f>
        <v>#VALUE!</v>
      </c>
      <c r="K111" s="8" t="e">
        <f>_xll.qlRateHelperMaturityDate(E111)</f>
        <v>#VALUE!</v>
      </c>
      <c r="L111" s="7" t="e">
        <f>_xll.qlRateHelperPillarDate(E111)</f>
        <v>#VALUE!</v>
      </c>
      <c r="M111" s="78" t="e">
        <v>#N/A</v>
      </c>
      <c r="N111" s="1" t="e">
        <v>#N/A</v>
      </c>
    </row>
    <row r="112" spans="4:14" x14ac:dyDescent="0.2">
      <c r="D112" s="10" t="e">
        <v>#N/A</v>
      </c>
      <c r="E112" s="10" t="e">
        <v>#N/A</v>
      </c>
      <c r="F112" s="10" t="e">
        <f>_xll.qlRateHelperQuoteName(D112)</f>
        <v>#VALUE!</v>
      </c>
      <c r="G112" s="195" t="e">
        <f>_xll.qlRateHelperRate(E112)-H112</f>
        <v>#VALUE!</v>
      </c>
      <c r="H112" s="9" t="e">
        <f>_xll.qlRateHelperRate($D112)</f>
        <v>#VALUE!</v>
      </c>
      <c r="I112" s="9" t="str">
        <f>IF(ISERROR(_xll.qlSwapRateHelperSpread($D112)),IF(ISERROR(_xll.qlFuturesRateHelperConvexityAdjustment($D112)),"--",_xll.qlFuturesRateHelperConvexityAdjustment($D112)),_xll.qlSwapRateHelperSpread($D112))</f>
        <v>--</v>
      </c>
      <c r="J112" s="8" t="e">
        <f>_xll.qlRateHelperEarliestDate($D112)</f>
        <v>#VALUE!</v>
      </c>
      <c r="K112" s="8" t="e">
        <f>_xll.qlRateHelperMaturityDate(E112)</f>
        <v>#VALUE!</v>
      </c>
      <c r="L112" s="7" t="e">
        <f>_xll.qlRateHelperPillarDate(E112)</f>
        <v>#VALUE!</v>
      </c>
      <c r="M112" s="78" t="e">
        <v>#N/A</v>
      </c>
      <c r="N112" s="1" t="e">
        <v>#N/A</v>
      </c>
    </row>
    <row r="113" spans="4:14" x14ac:dyDescent="0.2">
      <c r="D113" s="10" t="e">
        <v>#N/A</v>
      </c>
      <c r="E113" s="10" t="e">
        <v>#N/A</v>
      </c>
      <c r="F113" s="10" t="e">
        <f>_xll.qlRateHelperQuoteName(D113)</f>
        <v>#VALUE!</v>
      </c>
      <c r="G113" s="195" t="e">
        <f>_xll.qlRateHelperRate(E113)-H113</f>
        <v>#VALUE!</v>
      </c>
      <c r="H113" s="9" t="e">
        <f>_xll.qlRateHelperRate($D113)</f>
        <v>#VALUE!</v>
      </c>
      <c r="I113" s="9" t="str">
        <f>IF(ISERROR(_xll.qlSwapRateHelperSpread($D113)),IF(ISERROR(_xll.qlFuturesRateHelperConvexityAdjustment($D113)),"--",_xll.qlFuturesRateHelperConvexityAdjustment($D113)),_xll.qlSwapRateHelperSpread($D113))</f>
        <v>--</v>
      </c>
      <c r="J113" s="8" t="e">
        <f>_xll.qlRateHelperEarliestDate($D113)</f>
        <v>#VALUE!</v>
      </c>
      <c r="K113" s="8" t="e">
        <f>_xll.qlRateHelperMaturityDate(E113)</f>
        <v>#VALUE!</v>
      </c>
      <c r="L113" s="7" t="e">
        <f>_xll.qlRateHelperPillarDate(E113)</f>
        <v>#VALUE!</v>
      </c>
      <c r="M113" s="78" t="e">
        <v>#N/A</v>
      </c>
      <c r="N113" s="1" t="e">
        <v>#N/A</v>
      </c>
    </row>
    <row r="114" spans="4:14" x14ac:dyDescent="0.2">
      <c r="D114" s="10" t="e">
        <v>#N/A</v>
      </c>
      <c r="E114" s="10" t="e">
        <v>#N/A</v>
      </c>
      <c r="F114" s="10" t="e">
        <f>_xll.qlRateHelperQuoteName(D114)</f>
        <v>#VALUE!</v>
      </c>
      <c r="G114" s="195" t="e">
        <f>_xll.qlRateHelperRate(E114)-H114</f>
        <v>#VALUE!</v>
      </c>
      <c r="H114" s="9" t="e">
        <f>_xll.qlRateHelperRate($D114)</f>
        <v>#VALUE!</v>
      </c>
      <c r="I114" s="9" t="str">
        <f>IF(ISERROR(_xll.qlSwapRateHelperSpread($D114)),IF(ISERROR(_xll.qlFuturesRateHelperConvexityAdjustment($D114)),"--",_xll.qlFuturesRateHelperConvexityAdjustment($D114)),_xll.qlSwapRateHelperSpread($D114))</f>
        <v>--</v>
      </c>
      <c r="J114" s="8" t="e">
        <f>_xll.qlRateHelperEarliestDate($D114)</f>
        <v>#VALUE!</v>
      </c>
      <c r="K114" s="8" t="e">
        <f>_xll.qlRateHelperMaturityDate(E114)</f>
        <v>#VALUE!</v>
      </c>
      <c r="L114" s="7" t="e">
        <f>_xll.qlRateHelperPillarDate(E114)</f>
        <v>#VALUE!</v>
      </c>
      <c r="M114" s="78" t="e">
        <v>#N/A</v>
      </c>
      <c r="N114" s="1" t="e">
        <v>#N/A</v>
      </c>
    </row>
    <row r="115" spans="4:14" x14ac:dyDescent="0.2">
      <c r="D115" s="10" t="e">
        <v>#N/A</v>
      </c>
      <c r="E115" s="10" t="e">
        <v>#N/A</v>
      </c>
      <c r="F115" s="10" t="e">
        <f>_xll.qlRateHelperQuoteName(D115)</f>
        <v>#VALUE!</v>
      </c>
      <c r="G115" s="195" t="e">
        <f>_xll.qlRateHelperRate(E115)-H115</f>
        <v>#VALUE!</v>
      </c>
      <c r="H115" s="9" t="e">
        <f>_xll.qlRateHelperRate($D115)</f>
        <v>#VALUE!</v>
      </c>
      <c r="I115" s="9" t="str">
        <f>IF(ISERROR(_xll.qlSwapRateHelperSpread($D115)),IF(ISERROR(_xll.qlFuturesRateHelperConvexityAdjustment($D115)),"--",_xll.qlFuturesRateHelperConvexityAdjustment($D115)),_xll.qlSwapRateHelperSpread($D115))</f>
        <v>--</v>
      </c>
      <c r="J115" s="8" t="e">
        <f>_xll.qlRateHelperEarliestDate($D115)</f>
        <v>#VALUE!</v>
      </c>
      <c r="K115" s="8" t="e">
        <f>_xll.qlRateHelperMaturityDate(E115)</f>
        <v>#VALUE!</v>
      </c>
      <c r="L115" s="7" t="e">
        <f>_xll.qlRateHelperPillarDate(E115)</f>
        <v>#VALUE!</v>
      </c>
      <c r="M115" s="78" t="e">
        <v>#N/A</v>
      </c>
      <c r="N115" s="1" t="e">
        <v>#N/A</v>
      </c>
    </row>
    <row r="116" spans="4:14" x14ac:dyDescent="0.2">
      <c r="D116" s="10" t="e">
        <v>#N/A</v>
      </c>
      <c r="E116" s="10" t="e">
        <v>#N/A</v>
      </c>
      <c r="F116" s="10" t="e">
        <f>_xll.qlRateHelperQuoteName(D116)</f>
        <v>#VALUE!</v>
      </c>
      <c r="G116" s="195" t="e">
        <f>_xll.qlRateHelperRate(E116)-H116</f>
        <v>#VALUE!</v>
      </c>
      <c r="H116" s="9" t="e">
        <f>_xll.qlRateHelperRate($D116)</f>
        <v>#VALUE!</v>
      </c>
      <c r="I116" s="9" t="str">
        <f>IF(ISERROR(_xll.qlSwapRateHelperSpread($D116)),IF(ISERROR(_xll.qlFuturesRateHelperConvexityAdjustment($D116)),"--",_xll.qlFuturesRateHelperConvexityAdjustment($D116)),_xll.qlSwapRateHelperSpread($D116))</f>
        <v>--</v>
      </c>
      <c r="J116" s="8" t="e">
        <f>_xll.qlRateHelperEarliestDate($D116)</f>
        <v>#VALUE!</v>
      </c>
      <c r="K116" s="8" t="e">
        <f>_xll.qlRateHelperMaturityDate(E116)</f>
        <v>#VALUE!</v>
      </c>
      <c r="L116" s="7" t="e">
        <f>_xll.qlRateHelperPillarDate(E116)</f>
        <v>#VALUE!</v>
      </c>
      <c r="M116" s="78" t="e">
        <v>#N/A</v>
      </c>
      <c r="N116" s="1" t="e">
        <v>#N/A</v>
      </c>
    </row>
    <row r="117" spans="4:14" x14ac:dyDescent="0.2">
      <c r="D117" s="10" t="e">
        <v>#N/A</v>
      </c>
      <c r="E117" s="10" t="e">
        <v>#N/A</v>
      </c>
      <c r="F117" s="10" t="e">
        <f>_xll.qlRateHelperQuoteName(D117)</f>
        <v>#VALUE!</v>
      </c>
      <c r="G117" s="195" t="e">
        <f>_xll.qlRateHelperRate(E117)-H117</f>
        <v>#VALUE!</v>
      </c>
      <c r="H117" s="9" t="e">
        <f>_xll.qlRateHelperRate($D117)</f>
        <v>#VALUE!</v>
      </c>
      <c r="I117" s="9" t="str">
        <f>IF(ISERROR(_xll.qlSwapRateHelperSpread($D117)),IF(ISERROR(_xll.qlFuturesRateHelperConvexityAdjustment($D117)),"--",_xll.qlFuturesRateHelperConvexityAdjustment($D117)),_xll.qlSwapRateHelperSpread($D117))</f>
        <v>--</v>
      </c>
      <c r="J117" s="8" t="e">
        <f>_xll.qlRateHelperEarliestDate($D117)</f>
        <v>#VALUE!</v>
      </c>
      <c r="K117" s="8" t="e">
        <f>_xll.qlRateHelperMaturityDate(E117)</f>
        <v>#VALUE!</v>
      </c>
      <c r="L117" s="7" t="e">
        <f>_xll.qlRateHelperPillarDate(E117)</f>
        <v>#VALUE!</v>
      </c>
      <c r="M117" s="78" t="e">
        <v>#N/A</v>
      </c>
      <c r="N117" s="1" t="e">
        <v>#N/A</v>
      </c>
    </row>
    <row r="118" spans="4:14" x14ac:dyDescent="0.2">
      <c r="D118" s="10" t="e">
        <v>#N/A</v>
      </c>
      <c r="E118" s="10" t="e">
        <v>#N/A</v>
      </c>
      <c r="F118" s="10" t="e">
        <f>_xll.qlRateHelperQuoteName(D118)</f>
        <v>#VALUE!</v>
      </c>
      <c r="G118" s="195" t="e">
        <f>_xll.qlRateHelperRate(E118)-H118</f>
        <v>#VALUE!</v>
      </c>
      <c r="H118" s="9" t="e">
        <f>_xll.qlRateHelperRate($D118)</f>
        <v>#VALUE!</v>
      </c>
      <c r="I118" s="9" t="str">
        <f>IF(ISERROR(_xll.qlSwapRateHelperSpread($D118)),IF(ISERROR(_xll.qlFuturesRateHelperConvexityAdjustment($D118)),"--",_xll.qlFuturesRateHelperConvexityAdjustment($D118)),_xll.qlSwapRateHelperSpread($D118))</f>
        <v>--</v>
      </c>
      <c r="J118" s="8" t="e">
        <f>_xll.qlRateHelperEarliestDate($D118)</f>
        <v>#VALUE!</v>
      </c>
      <c r="K118" s="8" t="e">
        <f>_xll.qlRateHelperMaturityDate(E118)</f>
        <v>#VALUE!</v>
      </c>
      <c r="L118" s="7" t="e">
        <f>_xll.qlRateHelperPillarDate(E118)</f>
        <v>#VALUE!</v>
      </c>
      <c r="M118" s="78" t="e">
        <v>#N/A</v>
      </c>
      <c r="N118" s="1" t="e">
        <v>#N/A</v>
      </c>
    </row>
    <row r="119" spans="4:14" x14ac:dyDescent="0.2">
      <c r="D119" s="10" t="e">
        <v>#N/A</v>
      </c>
      <c r="E119" s="10" t="e">
        <v>#N/A</v>
      </c>
      <c r="F119" s="10" t="e">
        <f>_xll.qlRateHelperQuoteName(D119)</f>
        <v>#VALUE!</v>
      </c>
      <c r="G119" s="195" t="e">
        <f>_xll.qlRateHelperRate(E119)-H119</f>
        <v>#VALUE!</v>
      </c>
      <c r="H119" s="9" t="e">
        <f>_xll.qlRateHelperRate($D119)</f>
        <v>#VALUE!</v>
      </c>
      <c r="I119" s="9" t="str">
        <f>IF(ISERROR(_xll.qlSwapRateHelperSpread($D119)),IF(ISERROR(_xll.qlFuturesRateHelperConvexityAdjustment($D119)),"--",_xll.qlFuturesRateHelperConvexityAdjustment($D119)),_xll.qlSwapRateHelperSpread($D119))</f>
        <v>--</v>
      </c>
      <c r="J119" s="8" t="e">
        <f>_xll.qlRateHelperEarliestDate($D119)</f>
        <v>#VALUE!</v>
      </c>
      <c r="K119" s="8" t="e">
        <f>_xll.qlRateHelperMaturityDate(E119)</f>
        <v>#VALUE!</v>
      </c>
      <c r="L119" s="7" t="e">
        <f>_xll.qlRateHelperPillarDate(E119)</f>
        <v>#VALUE!</v>
      </c>
      <c r="M119" s="78" t="e">
        <v>#N/A</v>
      </c>
      <c r="N119" s="1" t="e">
        <v>#N/A</v>
      </c>
    </row>
    <row r="120" spans="4:14" x14ac:dyDescent="0.2">
      <c r="D120" s="10" t="e">
        <v>#N/A</v>
      </c>
      <c r="E120" s="10" t="e">
        <v>#N/A</v>
      </c>
      <c r="F120" s="10" t="e">
        <f>_xll.qlRateHelperQuoteName(D120)</f>
        <v>#VALUE!</v>
      </c>
      <c r="G120" s="195" t="e">
        <f>_xll.qlRateHelperRate(E120)-H120</f>
        <v>#VALUE!</v>
      </c>
      <c r="H120" s="9" t="e">
        <f>_xll.qlRateHelperRate($D120)</f>
        <v>#VALUE!</v>
      </c>
      <c r="I120" s="9" t="str">
        <f>IF(ISERROR(_xll.qlSwapRateHelperSpread($D120)),IF(ISERROR(_xll.qlFuturesRateHelperConvexityAdjustment($D120)),"--",_xll.qlFuturesRateHelperConvexityAdjustment($D120)),_xll.qlSwapRateHelperSpread($D120))</f>
        <v>--</v>
      </c>
      <c r="J120" s="8" t="e">
        <f>_xll.qlRateHelperEarliestDate($D120)</f>
        <v>#VALUE!</v>
      </c>
      <c r="K120" s="8" t="e">
        <f>_xll.qlRateHelperMaturityDate(E120)</f>
        <v>#VALUE!</v>
      </c>
      <c r="L120" s="7" t="e">
        <f>_xll.qlRateHelperPillarDate(E120)</f>
        <v>#VALUE!</v>
      </c>
      <c r="M120" s="78" t="e">
        <v>#N/A</v>
      </c>
      <c r="N120" s="1" t="e">
        <v>#N/A</v>
      </c>
    </row>
    <row r="121" spans="4:14" x14ac:dyDescent="0.2">
      <c r="D121" s="10" t="e">
        <v>#N/A</v>
      </c>
      <c r="E121" s="10" t="e">
        <v>#N/A</v>
      </c>
      <c r="F121" s="10" t="e">
        <f>_xll.qlRateHelperQuoteName(D121)</f>
        <v>#VALUE!</v>
      </c>
      <c r="G121" s="195" t="e">
        <f>_xll.qlRateHelperRate(E121)-H121</f>
        <v>#VALUE!</v>
      </c>
      <c r="H121" s="9" t="e">
        <f>_xll.qlRateHelperRate($D121)</f>
        <v>#VALUE!</v>
      </c>
      <c r="I121" s="9" t="str">
        <f>IF(ISERROR(_xll.qlSwapRateHelperSpread($D121)),IF(ISERROR(_xll.qlFuturesRateHelperConvexityAdjustment($D121)),"--",_xll.qlFuturesRateHelperConvexityAdjustment($D121)),_xll.qlSwapRateHelperSpread($D121))</f>
        <v>--</v>
      </c>
      <c r="J121" s="8" t="e">
        <f>_xll.qlRateHelperEarliestDate($D121)</f>
        <v>#VALUE!</v>
      </c>
      <c r="K121" s="8" t="e">
        <f>_xll.qlRateHelperMaturityDate(E121)</f>
        <v>#VALUE!</v>
      </c>
      <c r="L121" s="7" t="e">
        <f>_xll.qlRateHelperPillarDate(E121)</f>
        <v>#VALUE!</v>
      </c>
      <c r="M121" s="78" t="e">
        <v>#N/A</v>
      </c>
      <c r="N121" s="1" t="e">
        <v>#N/A</v>
      </c>
    </row>
    <row r="122" spans="4:14" x14ac:dyDescent="0.2">
      <c r="D122" s="10" t="e">
        <v>#N/A</v>
      </c>
      <c r="E122" s="10" t="e">
        <v>#N/A</v>
      </c>
      <c r="F122" s="10" t="e">
        <f>_xll.qlRateHelperQuoteName(D122)</f>
        <v>#VALUE!</v>
      </c>
      <c r="G122" s="195" t="e">
        <f>_xll.qlRateHelperRate(E122)-H122</f>
        <v>#VALUE!</v>
      </c>
      <c r="H122" s="9" t="e">
        <f>_xll.qlRateHelperRate($D122)</f>
        <v>#VALUE!</v>
      </c>
      <c r="I122" s="9" t="str">
        <f>IF(ISERROR(_xll.qlSwapRateHelperSpread($D122)),IF(ISERROR(_xll.qlFuturesRateHelperConvexityAdjustment($D122)),"--",_xll.qlFuturesRateHelperConvexityAdjustment($D122)),_xll.qlSwapRateHelperSpread($D122))</f>
        <v>--</v>
      </c>
      <c r="J122" s="8" t="e">
        <f>_xll.qlRateHelperEarliestDate($D122)</f>
        <v>#VALUE!</v>
      </c>
      <c r="K122" s="8" t="e">
        <f>_xll.qlRateHelperMaturityDate(E122)</f>
        <v>#VALUE!</v>
      </c>
      <c r="L122" s="7" t="e">
        <f>_xll.qlRateHelperPillarDate(E122)</f>
        <v>#VALUE!</v>
      </c>
      <c r="M122" s="78" t="e">
        <v>#N/A</v>
      </c>
      <c r="N122" s="1" t="e">
        <v>#N/A</v>
      </c>
    </row>
    <row r="123" spans="4:14" x14ac:dyDescent="0.2">
      <c r="D123" s="10" t="e">
        <v>#N/A</v>
      </c>
      <c r="E123" s="10" t="e">
        <v>#N/A</v>
      </c>
      <c r="F123" s="10" t="e">
        <f>_xll.qlRateHelperQuoteName(D123)</f>
        <v>#VALUE!</v>
      </c>
      <c r="G123" s="195" t="e">
        <f>_xll.qlRateHelperRate(E123)-H123</f>
        <v>#VALUE!</v>
      </c>
      <c r="H123" s="9" t="e">
        <f>_xll.qlRateHelperRate($D123)</f>
        <v>#VALUE!</v>
      </c>
      <c r="I123" s="9" t="str">
        <f>IF(ISERROR(_xll.qlSwapRateHelperSpread($D123)),IF(ISERROR(_xll.qlFuturesRateHelperConvexityAdjustment($D123)),"--",_xll.qlFuturesRateHelperConvexityAdjustment($D123)),_xll.qlSwapRateHelperSpread($D123))</f>
        <v>--</v>
      </c>
      <c r="J123" s="8" t="e">
        <f>_xll.qlRateHelperEarliestDate($D123)</f>
        <v>#VALUE!</v>
      </c>
      <c r="K123" s="8" t="e">
        <f>_xll.qlRateHelperMaturityDate(E123)</f>
        <v>#VALUE!</v>
      </c>
      <c r="L123" s="7" t="e">
        <f>_xll.qlRateHelperPillarDate(E123)</f>
        <v>#VALUE!</v>
      </c>
      <c r="M123" s="78" t="e">
        <v>#N/A</v>
      </c>
      <c r="N123" s="1" t="e">
        <v>#N/A</v>
      </c>
    </row>
    <row r="124" spans="4:14" x14ac:dyDescent="0.2">
      <c r="D124" s="10" t="e">
        <v>#N/A</v>
      </c>
      <c r="E124" s="10" t="e">
        <v>#N/A</v>
      </c>
      <c r="F124" s="10" t="e">
        <f>_xll.qlRateHelperQuoteName(D124)</f>
        <v>#VALUE!</v>
      </c>
      <c r="G124" s="195" t="e">
        <f>_xll.qlRateHelperRate(E124)-H124</f>
        <v>#VALUE!</v>
      </c>
      <c r="H124" s="9" t="e">
        <f>_xll.qlRateHelperRate($D124)</f>
        <v>#VALUE!</v>
      </c>
      <c r="I124" s="9" t="str">
        <f>IF(ISERROR(_xll.qlSwapRateHelperSpread($D124)),IF(ISERROR(_xll.qlFuturesRateHelperConvexityAdjustment($D124)),"--",_xll.qlFuturesRateHelperConvexityAdjustment($D124)),_xll.qlSwapRateHelperSpread($D124))</f>
        <v>--</v>
      </c>
      <c r="J124" s="8" t="e">
        <f>_xll.qlRateHelperEarliestDate($D124)</f>
        <v>#VALUE!</v>
      </c>
      <c r="K124" s="8" t="e">
        <f>_xll.qlRateHelperMaturityDate(E124)</f>
        <v>#VALUE!</v>
      </c>
      <c r="L124" s="7" t="e">
        <f>_xll.qlRateHelperPillarDate(E124)</f>
        <v>#VALUE!</v>
      </c>
      <c r="M124" s="78" t="e">
        <v>#N/A</v>
      </c>
      <c r="N124" s="1" t="e">
        <v>#N/A</v>
      </c>
    </row>
    <row r="125" spans="4:14" x14ac:dyDescent="0.2">
      <c r="D125" s="10" t="e">
        <v>#N/A</v>
      </c>
      <c r="E125" s="10" t="e">
        <v>#N/A</v>
      </c>
      <c r="F125" s="10" t="e">
        <f>_xll.qlRateHelperQuoteName(D125)</f>
        <v>#VALUE!</v>
      </c>
      <c r="G125" s="195" t="e">
        <f>_xll.qlRateHelperRate(E125)-H125</f>
        <v>#VALUE!</v>
      </c>
      <c r="H125" s="9" t="e">
        <f>_xll.qlRateHelperRate($D125)</f>
        <v>#VALUE!</v>
      </c>
      <c r="I125" s="9" t="str">
        <f>IF(ISERROR(_xll.qlSwapRateHelperSpread($D125)),IF(ISERROR(_xll.qlFuturesRateHelperConvexityAdjustment($D125)),"--",_xll.qlFuturesRateHelperConvexityAdjustment($D125)),_xll.qlSwapRateHelperSpread($D125))</f>
        <v>--</v>
      </c>
      <c r="J125" s="8" t="e">
        <f>_xll.qlRateHelperEarliestDate($D125)</f>
        <v>#VALUE!</v>
      </c>
      <c r="K125" s="8" t="e">
        <f>_xll.qlRateHelperMaturityDate(E125)</f>
        <v>#VALUE!</v>
      </c>
      <c r="L125" s="7" t="e">
        <f>_xll.qlRateHelperPillarDate(E125)</f>
        <v>#VALUE!</v>
      </c>
      <c r="M125" s="78" t="e">
        <v>#N/A</v>
      </c>
      <c r="N125" s="1" t="e">
        <v>#N/A</v>
      </c>
    </row>
    <row r="126" spans="4:14" ht="12" thickBot="1" x14ac:dyDescent="0.25">
      <c r="D126" s="6" t="e">
        <v>#N/A</v>
      </c>
      <c r="E126" s="6" t="e">
        <v>#N/A</v>
      </c>
      <c r="F126" s="6" t="e">
        <f>_xll.qlRateHelperQuoteName(D126)</f>
        <v>#VALUE!</v>
      </c>
      <c r="G126" s="201" t="e">
        <f>_xll.qlRateHelperRate(E126)-H126</f>
        <v>#VALUE!</v>
      </c>
      <c r="H126" s="5" t="e">
        <f>_xll.qlRateHelperRate($D126)</f>
        <v>#VALUE!</v>
      </c>
      <c r="I126" s="5" t="str">
        <f>IF(ISERROR(_xll.qlSwapRateHelperSpread($D126)),IF(ISERROR(_xll.qlFuturesRateHelperConvexityAdjustment($D126)),"--",_xll.qlFuturesRateHelperConvexityAdjustment($D126)),_xll.qlSwapRateHelperSpread($D126))</f>
        <v>--</v>
      </c>
      <c r="J126" s="4" t="e">
        <f>_xll.qlRateHelperEarliestDate($D126)</f>
        <v>#VALUE!</v>
      </c>
      <c r="K126" s="4" t="e">
        <f>_xll.qlRateHelperMaturityDate(E126)</f>
        <v>#VALUE!</v>
      </c>
      <c r="L126" s="3" t="e">
        <f>_xll.qlRateHelperPillarDate(E126)</f>
        <v>#VALUE!</v>
      </c>
      <c r="M126" s="78" t="e">
        <v>#N/A</v>
      </c>
      <c r="N126" s="1" t="e">
        <v>#N/A</v>
      </c>
    </row>
  </sheetData>
  <mergeCells count="1">
    <mergeCell ref="A1:B1"/>
  </mergeCells>
  <dataValidations count="1">
    <dataValidation type="list" allowBlank="1" showInputMessage="1" showErrorMessage="1" sqref="B5 JB5 SX5 ACT5 AMP5 AWL5 BGH5 BQD5 BZZ5 CJV5 CTR5 DDN5 DNJ5 DXF5 EHB5 EQX5 FAT5 FKP5 FUL5 GEH5 GOD5 GXZ5 HHV5 HRR5 IBN5 ILJ5 IVF5 JFB5 JOX5 JYT5 KIP5 KSL5 LCH5 LMD5 LVZ5 MFV5 MPR5 MZN5 NJJ5 NTF5 ODB5 OMX5 OWT5 PGP5 PQL5 QAH5 QKD5 QTZ5 RDV5 RNR5 RXN5 SHJ5 SRF5 TBB5 TKX5 TUT5 UEP5 UOL5 UYH5 VID5 VRZ5 WBV5 WLR5 WVN5 B65539 JB65541 SX65541 ACT65541 AMP65541 AWL65541 BGH65541 BQD65541 BZZ65541 CJV65541 CTR65541 DDN65541 DNJ65541 DXF65541 EHB65541 EQX65541 FAT65541 FKP65541 FUL65541 GEH65541 GOD65541 GXZ65541 HHV65541 HRR65541 IBN65541 ILJ65541 IVF65541 JFB65541 JOX65541 JYT65541 KIP65541 KSL65541 LCH65541 LMD65541 LVZ65541 MFV65541 MPR65541 MZN65541 NJJ65541 NTF65541 ODB65541 OMX65541 OWT65541 PGP65541 PQL65541 QAH65541 QKD65541 QTZ65541 RDV65541 RNR65541 RXN65541 SHJ65541 SRF65541 TBB65541 TKX65541 TUT65541 UEP65541 UOL65541 UYH65541 VID65541 VRZ65541 WBV65541 WLR65541 WVN65541 B131075 JB131077 SX131077 ACT131077 AMP131077 AWL131077 BGH131077 BQD131077 BZZ131077 CJV131077 CTR131077 DDN131077 DNJ131077 DXF131077 EHB131077 EQX131077 FAT131077 FKP131077 FUL131077 GEH131077 GOD131077 GXZ131077 HHV131077 HRR131077 IBN131077 ILJ131077 IVF131077 JFB131077 JOX131077 JYT131077 KIP131077 KSL131077 LCH131077 LMD131077 LVZ131077 MFV131077 MPR131077 MZN131077 NJJ131077 NTF131077 ODB131077 OMX131077 OWT131077 PGP131077 PQL131077 QAH131077 QKD131077 QTZ131077 RDV131077 RNR131077 RXN131077 SHJ131077 SRF131077 TBB131077 TKX131077 TUT131077 UEP131077 UOL131077 UYH131077 VID131077 VRZ131077 WBV131077 WLR131077 WVN131077 B196611 JB196613 SX196613 ACT196613 AMP196613 AWL196613 BGH196613 BQD196613 BZZ196613 CJV196613 CTR196613 DDN196613 DNJ196613 DXF196613 EHB196613 EQX196613 FAT196613 FKP196613 FUL196613 GEH196613 GOD196613 GXZ196613 HHV196613 HRR196613 IBN196613 ILJ196613 IVF196613 JFB196613 JOX196613 JYT196613 KIP196613 KSL196613 LCH196613 LMD196613 LVZ196613 MFV196613 MPR196613 MZN196613 NJJ196613 NTF196613 ODB196613 OMX196613 OWT196613 PGP196613 PQL196613 QAH196613 QKD196613 QTZ196613 RDV196613 RNR196613 RXN196613 SHJ196613 SRF196613 TBB196613 TKX196613 TUT196613 UEP196613 UOL196613 UYH196613 VID196613 VRZ196613 WBV196613 WLR196613 WVN196613 B262147 JB262149 SX262149 ACT262149 AMP262149 AWL262149 BGH262149 BQD262149 BZZ262149 CJV262149 CTR262149 DDN262149 DNJ262149 DXF262149 EHB262149 EQX262149 FAT262149 FKP262149 FUL262149 GEH262149 GOD262149 GXZ262149 HHV262149 HRR262149 IBN262149 ILJ262149 IVF262149 JFB262149 JOX262149 JYT262149 KIP262149 KSL262149 LCH262149 LMD262149 LVZ262149 MFV262149 MPR262149 MZN262149 NJJ262149 NTF262149 ODB262149 OMX262149 OWT262149 PGP262149 PQL262149 QAH262149 QKD262149 QTZ262149 RDV262149 RNR262149 RXN262149 SHJ262149 SRF262149 TBB262149 TKX262149 TUT262149 UEP262149 UOL262149 UYH262149 VID262149 VRZ262149 WBV262149 WLR262149 WVN262149 B327683 JB327685 SX327685 ACT327685 AMP327685 AWL327685 BGH327685 BQD327685 BZZ327685 CJV327685 CTR327685 DDN327685 DNJ327685 DXF327685 EHB327685 EQX327685 FAT327685 FKP327685 FUL327685 GEH327685 GOD327685 GXZ327685 HHV327685 HRR327685 IBN327685 ILJ327685 IVF327685 JFB327685 JOX327685 JYT327685 KIP327685 KSL327685 LCH327685 LMD327685 LVZ327685 MFV327685 MPR327685 MZN327685 NJJ327685 NTF327685 ODB327685 OMX327685 OWT327685 PGP327685 PQL327685 QAH327685 QKD327685 QTZ327685 RDV327685 RNR327685 RXN327685 SHJ327685 SRF327685 TBB327685 TKX327685 TUT327685 UEP327685 UOL327685 UYH327685 VID327685 VRZ327685 WBV327685 WLR327685 WVN327685 B393219 JB393221 SX393221 ACT393221 AMP393221 AWL393221 BGH393221 BQD393221 BZZ393221 CJV393221 CTR393221 DDN393221 DNJ393221 DXF393221 EHB393221 EQX393221 FAT393221 FKP393221 FUL393221 GEH393221 GOD393221 GXZ393221 HHV393221 HRR393221 IBN393221 ILJ393221 IVF393221 JFB393221 JOX393221 JYT393221 KIP393221 KSL393221 LCH393221 LMD393221 LVZ393221 MFV393221 MPR393221 MZN393221 NJJ393221 NTF393221 ODB393221 OMX393221 OWT393221 PGP393221 PQL393221 QAH393221 QKD393221 QTZ393221 RDV393221 RNR393221 RXN393221 SHJ393221 SRF393221 TBB393221 TKX393221 TUT393221 UEP393221 UOL393221 UYH393221 VID393221 VRZ393221 WBV393221 WLR393221 WVN393221 B458755 JB458757 SX458757 ACT458757 AMP458757 AWL458757 BGH458757 BQD458757 BZZ458757 CJV458757 CTR458757 DDN458757 DNJ458757 DXF458757 EHB458757 EQX458757 FAT458757 FKP458757 FUL458757 GEH458757 GOD458757 GXZ458757 HHV458757 HRR458757 IBN458757 ILJ458757 IVF458757 JFB458757 JOX458757 JYT458757 KIP458757 KSL458757 LCH458757 LMD458757 LVZ458757 MFV458757 MPR458757 MZN458757 NJJ458757 NTF458757 ODB458757 OMX458757 OWT458757 PGP458757 PQL458757 QAH458757 QKD458757 QTZ458757 RDV458757 RNR458757 RXN458757 SHJ458757 SRF458757 TBB458757 TKX458757 TUT458757 UEP458757 UOL458757 UYH458757 VID458757 VRZ458757 WBV458757 WLR458757 WVN458757 B524291 JB524293 SX524293 ACT524293 AMP524293 AWL524293 BGH524293 BQD524293 BZZ524293 CJV524293 CTR524293 DDN524293 DNJ524293 DXF524293 EHB524293 EQX524293 FAT524293 FKP524293 FUL524293 GEH524293 GOD524293 GXZ524293 HHV524293 HRR524293 IBN524293 ILJ524293 IVF524293 JFB524293 JOX524293 JYT524293 KIP524293 KSL524293 LCH524293 LMD524293 LVZ524293 MFV524293 MPR524293 MZN524293 NJJ524293 NTF524293 ODB524293 OMX524293 OWT524293 PGP524293 PQL524293 QAH524293 QKD524293 QTZ524293 RDV524293 RNR524293 RXN524293 SHJ524293 SRF524293 TBB524293 TKX524293 TUT524293 UEP524293 UOL524293 UYH524293 VID524293 VRZ524293 WBV524293 WLR524293 WVN524293 B589827 JB589829 SX589829 ACT589829 AMP589829 AWL589829 BGH589829 BQD589829 BZZ589829 CJV589829 CTR589829 DDN589829 DNJ589829 DXF589829 EHB589829 EQX589829 FAT589829 FKP589829 FUL589829 GEH589829 GOD589829 GXZ589829 HHV589829 HRR589829 IBN589829 ILJ589829 IVF589829 JFB589829 JOX589829 JYT589829 KIP589829 KSL589829 LCH589829 LMD589829 LVZ589829 MFV589829 MPR589829 MZN589829 NJJ589829 NTF589829 ODB589829 OMX589829 OWT589829 PGP589829 PQL589829 QAH589829 QKD589829 QTZ589829 RDV589829 RNR589829 RXN589829 SHJ589829 SRF589829 TBB589829 TKX589829 TUT589829 UEP589829 UOL589829 UYH589829 VID589829 VRZ589829 WBV589829 WLR589829 WVN589829 B655363 JB655365 SX655365 ACT655365 AMP655365 AWL655365 BGH655365 BQD655365 BZZ655365 CJV655365 CTR655365 DDN655365 DNJ655365 DXF655365 EHB655365 EQX655365 FAT655365 FKP655365 FUL655365 GEH655365 GOD655365 GXZ655365 HHV655365 HRR655365 IBN655365 ILJ655365 IVF655365 JFB655365 JOX655365 JYT655365 KIP655365 KSL655365 LCH655365 LMD655365 LVZ655365 MFV655365 MPR655365 MZN655365 NJJ655365 NTF655365 ODB655365 OMX655365 OWT655365 PGP655365 PQL655365 QAH655365 QKD655365 QTZ655365 RDV655365 RNR655365 RXN655365 SHJ655365 SRF655365 TBB655365 TKX655365 TUT655365 UEP655365 UOL655365 UYH655365 VID655365 VRZ655365 WBV655365 WLR655365 WVN655365 B720899 JB720901 SX720901 ACT720901 AMP720901 AWL720901 BGH720901 BQD720901 BZZ720901 CJV720901 CTR720901 DDN720901 DNJ720901 DXF720901 EHB720901 EQX720901 FAT720901 FKP720901 FUL720901 GEH720901 GOD720901 GXZ720901 HHV720901 HRR720901 IBN720901 ILJ720901 IVF720901 JFB720901 JOX720901 JYT720901 KIP720901 KSL720901 LCH720901 LMD720901 LVZ720901 MFV720901 MPR720901 MZN720901 NJJ720901 NTF720901 ODB720901 OMX720901 OWT720901 PGP720901 PQL720901 QAH720901 QKD720901 QTZ720901 RDV720901 RNR720901 RXN720901 SHJ720901 SRF720901 TBB720901 TKX720901 TUT720901 UEP720901 UOL720901 UYH720901 VID720901 VRZ720901 WBV720901 WLR720901 WVN720901 B786435 JB786437 SX786437 ACT786437 AMP786437 AWL786437 BGH786437 BQD786437 BZZ786437 CJV786437 CTR786437 DDN786437 DNJ786437 DXF786437 EHB786437 EQX786437 FAT786437 FKP786437 FUL786437 GEH786437 GOD786437 GXZ786437 HHV786437 HRR786437 IBN786437 ILJ786437 IVF786437 JFB786437 JOX786437 JYT786437 KIP786437 KSL786437 LCH786437 LMD786437 LVZ786437 MFV786437 MPR786437 MZN786437 NJJ786437 NTF786437 ODB786437 OMX786437 OWT786437 PGP786437 PQL786437 QAH786437 QKD786437 QTZ786437 RDV786437 RNR786437 RXN786437 SHJ786437 SRF786437 TBB786437 TKX786437 TUT786437 UEP786437 UOL786437 UYH786437 VID786437 VRZ786437 WBV786437 WLR786437 WVN786437 B851971 JB851973 SX851973 ACT851973 AMP851973 AWL851973 BGH851973 BQD851973 BZZ851973 CJV851973 CTR851973 DDN851973 DNJ851973 DXF851973 EHB851973 EQX851973 FAT851973 FKP851973 FUL851973 GEH851973 GOD851973 GXZ851973 HHV851973 HRR851973 IBN851973 ILJ851973 IVF851973 JFB851973 JOX851973 JYT851973 KIP851973 KSL851973 LCH851973 LMD851973 LVZ851973 MFV851973 MPR851973 MZN851973 NJJ851973 NTF851973 ODB851973 OMX851973 OWT851973 PGP851973 PQL851973 QAH851973 QKD851973 QTZ851973 RDV851973 RNR851973 RXN851973 SHJ851973 SRF851973 TBB851973 TKX851973 TUT851973 UEP851973 UOL851973 UYH851973 VID851973 VRZ851973 WBV851973 WLR851973 WVN851973 B917507 JB917509 SX917509 ACT917509 AMP917509 AWL917509 BGH917509 BQD917509 BZZ917509 CJV917509 CTR917509 DDN917509 DNJ917509 DXF917509 EHB917509 EQX917509 FAT917509 FKP917509 FUL917509 GEH917509 GOD917509 GXZ917509 HHV917509 HRR917509 IBN917509 ILJ917509 IVF917509 JFB917509 JOX917509 JYT917509 KIP917509 KSL917509 LCH917509 LMD917509 LVZ917509 MFV917509 MPR917509 MZN917509 NJJ917509 NTF917509 ODB917509 OMX917509 OWT917509 PGP917509 PQL917509 QAH917509 QKD917509 QTZ917509 RDV917509 RNR917509 RXN917509 SHJ917509 SRF917509 TBB917509 TKX917509 TUT917509 UEP917509 UOL917509 UYH917509 VID917509 VRZ917509 WBV917509 WLR917509 WVN917509 B983043 JB983045 SX983045 ACT983045 AMP983045 AWL983045 BGH983045 BQD983045 BZZ983045 CJV983045 CTR983045 DDN983045 DNJ983045 DXF983045 EHB983045 EQX983045 FAT983045 FKP983045 FUL983045 GEH983045 GOD983045 GXZ983045 HHV983045 HRR983045 IBN983045 ILJ983045 IVF983045 JFB983045 JOX983045 JYT983045 KIP983045 KSL983045 LCH983045 LMD983045 LVZ983045 MFV983045 MPR983045 MZN983045 NJJ983045 NTF983045 ODB983045 OMX983045 OWT983045 PGP983045 PQL983045 QAH983045 QKD983045 QTZ983045 RDV983045 RNR983045 RXN983045 SHJ983045 SRF983045 TBB983045 TKX983045 TUT983045 UEP983045 UOL983045 UYH983045 VID983045 VRZ983045 WBV983045 WLR983045 WVN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13"/>
  <sheetViews>
    <sheetView workbookViewId="0">
      <selection activeCell="E3" sqref="E3"/>
    </sheetView>
  </sheetViews>
  <sheetFormatPr defaultRowHeight="13.5" x14ac:dyDescent="0.25"/>
  <cols>
    <col min="1" max="1" width="2.7109375" style="157" customWidth="1"/>
    <col min="2" max="2" width="4" style="157" customWidth="1"/>
    <col min="3" max="3" width="15.140625" style="157" bestFit="1" customWidth="1"/>
    <col min="4" max="4" width="21.42578125" style="157" bestFit="1" customWidth="1"/>
    <col min="5" max="5" width="21.42578125" style="158" customWidth="1"/>
    <col min="6" max="6" width="19" style="157" customWidth="1"/>
    <col min="7" max="7" width="20.7109375" style="157" customWidth="1"/>
    <col min="8" max="8" width="2.7109375" style="157" customWidth="1"/>
    <col min="9" max="16384" width="9.140625" style="157"/>
  </cols>
  <sheetData>
    <row r="1" spans="1:8" ht="11.25" customHeight="1" x14ac:dyDescent="0.25">
      <c r="A1" s="50"/>
      <c r="B1" s="45"/>
      <c r="C1" s="46" t="s">
        <v>50</v>
      </c>
      <c r="D1" s="65" t="str">
        <f>Currency&amp;"_YC"&amp;$C$1&amp;"RH"</f>
        <v>EUR_YC6MRH</v>
      </c>
      <c r="E1" s="93"/>
      <c r="F1" s="66" t="str">
        <f>$D$1&amp;"_Deposits.xml"</f>
        <v>EUR_YC6MRH_Deposits.xml</v>
      </c>
      <c r="G1" s="1"/>
      <c r="H1" s="63"/>
    </row>
    <row r="2" spans="1:8" ht="22.5" customHeight="1" x14ac:dyDescent="0.25">
      <c r="A2" s="44"/>
      <c r="B2" s="151"/>
      <c r="C2" s="151" t="s">
        <v>52</v>
      </c>
      <c r="D2" s="151" t="s">
        <v>51</v>
      </c>
      <c r="E2" s="160" t="s">
        <v>78</v>
      </c>
      <c r="F2" s="152" t="str">
        <f>IF(Serialize,_xll.ohObjectSave(F4:F4,SerializationPath&amp;F1,FileOverwrite,Serialize),"---")</f>
        <v>---</v>
      </c>
      <c r="G2" s="153" t="str">
        <f>_xll.ohRangeRetrieveError(F2)</f>
        <v/>
      </c>
      <c r="H2" s="63"/>
    </row>
    <row r="3" spans="1:8" x14ac:dyDescent="0.25">
      <c r="A3" s="44"/>
      <c r="B3" s="153"/>
      <c r="C3" s="155"/>
      <c r="D3" s="155"/>
      <c r="E3" s="226" t="b">
        <v>1</v>
      </c>
      <c r="F3" s="154"/>
      <c r="G3" s="155"/>
      <c r="H3" s="63"/>
    </row>
    <row r="4" spans="1:8" ht="11.25" customHeight="1" x14ac:dyDescent="0.25">
      <c r="A4" s="44"/>
      <c r="B4" s="88" t="s">
        <v>50</v>
      </c>
      <c r="C4" s="67" t="str">
        <f>_xll.qlEuribor(,$C$1,,Permanent,Trigger,ObjectOverwrite)</f>
        <v>obj_00644#0001</v>
      </c>
      <c r="D4" s="235" t="str">
        <f>Currency&amp;B4&amp;"D"&amp;QuoteSuffix</f>
        <v>EUR6MD_Quote</v>
      </c>
      <c r="E4" s="95" t="str">
        <f>Currency&amp;B4&amp;"D"&amp;LCHQuoteSuffix</f>
        <v>EUR6MD_LCHQuote</v>
      </c>
      <c r="F4" s="68" t="str">
        <f>_xll.qlDepositRateHelper(,IF($E$3,E4,D4),C4,Permanent,Trigger,ObjectOverwrite)</f>
        <v>obj_00645#0001</v>
      </c>
      <c r="G4" s="156" t="str">
        <f>_xll.ohRangeRetrieveError(F4)</f>
        <v/>
      </c>
      <c r="H4" s="63"/>
    </row>
    <row r="5" spans="1:8" ht="11.25" customHeight="1" thickBot="1" x14ac:dyDescent="0.3">
      <c r="A5" s="55"/>
      <c r="B5" s="56"/>
      <c r="C5" s="56"/>
      <c r="D5" s="56"/>
      <c r="E5" s="94"/>
      <c r="F5" s="56"/>
      <c r="G5" s="56"/>
      <c r="H5" s="63"/>
    </row>
    <row r="6" spans="1:8" ht="11.25" customHeight="1" x14ac:dyDescent="0.25">
      <c r="H6" s="159"/>
    </row>
    <row r="7" spans="1:8" ht="11.25" customHeight="1" x14ac:dyDescent="0.25"/>
    <row r="8" spans="1:8" ht="11.25" customHeight="1" x14ac:dyDescent="0.25"/>
    <row r="9" spans="1:8" ht="11.25" customHeight="1" x14ac:dyDescent="0.25"/>
    <row r="10" spans="1:8" ht="11.25" customHeight="1" x14ac:dyDescent="0.25"/>
    <row r="11" spans="1:8" ht="11.25" customHeight="1" x14ac:dyDescent="0.25"/>
    <row r="12" spans="1:8" ht="11.25" customHeight="1" x14ac:dyDescent="0.25"/>
    <row r="13" spans="1:8" ht="11.25" customHeight="1" x14ac:dyDescent="0.25"/>
  </sheetData>
  <dataValidations count="1">
    <dataValidation type="list" allowBlank="1" showInputMessage="1" showErrorMessage="1" sqref="E3">
      <formula1>"TRUE, FALSE"</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3"/>
  <sheetViews>
    <sheetView workbookViewId="0">
      <selection activeCell="H3" sqref="H3"/>
    </sheetView>
  </sheetViews>
  <sheetFormatPr defaultRowHeight="11.25" x14ac:dyDescent="0.2"/>
  <cols>
    <col min="1" max="1" width="2.7109375" style="170" customWidth="1"/>
    <col min="2" max="2" width="3.7109375" style="170" customWidth="1"/>
    <col min="3" max="3" width="3" style="170" bestFit="1" customWidth="1"/>
    <col min="4" max="4" width="5" style="170" bestFit="1" customWidth="1"/>
    <col min="5" max="5" width="11" style="170" bestFit="1" customWidth="1"/>
    <col min="6" max="6" width="11" style="170" customWidth="1"/>
    <col min="7" max="7" width="16.140625" style="170" bestFit="1" customWidth="1"/>
    <col min="8" max="8" width="16.140625" style="170" customWidth="1"/>
    <col min="9" max="9" width="17" style="171" customWidth="1"/>
    <col min="10" max="10" width="20.7109375" style="170" customWidth="1"/>
    <col min="11" max="11" width="2.7109375" style="170" customWidth="1"/>
    <col min="12" max="16384" width="9.140625" style="170"/>
  </cols>
  <sheetData>
    <row r="1" spans="1:11" ht="12" x14ac:dyDescent="0.2">
      <c r="A1" s="42"/>
      <c r="B1" s="59"/>
      <c r="C1" s="43"/>
      <c r="D1" s="43">
        <v>6</v>
      </c>
      <c r="E1" s="59" t="str">
        <f>_xll.qlPeriodEquivalent(D1&amp;"M")</f>
        <v>6M</v>
      </c>
      <c r="F1" s="46"/>
      <c r="G1" s="52" t="str">
        <f>Currency&amp;"_YC"&amp;$E$1&amp;"RH"</f>
        <v>EUR_YC6MRH</v>
      </c>
      <c r="H1" s="54"/>
      <c r="I1" s="60" t="str">
        <f>$G$1&amp;"_FRAs.xml"</f>
        <v>EUR_YC6MRH_FRAs.xml</v>
      </c>
      <c r="J1" s="41"/>
      <c r="K1" s="61"/>
    </row>
    <row r="2" spans="1:11" ht="23.25" customHeight="1" x14ac:dyDescent="0.2">
      <c r="A2" s="44"/>
      <c r="B2" s="163"/>
      <c r="C2" s="172"/>
      <c r="D2" s="173"/>
      <c r="E2" s="151" t="s">
        <v>52</v>
      </c>
      <c r="F2" s="151" t="s">
        <v>62</v>
      </c>
      <c r="G2" s="151" t="s">
        <v>51</v>
      </c>
      <c r="H2" s="164" t="s">
        <v>78</v>
      </c>
      <c r="I2" s="165" t="str">
        <f>IF(Serialize,_xll.ohObjectSave(I4:I10,SerializationPath&amp;I1,FileOverwrite,Serialize),"---")</f>
        <v>---</v>
      </c>
      <c r="J2" s="166" t="str">
        <f>_xll.ohRangeRetrieveError(I2)</f>
        <v/>
      </c>
      <c r="K2" s="63"/>
    </row>
    <row r="3" spans="1:11" x14ac:dyDescent="0.2">
      <c r="A3" s="44"/>
      <c r="B3" s="175"/>
      <c r="C3" s="174"/>
      <c r="D3" s="166"/>
      <c r="E3" s="166"/>
      <c r="F3" s="166"/>
      <c r="G3" s="166"/>
      <c r="H3" s="176" t="b">
        <v>1</v>
      </c>
      <c r="I3" s="167"/>
      <c r="J3" s="167"/>
      <c r="K3" s="63"/>
    </row>
    <row r="4" spans="1:11" x14ac:dyDescent="0.2">
      <c r="A4" s="44"/>
      <c r="B4" s="79" t="s">
        <v>113</v>
      </c>
      <c r="C4" s="82">
        <v>1</v>
      </c>
      <c r="D4" s="83" t="str">
        <f t="shared" ref="D4" si="0">"x"&amp;C4+$D$1&amp;"F"</f>
        <v>x7F</v>
      </c>
      <c r="E4" s="79" t="str">
        <f t="shared" ref="E4:E10" si="1">PROPER(Currency)&amp;FamilyName&amp;$E$1</f>
        <v>Euribor6M</v>
      </c>
      <c r="F4" s="81" t="b">
        <v>0</v>
      </c>
      <c r="G4" s="96" t="str">
        <f t="shared" ref="G4" si="2">Currency&amp;C4&amp;D4&amp;IF(F4,"_SYNTH"&amp;$E$1,"")&amp;"_Quote"</f>
        <v>EUR1x7F_Quote</v>
      </c>
      <c r="H4" s="161" t="str">
        <f t="shared" ref="H4:H10" si="3">Currency&amp;C4&amp;D4&amp;LCHQuoteSuffix</f>
        <v>EUR1x7F_LCHQuote</v>
      </c>
      <c r="I4" s="80" t="str">
        <f>_xll.qlFraRateHelper(,IF($H$3,H4,G4),B4,E4,,,Permanent,Trigger,ObjectOverwrite)</f>
        <v>obj_0064b#0001</v>
      </c>
      <c r="J4" s="168" t="str">
        <f>_xll.ohRangeRetrieveError(I4)</f>
        <v/>
      </c>
      <c r="K4" s="63"/>
    </row>
    <row r="5" spans="1:11" x14ac:dyDescent="0.2">
      <c r="A5" s="44"/>
      <c r="B5" s="228" t="s">
        <v>114</v>
      </c>
      <c r="C5" s="82">
        <v>2</v>
      </c>
      <c r="D5" s="83" t="str">
        <f t="shared" ref="D5:D10" si="4">"x"&amp;C5+$D$1&amp;"F"</f>
        <v>x8F</v>
      </c>
      <c r="E5" s="228" t="str">
        <f t="shared" si="1"/>
        <v>Euribor6M</v>
      </c>
      <c r="F5" s="84" t="b">
        <v>0</v>
      </c>
      <c r="G5" s="229" t="str">
        <f t="shared" ref="G5:G10" si="5">Currency&amp;C5&amp;D5&amp;IF(F5,"_SYNTH"&amp;$E$1,"")&amp;"_Quote"</f>
        <v>EUR2x8F_Quote</v>
      </c>
      <c r="H5" s="230" t="str">
        <f t="shared" si="3"/>
        <v>EUR2x8F_LCHQuote</v>
      </c>
      <c r="I5" s="83" t="str">
        <f>_xll.qlFraRateHelper(,IF($H$3,H5,G5),B5,E5,,,Permanent,Trigger,ObjectOverwrite)</f>
        <v>obj_00647#0001</v>
      </c>
      <c r="J5" s="231" t="str">
        <f>_xll.ohRangeRetrieveError(I5)</f>
        <v/>
      </c>
      <c r="K5" s="63"/>
    </row>
    <row r="6" spans="1:11" x14ac:dyDescent="0.2">
      <c r="A6" s="44"/>
      <c r="B6" s="228" t="s">
        <v>115</v>
      </c>
      <c r="C6" s="82">
        <v>3</v>
      </c>
      <c r="D6" s="83" t="str">
        <f t="shared" si="4"/>
        <v>x9F</v>
      </c>
      <c r="E6" s="228" t="str">
        <f t="shared" si="1"/>
        <v>Euribor6M</v>
      </c>
      <c r="F6" s="84" t="b">
        <v>0</v>
      </c>
      <c r="G6" s="229" t="str">
        <f t="shared" si="5"/>
        <v>EUR3x9F_Quote</v>
      </c>
      <c r="H6" s="230" t="str">
        <f t="shared" si="3"/>
        <v>EUR3x9F_LCHQuote</v>
      </c>
      <c r="I6" s="83" t="str">
        <f>_xll.qlFraRateHelper(,IF($H$3,H6,G6),B6,E6,,,Permanent,Trigger,ObjectOverwrite)</f>
        <v>obj_00649#0001</v>
      </c>
      <c r="J6" s="231" t="str">
        <f>_xll.ohRangeRetrieveError(I6)</f>
        <v/>
      </c>
      <c r="K6" s="63"/>
    </row>
    <row r="7" spans="1:11" x14ac:dyDescent="0.2">
      <c r="A7" s="44"/>
      <c r="B7" s="228" t="s">
        <v>116</v>
      </c>
      <c r="C7" s="82">
        <v>4</v>
      </c>
      <c r="D7" s="83" t="str">
        <f t="shared" si="4"/>
        <v>x10F</v>
      </c>
      <c r="E7" s="228" t="str">
        <f t="shared" si="1"/>
        <v>Euribor6M</v>
      </c>
      <c r="F7" s="84" t="b">
        <v>0</v>
      </c>
      <c r="G7" s="229" t="str">
        <f t="shared" si="5"/>
        <v>EUR4x10F_Quote</v>
      </c>
      <c r="H7" s="230" t="str">
        <f t="shared" si="3"/>
        <v>EUR4x10F_LCHQuote</v>
      </c>
      <c r="I7" s="83" t="str">
        <f>_xll.qlFraRateHelper(,IF($H$3,H7,G7),B7,E7,,,Permanent,Trigger,ObjectOverwrite)</f>
        <v>obj_0064c#0001</v>
      </c>
      <c r="J7" s="231" t="str">
        <f>_xll.ohRangeRetrieveError(I7)</f>
        <v/>
      </c>
      <c r="K7" s="63"/>
    </row>
    <row r="8" spans="1:11" x14ac:dyDescent="0.2">
      <c r="A8" s="44"/>
      <c r="B8" s="228" t="s">
        <v>117</v>
      </c>
      <c r="C8" s="82">
        <v>5</v>
      </c>
      <c r="D8" s="83" t="str">
        <f t="shared" si="4"/>
        <v>x11F</v>
      </c>
      <c r="E8" s="228" t="str">
        <f t="shared" si="1"/>
        <v>Euribor6M</v>
      </c>
      <c r="F8" s="84" t="b">
        <v>0</v>
      </c>
      <c r="G8" s="229" t="str">
        <f t="shared" si="5"/>
        <v>EUR5x11F_Quote</v>
      </c>
      <c r="H8" s="230" t="str">
        <f t="shared" si="3"/>
        <v>EUR5x11F_LCHQuote</v>
      </c>
      <c r="I8" s="83" t="str">
        <f>_xll.qlFraRateHelper(,IF($H$3,H8,G8),B8,E8,,,Permanent,Trigger,ObjectOverwrite)</f>
        <v>obj_0064a#0001</v>
      </c>
      <c r="J8" s="231" t="str">
        <f>_xll.ohRangeRetrieveError(I8)</f>
        <v/>
      </c>
      <c r="K8" s="63"/>
    </row>
    <row r="9" spans="1:11" x14ac:dyDescent="0.2">
      <c r="A9" s="44"/>
      <c r="B9" s="228" t="s">
        <v>50</v>
      </c>
      <c r="C9" s="82">
        <v>6</v>
      </c>
      <c r="D9" s="83" t="str">
        <f t="shared" si="4"/>
        <v>x12F</v>
      </c>
      <c r="E9" s="228" t="str">
        <f t="shared" si="1"/>
        <v>Euribor6M</v>
      </c>
      <c r="F9" s="84" t="b">
        <v>0</v>
      </c>
      <c r="G9" s="229" t="str">
        <f t="shared" si="5"/>
        <v>EUR6x12F_Quote</v>
      </c>
      <c r="H9" s="230" t="str">
        <f t="shared" si="3"/>
        <v>EUR6x12F_LCHQuote</v>
      </c>
      <c r="I9" s="83" t="str">
        <f>_xll.qlFraRateHelper(,IF($H$3,H9,G9),B9,E9,,,Permanent,Trigger,ObjectOverwrite)</f>
        <v>obj_00646#0001</v>
      </c>
      <c r="J9" s="231" t="str">
        <f>_xll.ohRangeRetrieveError(I9)</f>
        <v/>
      </c>
      <c r="K9" s="63"/>
    </row>
    <row r="10" spans="1:11" x14ac:dyDescent="0.2">
      <c r="A10" s="44"/>
      <c r="B10" s="85" t="s">
        <v>118</v>
      </c>
      <c r="C10" s="86">
        <v>12</v>
      </c>
      <c r="D10" s="68" t="str">
        <f t="shared" si="4"/>
        <v>x18F</v>
      </c>
      <c r="E10" s="85" t="str">
        <f t="shared" si="1"/>
        <v>Euribor6M</v>
      </c>
      <c r="F10" s="87" t="b">
        <v>0</v>
      </c>
      <c r="G10" s="97" t="str">
        <f t="shared" si="5"/>
        <v>EUR12x18F_Quote</v>
      </c>
      <c r="H10" s="162" t="str">
        <f t="shared" si="3"/>
        <v>EUR12x18F_LCHQuote</v>
      </c>
      <c r="I10" s="68" t="str">
        <f>_xll.qlFraRateHelper(,IF($H$3,H10,G10),B10,E10,,,Permanent,Trigger,ObjectOverwrite)</f>
        <v>obj_00648#0001</v>
      </c>
      <c r="J10" s="169" t="str">
        <f>_xll.ohRangeRetrieveError(I10)</f>
        <v/>
      </c>
      <c r="K10" s="63"/>
    </row>
    <row r="11" spans="1:11" ht="12" thickBot="1" x14ac:dyDescent="0.25">
      <c r="A11" s="55"/>
      <c r="B11" s="56"/>
      <c r="C11" s="56"/>
      <c r="D11" s="56"/>
      <c r="E11" s="56"/>
      <c r="F11" s="56"/>
      <c r="G11" s="56"/>
      <c r="H11" s="56"/>
      <c r="I11" s="57"/>
      <c r="J11" s="57"/>
      <c r="K11" s="64"/>
    </row>
    <row r="13" spans="1:11" x14ac:dyDescent="0.2">
      <c r="I13" s="170"/>
    </row>
  </sheetData>
  <dataValidations count="1">
    <dataValidation type="list" allowBlank="1" showInputMessage="1" showErrorMessage="1" sqref="H3">
      <formula1>"TRUE, FALSE"</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21"/>
  <sheetViews>
    <sheetView zoomScaleNormal="100" workbookViewId="0">
      <selection activeCell="L3" sqref="L3"/>
    </sheetView>
  </sheetViews>
  <sheetFormatPr defaultColWidth="5.140625" defaultRowHeight="13.5" x14ac:dyDescent="0.25"/>
  <cols>
    <col min="1" max="1" width="2.7109375" style="157" customWidth="1"/>
    <col min="2" max="2" width="6" style="157" bestFit="1" customWidth="1"/>
    <col min="3" max="3" width="6" style="157" customWidth="1"/>
    <col min="4" max="4" width="4" style="157" bestFit="1" customWidth="1"/>
    <col min="5" max="6" width="3" style="157" bestFit="1" customWidth="1"/>
    <col min="7" max="7" width="11" style="157" bestFit="1" customWidth="1"/>
    <col min="8" max="9" width="19.28515625" style="157" bestFit="1" customWidth="1"/>
    <col min="10" max="10" width="8" style="157" bestFit="1" customWidth="1"/>
    <col min="11" max="11" width="17.28515625" style="157" bestFit="1" customWidth="1"/>
    <col min="12" max="13" width="17.28515625" style="157" customWidth="1"/>
    <col min="14" max="14" width="16.5703125" style="182" customWidth="1"/>
    <col min="15" max="15" width="20.7109375" style="157" customWidth="1"/>
    <col min="16" max="16" width="2.7109375" style="157" customWidth="1"/>
    <col min="17" max="16384" width="5.140625" style="157"/>
  </cols>
  <sheetData>
    <row r="1" spans="1:20" ht="11.25" customHeight="1" x14ac:dyDescent="0.25">
      <c r="A1" s="44"/>
      <c r="B1" s="46"/>
      <c r="C1" s="45"/>
      <c r="D1" s="45"/>
      <c r="E1" s="45"/>
      <c r="F1" s="45"/>
      <c r="G1" s="45"/>
      <c r="H1" s="45"/>
      <c r="I1" s="45"/>
      <c r="J1" s="46" t="s">
        <v>50</v>
      </c>
      <c r="K1" s="46" t="str">
        <f>Currency&amp;"_YC"&amp;$J$1&amp;"RH"</f>
        <v>EUR_YC6MRH</v>
      </c>
      <c r="L1" s="46"/>
      <c r="M1" s="46"/>
      <c r="N1" s="47" t="str">
        <f>K1&amp;"_Swaps.xml"</f>
        <v>EUR_YC6MRH_Swaps.xml</v>
      </c>
      <c r="O1" s="45"/>
      <c r="P1" s="48"/>
    </row>
    <row r="2" spans="1:20" ht="25.5" customHeight="1" x14ac:dyDescent="0.25">
      <c r="A2" s="44"/>
      <c r="B2" s="151" t="s">
        <v>76</v>
      </c>
      <c r="C2" s="151" t="s">
        <v>68</v>
      </c>
      <c r="D2" s="151"/>
      <c r="E2" s="151"/>
      <c r="F2" s="151"/>
      <c r="G2" s="151" t="s">
        <v>67</v>
      </c>
      <c r="H2" s="151" t="s">
        <v>66</v>
      </c>
      <c r="I2" s="151" t="s">
        <v>65</v>
      </c>
      <c r="J2" s="151" t="s">
        <v>64</v>
      </c>
      <c r="K2" s="151" t="s">
        <v>51</v>
      </c>
      <c r="L2" s="164" t="s">
        <v>78</v>
      </c>
      <c r="M2" s="164"/>
      <c r="N2" s="165" t="str">
        <f>IF(Serialize,_xll.ohObjectSave(N3:N20,SerializationPath&amp;N1,FileOverwrite,Serialize),"---")</f>
        <v>---</v>
      </c>
      <c r="O2" s="177" t="str">
        <f>_xll.ohRangeRetrieveError(N2)</f>
        <v/>
      </c>
      <c r="P2" s="49"/>
    </row>
    <row r="3" spans="1:20" ht="11.25" customHeight="1" x14ac:dyDescent="0.25">
      <c r="A3" s="50"/>
      <c r="B3" s="177"/>
      <c r="C3" s="177"/>
      <c r="D3" s="177"/>
      <c r="E3" s="177"/>
      <c r="F3" s="177"/>
      <c r="G3" s="177"/>
      <c r="H3" s="177"/>
      <c r="I3" s="177"/>
      <c r="J3" s="177"/>
      <c r="K3" s="177"/>
      <c r="L3" s="98" t="b">
        <v>1</v>
      </c>
      <c r="M3" s="98"/>
      <c r="N3" s="51" t="str">
        <f>_xll.qlEuribor(,$J$1,,Permanent,Trigger,ObjectOverwrite)</f>
        <v>obj_00621#0001</v>
      </c>
      <c r="O3" s="178" t="str">
        <f>_xll.ohRangeRetrieveError(N3)</f>
        <v/>
      </c>
      <c r="P3" s="48"/>
    </row>
    <row r="4" spans="1:20" ht="11.25" customHeight="1" x14ac:dyDescent="0.25">
      <c r="A4" s="44"/>
      <c r="B4" s="81">
        <v>2</v>
      </c>
      <c r="C4" s="81" t="s">
        <v>61</v>
      </c>
      <c r="D4" s="81" t="s">
        <v>16</v>
      </c>
      <c r="E4" s="81" t="s">
        <v>108</v>
      </c>
      <c r="F4" s="81" t="s">
        <v>119</v>
      </c>
      <c r="G4" s="62" t="s">
        <v>120</v>
      </c>
      <c r="H4" s="62" t="s">
        <v>63</v>
      </c>
      <c r="I4" s="62" t="s">
        <v>110</v>
      </c>
      <c r="J4" s="89">
        <v>0</v>
      </c>
      <c r="K4" s="98" t="str">
        <f t="shared" ref="K4:K20" si="0">Currency&amp;$E4&amp;$F4&amp;$D4&amp;QuoteSuffix</f>
        <v>EURAB6E2Y_Quote</v>
      </c>
      <c r="L4" s="232" t="str">
        <f t="shared" ref="L4:L20" si="1">Currency&amp;$E4&amp;$F4&amp;$D4&amp;LCHQuoteSuffix</f>
        <v>EURAB6E2Y_LCHQuote</v>
      </c>
      <c r="M4" s="104" t="str">
        <f>_xll.qlSwapRateHelper2(,IF($L$3,$L4,$K4),$B4,$D4,Calendar,$G4,$H4,$I4,$N$3,$J4,$C4,Discounting1,,,Permanent,,ObjectOverwrite)</f>
        <v>obj_00628#0001</v>
      </c>
      <c r="N4" s="101" t="str">
        <f>_xll.qlSwapRateHelper2(,IF($L$3,$L4,$K4),$B4,$D4,Calendar,$G4,$H4,$I4,$N$3,$J4,$C4,Discounting2,,,Permanent,,ObjectOverwrite)</f>
        <v>obj_00629#0001</v>
      </c>
      <c r="O4" s="179" t="str">
        <f>_xll.ohRangeRetrieveError(N4)</f>
        <v/>
      </c>
      <c r="P4" s="49"/>
      <c r="Q4" s="183"/>
      <c r="S4" s="183"/>
      <c r="T4" s="183"/>
    </row>
    <row r="5" spans="1:20" ht="11.25" customHeight="1" x14ac:dyDescent="0.25">
      <c r="A5" s="44"/>
      <c r="B5" s="84">
        <v>2</v>
      </c>
      <c r="C5" s="84" t="s">
        <v>61</v>
      </c>
      <c r="D5" s="84" t="s">
        <v>15</v>
      </c>
      <c r="E5" s="84" t="s">
        <v>108</v>
      </c>
      <c r="F5" s="84" t="s">
        <v>119</v>
      </c>
      <c r="G5" s="90" t="s">
        <v>120</v>
      </c>
      <c r="H5" s="90" t="s">
        <v>63</v>
      </c>
      <c r="I5" s="90" t="s">
        <v>110</v>
      </c>
      <c r="J5" s="91">
        <v>0</v>
      </c>
      <c r="K5" s="99" t="str">
        <f t="shared" si="0"/>
        <v>EURAB6E3Y_Quote</v>
      </c>
      <c r="L5" s="233" t="str">
        <f t="shared" si="1"/>
        <v>EURAB6E3Y_LCHQuote</v>
      </c>
      <c r="M5" s="105" t="str">
        <f>_xll.qlSwapRateHelper2(,IF($L$3,$L5,$K5),$B5,$D5,Calendar,$G5,$H5,$I5,$N$3,$J5,$C5,Discounting1,,,Permanent,,ObjectOverwrite)</f>
        <v>obj_0063e#0001</v>
      </c>
      <c r="N5" s="102" t="str">
        <f>_xll.qlSwapRateHelper2(,IF($L$3,$L5,$K5),$B5,$D5,Calendar,$G5,$H5,$I5,$N$3,$J5,$C5,Discounting2,,,Permanent,,ObjectOverwrite)</f>
        <v>obj_0062f#0001</v>
      </c>
      <c r="O5" s="180" t="str">
        <f>_xll.ohRangeRetrieveError(N5)</f>
        <v/>
      </c>
      <c r="P5" s="49"/>
      <c r="Q5" s="183"/>
      <c r="S5" s="183"/>
      <c r="T5" s="183"/>
    </row>
    <row r="6" spans="1:20" ht="11.25" customHeight="1" x14ac:dyDescent="0.25">
      <c r="A6" s="44"/>
      <c r="B6" s="84">
        <v>2</v>
      </c>
      <c r="C6" s="84" t="s">
        <v>61</v>
      </c>
      <c r="D6" s="84" t="s">
        <v>14</v>
      </c>
      <c r="E6" s="84" t="s">
        <v>108</v>
      </c>
      <c r="F6" s="84" t="s">
        <v>119</v>
      </c>
      <c r="G6" s="90" t="s">
        <v>120</v>
      </c>
      <c r="H6" s="90" t="s">
        <v>63</v>
      </c>
      <c r="I6" s="90" t="s">
        <v>110</v>
      </c>
      <c r="J6" s="91">
        <v>0</v>
      </c>
      <c r="K6" s="99" t="str">
        <f t="shared" si="0"/>
        <v>EURAB6E4Y_Quote</v>
      </c>
      <c r="L6" s="233" t="str">
        <f t="shared" si="1"/>
        <v>EURAB6E4Y_LCHQuote</v>
      </c>
      <c r="M6" s="105" t="str">
        <f>_xll.qlSwapRateHelper2(,IF($L$3,$L6,$K6),$B6,$D6,Calendar,$G6,$H6,$I6,$N$3,$J6,$C6,Discounting1,,,Permanent,,ObjectOverwrite)</f>
        <v>obj_00643#0001</v>
      </c>
      <c r="N6" s="102" t="str">
        <f>_xll.qlSwapRateHelper2(,IF($L$3,$L6,$K6),$B6,$D6,Calendar,$G6,$H6,$I6,$N$3,$J6,$C6,Discounting2,,,Permanent,,ObjectOverwrite)</f>
        <v>obj_00633#0001</v>
      </c>
      <c r="O6" s="180" t="str">
        <f>_xll.ohRangeRetrieveError(N6)</f>
        <v/>
      </c>
      <c r="P6" s="49"/>
      <c r="Q6" s="183"/>
      <c r="S6" s="183"/>
      <c r="T6" s="183"/>
    </row>
    <row r="7" spans="1:20" ht="11.25" customHeight="1" x14ac:dyDescent="0.25">
      <c r="A7" s="44"/>
      <c r="B7" s="84">
        <v>2</v>
      </c>
      <c r="C7" s="84" t="s">
        <v>61</v>
      </c>
      <c r="D7" s="84" t="s">
        <v>13</v>
      </c>
      <c r="E7" s="84" t="s">
        <v>108</v>
      </c>
      <c r="F7" s="84" t="s">
        <v>119</v>
      </c>
      <c r="G7" s="90" t="s">
        <v>120</v>
      </c>
      <c r="H7" s="90" t="s">
        <v>63</v>
      </c>
      <c r="I7" s="90" t="s">
        <v>110</v>
      </c>
      <c r="J7" s="91">
        <v>0</v>
      </c>
      <c r="K7" s="99" t="str">
        <f t="shared" si="0"/>
        <v>EURAB6E5Y_Quote</v>
      </c>
      <c r="L7" s="233" t="str">
        <f t="shared" si="1"/>
        <v>EURAB6E5Y_LCHQuote</v>
      </c>
      <c r="M7" s="105" t="str">
        <f>_xll.qlSwapRateHelper2(,IF($L$3,$L7,$K7),$B7,$D7,Calendar,$G7,$H7,$I7,$N$3,$J7,$C7,Discounting1,,,Permanent,,ObjectOverwrite)</f>
        <v>obj_00627#0001</v>
      </c>
      <c r="N7" s="102" t="str">
        <f>_xll.qlSwapRateHelper2(,IF($L$3,$L7,$K7),$B7,$D7,Calendar,$G7,$H7,$I7,$N$3,$J7,$C7,Discounting2,,,Permanent,,ObjectOverwrite)</f>
        <v>obj_00623#0001</v>
      </c>
      <c r="O7" s="180" t="str">
        <f>_xll.ohRangeRetrieveError(N7)</f>
        <v/>
      </c>
      <c r="P7" s="49"/>
      <c r="Q7" s="183"/>
      <c r="S7" s="183"/>
      <c r="T7" s="183"/>
    </row>
    <row r="8" spans="1:20" ht="11.25" customHeight="1" x14ac:dyDescent="0.25">
      <c r="A8" s="44"/>
      <c r="B8" s="84">
        <v>2</v>
      </c>
      <c r="C8" s="84" t="s">
        <v>61</v>
      </c>
      <c r="D8" s="84" t="s">
        <v>12</v>
      </c>
      <c r="E8" s="84" t="s">
        <v>108</v>
      </c>
      <c r="F8" s="84" t="s">
        <v>119</v>
      </c>
      <c r="G8" s="90" t="s">
        <v>120</v>
      </c>
      <c r="H8" s="90" t="s">
        <v>63</v>
      </c>
      <c r="I8" s="90" t="s">
        <v>110</v>
      </c>
      <c r="J8" s="91">
        <v>0</v>
      </c>
      <c r="K8" s="99" t="str">
        <f t="shared" si="0"/>
        <v>EURAB6E6Y_Quote</v>
      </c>
      <c r="L8" s="233" t="str">
        <f t="shared" si="1"/>
        <v>EURAB6E6Y_LCHQuote</v>
      </c>
      <c r="M8" s="105" t="str">
        <f>_xll.qlSwapRateHelper2(,IF($L$3,$L8,$K8),$B8,$D8,Calendar,$G8,$H8,$I8,$N$3,$J8,$C8,Discounting1,,,Permanent,,ObjectOverwrite)</f>
        <v>obj_00624#0001</v>
      </c>
      <c r="N8" s="102" t="str">
        <f>_xll.qlSwapRateHelper2(,IF($L$3,$L8,$K8),$B8,$D8,Calendar,$G8,$H8,$I8,$N$3,$J8,$C8,Discounting2,,,Permanent,,ObjectOverwrite)</f>
        <v>obj_00638#0001</v>
      </c>
      <c r="O8" s="180" t="str">
        <f>_xll.ohRangeRetrieveError(N8)</f>
        <v/>
      </c>
      <c r="P8" s="49"/>
      <c r="Q8" s="183"/>
      <c r="S8" s="183"/>
      <c r="T8" s="183"/>
    </row>
    <row r="9" spans="1:20" ht="11.25" customHeight="1" x14ac:dyDescent="0.25">
      <c r="A9" s="44"/>
      <c r="B9" s="84">
        <v>2</v>
      </c>
      <c r="C9" s="84" t="s">
        <v>61</v>
      </c>
      <c r="D9" s="84" t="s">
        <v>11</v>
      </c>
      <c r="E9" s="84" t="s">
        <v>108</v>
      </c>
      <c r="F9" s="84" t="s">
        <v>119</v>
      </c>
      <c r="G9" s="90" t="s">
        <v>120</v>
      </c>
      <c r="H9" s="90" t="s">
        <v>63</v>
      </c>
      <c r="I9" s="90" t="s">
        <v>110</v>
      </c>
      <c r="J9" s="91">
        <v>0</v>
      </c>
      <c r="K9" s="99" t="str">
        <f t="shared" si="0"/>
        <v>EURAB6E7Y_Quote</v>
      </c>
      <c r="L9" s="233" t="str">
        <f t="shared" si="1"/>
        <v>EURAB6E7Y_LCHQuote</v>
      </c>
      <c r="M9" s="105" t="str">
        <f>_xll.qlSwapRateHelper2(,IF($L$3,$L9,$K9),$B9,$D9,Calendar,$G9,$H9,$I9,$N$3,$J9,$C9,Discounting1,,,Permanent,,ObjectOverwrite)</f>
        <v>obj_00630#0001</v>
      </c>
      <c r="N9" s="102" t="str">
        <f>_xll.qlSwapRateHelper2(,IF($L$3,$L9,$K9),$B9,$D9,Calendar,$G9,$H9,$I9,$N$3,$J9,$C9,Discounting2,,,Permanent,,ObjectOverwrite)</f>
        <v>obj_0062c#0001</v>
      </c>
      <c r="O9" s="180" t="str">
        <f>_xll.ohRangeRetrieveError(N9)</f>
        <v/>
      </c>
      <c r="P9" s="49"/>
      <c r="Q9" s="183"/>
      <c r="S9" s="183"/>
      <c r="T9" s="183"/>
    </row>
    <row r="10" spans="1:20" ht="11.25" customHeight="1" x14ac:dyDescent="0.25">
      <c r="A10" s="44"/>
      <c r="B10" s="84">
        <v>2</v>
      </c>
      <c r="C10" s="84" t="s">
        <v>61</v>
      </c>
      <c r="D10" s="84" t="s">
        <v>10</v>
      </c>
      <c r="E10" s="84" t="s">
        <v>108</v>
      </c>
      <c r="F10" s="84" t="s">
        <v>119</v>
      </c>
      <c r="G10" s="90" t="s">
        <v>120</v>
      </c>
      <c r="H10" s="90" t="s">
        <v>63</v>
      </c>
      <c r="I10" s="90" t="s">
        <v>110</v>
      </c>
      <c r="J10" s="91">
        <v>0</v>
      </c>
      <c r="K10" s="99" t="str">
        <f t="shared" si="0"/>
        <v>EURAB6E8Y_Quote</v>
      </c>
      <c r="L10" s="233" t="str">
        <f t="shared" si="1"/>
        <v>EURAB6E8Y_LCHQuote</v>
      </c>
      <c r="M10" s="105" t="str">
        <f>_xll.qlSwapRateHelper2(,IF($L$3,$L10,$K10),$B10,$D10,Calendar,$G10,$H10,$I10,$N$3,$J10,$C10,Discounting1,,,Permanent,,ObjectOverwrite)</f>
        <v>obj_0063a#0001</v>
      </c>
      <c r="N10" s="102" t="str">
        <f>_xll.qlSwapRateHelper2(,IF($L$3,$L10,$K10),$B10,$D10,Calendar,$G10,$H10,$I10,$N$3,$J10,$C10,Discounting2,,,Permanent,,ObjectOverwrite)</f>
        <v>obj_00625#0001</v>
      </c>
      <c r="O10" s="180" t="str">
        <f>_xll.ohRangeRetrieveError(N10)</f>
        <v/>
      </c>
      <c r="P10" s="49"/>
      <c r="Q10" s="183"/>
      <c r="S10" s="183"/>
      <c r="T10" s="183"/>
    </row>
    <row r="11" spans="1:20" ht="11.25" customHeight="1" x14ac:dyDescent="0.25">
      <c r="A11" s="44"/>
      <c r="B11" s="84">
        <v>2</v>
      </c>
      <c r="C11" s="84" t="s">
        <v>61</v>
      </c>
      <c r="D11" s="84" t="s">
        <v>9</v>
      </c>
      <c r="E11" s="84" t="s">
        <v>108</v>
      </c>
      <c r="F11" s="84" t="s">
        <v>119</v>
      </c>
      <c r="G11" s="90" t="s">
        <v>120</v>
      </c>
      <c r="H11" s="90" t="s">
        <v>63</v>
      </c>
      <c r="I11" s="90" t="s">
        <v>110</v>
      </c>
      <c r="J11" s="91">
        <v>0</v>
      </c>
      <c r="K11" s="99" t="str">
        <f t="shared" si="0"/>
        <v>EURAB6E9Y_Quote</v>
      </c>
      <c r="L11" s="233" t="str">
        <f t="shared" si="1"/>
        <v>EURAB6E9Y_LCHQuote</v>
      </c>
      <c r="M11" s="105" t="str">
        <f>_xll.qlSwapRateHelper2(,IF($L$3,$L11,$K11),$B11,$D11,Calendar,$G11,$H11,$I11,$N$3,$J11,$C11,Discounting1,,,Permanent,,ObjectOverwrite)</f>
        <v>obj_00636#0001</v>
      </c>
      <c r="N11" s="102" t="str">
        <f>_xll.qlSwapRateHelper2(,IF($L$3,$L11,$K11),$B11,$D11,Calendar,$G11,$H11,$I11,$N$3,$J11,$C11,Discounting2,,,Permanent,,ObjectOverwrite)</f>
        <v>obj_0062a#0001</v>
      </c>
      <c r="O11" s="180" t="str">
        <f>_xll.ohRangeRetrieveError(N11)</f>
        <v/>
      </c>
      <c r="P11" s="49"/>
      <c r="Q11" s="183"/>
      <c r="S11" s="183"/>
      <c r="T11" s="183"/>
    </row>
    <row r="12" spans="1:20" ht="11.25" customHeight="1" x14ac:dyDescent="0.25">
      <c r="A12" s="44"/>
      <c r="B12" s="84">
        <v>2</v>
      </c>
      <c r="C12" s="84" t="s">
        <v>61</v>
      </c>
      <c r="D12" s="84" t="s">
        <v>8</v>
      </c>
      <c r="E12" s="84" t="s">
        <v>108</v>
      </c>
      <c r="F12" s="84" t="s">
        <v>119</v>
      </c>
      <c r="G12" s="90" t="s">
        <v>120</v>
      </c>
      <c r="H12" s="90" t="s">
        <v>63</v>
      </c>
      <c r="I12" s="90" t="s">
        <v>110</v>
      </c>
      <c r="J12" s="91">
        <v>0</v>
      </c>
      <c r="K12" s="99" t="str">
        <f t="shared" si="0"/>
        <v>EURAB6E10Y_Quote</v>
      </c>
      <c r="L12" s="233" t="str">
        <f t="shared" si="1"/>
        <v>EURAB6E10Y_LCHQuote</v>
      </c>
      <c r="M12" s="105" t="str">
        <f>_xll.qlSwapRateHelper2(,IF($L$3,$L12,$K12),$B12,$D12,Calendar,$G12,$H12,$I12,$N$3,$J12,$C12,Discounting1,,,Permanent,,ObjectOverwrite)</f>
        <v>obj_00632#0001</v>
      </c>
      <c r="N12" s="102" t="str">
        <f>_xll.qlSwapRateHelper2(,IF($L$3,$L12,$K12),$B12,$D12,Calendar,$G12,$H12,$I12,$N$3,$J12,$C12,Discounting2,,,Permanent,,ObjectOverwrite)</f>
        <v>obj_00640#0001</v>
      </c>
      <c r="O12" s="180" t="str">
        <f>_xll.ohRangeRetrieveError(N12)</f>
        <v/>
      </c>
      <c r="P12" s="49"/>
      <c r="Q12" s="183"/>
      <c r="S12" s="183"/>
      <c r="T12" s="183"/>
    </row>
    <row r="13" spans="1:20" ht="11.25" customHeight="1" x14ac:dyDescent="0.25">
      <c r="A13" s="44"/>
      <c r="B13" s="84">
        <v>2</v>
      </c>
      <c r="C13" s="84" t="s">
        <v>61</v>
      </c>
      <c r="D13" s="84" t="s">
        <v>7</v>
      </c>
      <c r="E13" s="84" t="s">
        <v>108</v>
      </c>
      <c r="F13" s="84" t="s">
        <v>119</v>
      </c>
      <c r="G13" s="90" t="s">
        <v>120</v>
      </c>
      <c r="H13" s="90" t="s">
        <v>63</v>
      </c>
      <c r="I13" s="90" t="s">
        <v>110</v>
      </c>
      <c r="J13" s="91">
        <v>0</v>
      </c>
      <c r="K13" s="99" t="str">
        <f t="shared" si="0"/>
        <v>EURAB6E12Y_Quote</v>
      </c>
      <c r="L13" s="233" t="str">
        <f t="shared" si="1"/>
        <v>EURAB6E12Y_LCHQuote</v>
      </c>
      <c r="M13" s="105" t="str">
        <f>_xll.qlSwapRateHelper2(,IF($L$3,$L13,$K13),$B13,$D13,Calendar,$G13,$H13,$I13,$N$3,$J13,$C13,Discounting1,,,Permanent,,ObjectOverwrite)</f>
        <v>obj_0063c#0001</v>
      </c>
      <c r="N13" s="102" t="str">
        <f>_xll.qlSwapRateHelper2(,IF($L$3,$L13,$K13),$B13,$D13,Calendar,$G13,$H13,$I13,$N$3,$J13,$C13,Discounting2,,,Permanent,,ObjectOverwrite)</f>
        <v>obj_0063f#0001</v>
      </c>
      <c r="O13" s="180" t="str">
        <f>_xll.ohRangeRetrieveError(N13)</f>
        <v/>
      </c>
      <c r="P13" s="49"/>
      <c r="Q13" s="183"/>
      <c r="S13" s="183"/>
      <c r="T13" s="183"/>
    </row>
    <row r="14" spans="1:20" ht="11.25" customHeight="1" x14ac:dyDescent="0.25">
      <c r="A14" s="44"/>
      <c r="B14" s="84">
        <v>2</v>
      </c>
      <c r="C14" s="84" t="s">
        <v>61</v>
      </c>
      <c r="D14" s="84" t="s">
        <v>6</v>
      </c>
      <c r="E14" s="84" t="s">
        <v>108</v>
      </c>
      <c r="F14" s="84" t="s">
        <v>119</v>
      </c>
      <c r="G14" s="90" t="s">
        <v>120</v>
      </c>
      <c r="H14" s="90" t="s">
        <v>63</v>
      </c>
      <c r="I14" s="90" t="s">
        <v>110</v>
      </c>
      <c r="J14" s="91">
        <v>0</v>
      </c>
      <c r="K14" s="99" t="str">
        <f t="shared" si="0"/>
        <v>EURAB6E15Y_Quote</v>
      </c>
      <c r="L14" s="233" t="str">
        <f t="shared" si="1"/>
        <v>EURAB6E15Y_LCHQuote</v>
      </c>
      <c r="M14" s="105" t="str">
        <f>_xll.qlSwapRateHelper2(,IF($L$3,$L14,$K14),$B14,$D14,Calendar,$G14,$H14,$I14,$N$3,$J14,$C14,Discounting1,,,Permanent,,ObjectOverwrite)</f>
        <v>obj_0062d#0001</v>
      </c>
      <c r="N14" s="102" t="str">
        <f>_xll.qlSwapRateHelper2(,IF($L$3,$L14,$K14),$B14,$D14,Calendar,$G14,$H14,$I14,$N$3,$J14,$C14,Discounting2,,,Permanent,,ObjectOverwrite)</f>
        <v>obj_00622#0001</v>
      </c>
      <c r="O14" s="180" t="str">
        <f>_xll.ohRangeRetrieveError(N14)</f>
        <v/>
      </c>
      <c r="P14" s="49"/>
      <c r="Q14" s="183"/>
      <c r="S14" s="183"/>
      <c r="T14" s="183"/>
    </row>
    <row r="15" spans="1:20" ht="11.25" customHeight="1" x14ac:dyDescent="0.25">
      <c r="A15" s="44"/>
      <c r="B15" s="84">
        <v>2</v>
      </c>
      <c r="C15" s="84" t="s">
        <v>61</v>
      </c>
      <c r="D15" s="84" t="s">
        <v>5</v>
      </c>
      <c r="E15" s="84" t="s">
        <v>108</v>
      </c>
      <c r="F15" s="84" t="s">
        <v>119</v>
      </c>
      <c r="G15" s="90" t="s">
        <v>120</v>
      </c>
      <c r="H15" s="90" t="s">
        <v>63</v>
      </c>
      <c r="I15" s="90" t="s">
        <v>110</v>
      </c>
      <c r="J15" s="91">
        <v>0</v>
      </c>
      <c r="K15" s="99" t="str">
        <f t="shared" si="0"/>
        <v>EURAB6E20Y_Quote</v>
      </c>
      <c r="L15" s="233" t="str">
        <f t="shared" si="1"/>
        <v>EURAB6E20Y_LCHQuote</v>
      </c>
      <c r="M15" s="105" t="str">
        <f>_xll.qlSwapRateHelper2(,IF($L$3,$L15,$K15),$B15,$D15,Calendar,$G15,$H15,$I15,$N$3,$J15,$C15,Discounting1,,,Permanent,,ObjectOverwrite)</f>
        <v>obj_0062e#0001</v>
      </c>
      <c r="N15" s="102" t="str">
        <f>_xll.qlSwapRateHelper2(,IF($L$3,$L15,$K15),$B15,$D15,Calendar,$G15,$H15,$I15,$N$3,$J15,$C15,Discounting2,,,Permanent,,ObjectOverwrite)</f>
        <v>obj_00631#0001</v>
      </c>
      <c r="O15" s="180" t="str">
        <f>_xll.ohRangeRetrieveError(N15)</f>
        <v/>
      </c>
      <c r="P15" s="49"/>
      <c r="Q15" s="183"/>
      <c r="S15" s="183"/>
      <c r="T15" s="183"/>
    </row>
    <row r="16" spans="1:20" ht="11.25" customHeight="1" x14ac:dyDescent="0.25">
      <c r="A16" s="44"/>
      <c r="B16" s="84">
        <v>2</v>
      </c>
      <c r="C16" s="84" t="s">
        <v>61</v>
      </c>
      <c r="D16" s="84" t="s">
        <v>4</v>
      </c>
      <c r="E16" s="84" t="s">
        <v>108</v>
      </c>
      <c r="F16" s="84" t="s">
        <v>119</v>
      </c>
      <c r="G16" s="90" t="s">
        <v>120</v>
      </c>
      <c r="H16" s="90" t="s">
        <v>63</v>
      </c>
      <c r="I16" s="90" t="s">
        <v>110</v>
      </c>
      <c r="J16" s="91">
        <v>0</v>
      </c>
      <c r="K16" s="99" t="str">
        <f t="shared" si="0"/>
        <v>EURAB6E25Y_Quote</v>
      </c>
      <c r="L16" s="233" t="str">
        <f t="shared" si="1"/>
        <v>EURAB6E25Y_LCHQuote</v>
      </c>
      <c r="M16" s="105" t="str">
        <f>_xll.qlSwapRateHelper2(,IF($L$3,$L16,$K16),$B16,$D16,Calendar,$G16,$H16,$I16,$N$3,$J16,$C16,Discounting1,,,Permanent,,ObjectOverwrite)</f>
        <v>obj_0062b#0001</v>
      </c>
      <c r="N16" s="102" t="str">
        <f>_xll.qlSwapRateHelper2(,IF($L$3,$L16,$K16),$B16,$D16,Calendar,$G16,$H16,$I16,$N$3,$J16,$C16,Discounting2,,,Permanent,,ObjectOverwrite)</f>
        <v>obj_00634#0001</v>
      </c>
      <c r="O16" s="180" t="str">
        <f>_xll.ohRangeRetrieveError(N16)</f>
        <v/>
      </c>
      <c r="P16" s="49"/>
      <c r="Q16" s="183"/>
      <c r="S16" s="183"/>
      <c r="T16" s="183"/>
    </row>
    <row r="17" spans="1:20" ht="11.25" customHeight="1" x14ac:dyDescent="0.25">
      <c r="A17" s="44"/>
      <c r="B17" s="84">
        <v>2</v>
      </c>
      <c r="C17" s="84" t="s">
        <v>61</v>
      </c>
      <c r="D17" s="84" t="s">
        <v>3</v>
      </c>
      <c r="E17" s="84" t="s">
        <v>108</v>
      </c>
      <c r="F17" s="84" t="s">
        <v>119</v>
      </c>
      <c r="G17" s="90" t="s">
        <v>120</v>
      </c>
      <c r="H17" s="90" t="s">
        <v>63</v>
      </c>
      <c r="I17" s="90" t="s">
        <v>110</v>
      </c>
      <c r="J17" s="91">
        <v>0</v>
      </c>
      <c r="K17" s="99" t="str">
        <f t="shared" si="0"/>
        <v>EURAB6E30Y_Quote</v>
      </c>
      <c r="L17" s="233" t="str">
        <f t="shared" si="1"/>
        <v>EURAB6E30Y_LCHQuote</v>
      </c>
      <c r="M17" s="105" t="str">
        <f>_xll.qlSwapRateHelper2(,IF($L$3,$L17,$K17),$B17,$D17,Calendar,$G17,$H17,$I17,$N$3,$J17,$C17,Discounting1,,,Permanent,,ObjectOverwrite)</f>
        <v>obj_00626#0001</v>
      </c>
      <c r="N17" s="102" t="str">
        <f>_xll.qlSwapRateHelper2(,IF($L$3,$L17,$K17),$B17,$D17,Calendar,$G17,$H17,$I17,$N$3,$J17,$C17,Discounting2,,,Permanent,,ObjectOverwrite)</f>
        <v>obj_00635#0001</v>
      </c>
      <c r="O17" s="180" t="str">
        <f>_xll.ohRangeRetrieveError(N17)</f>
        <v/>
      </c>
      <c r="P17" s="49"/>
      <c r="Q17" s="183"/>
      <c r="S17" s="183"/>
      <c r="T17" s="183"/>
    </row>
    <row r="18" spans="1:20" ht="11.25" customHeight="1" x14ac:dyDescent="0.25">
      <c r="A18" s="44"/>
      <c r="B18" s="84">
        <v>2</v>
      </c>
      <c r="C18" s="84" t="s">
        <v>61</v>
      </c>
      <c r="D18" s="84" t="s">
        <v>2</v>
      </c>
      <c r="E18" s="84" t="s">
        <v>108</v>
      </c>
      <c r="F18" s="84" t="s">
        <v>119</v>
      </c>
      <c r="G18" s="90" t="s">
        <v>120</v>
      </c>
      <c r="H18" s="90" t="s">
        <v>63</v>
      </c>
      <c r="I18" s="90" t="s">
        <v>110</v>
      </c>
      <c r="J18" s="91">
        <v>0</v>
      </c>
      <c r="K18" s="99" t="str">
        <f t="shared" si="0"/>
        <v>EURAB6E40Y_Quote</v>
      </c>
      <c r="L18" s="233" t="str">
        <f t="shared" si="1"/>
        <v>EURAB6E40Y_LCHQuote</v>
      </c>
      <c r="M18" s="105" t="str">
        <f>_xll.qlSwapRateHelper2(,IF($L$3,$L18,$K18),$B18,$D18,Calendar,$G18,$H18,$I18,$N$3,$J18,$C18,Discounting1,,,Permanent,,ObjectOverwrite)</f>
        <v>obj_00637#0001</v>
      </c>
      <c r="N18" s="102" t="str">
        <f>_xll.qlSwapRateHelper2(,IF($L$3,$L18,$K18),$B18,$D18,Calendar,$G18,$H18,$I18,$N$3,$J18,$C18,Discounting2,,,Permanent,,ObjectOverwrite)</f>
        <v>obj_00639#0001</v>
      </c>
      <c r="O18" s="180" t="str">
        <f>_xll.ohRangeRetrieveError(N18)</f>
        <v/>
      </c>
      <c r="P18" s="49"/>
      <c r="Q18" s="183"/>
      <c r="S18" s="183"/>
      <c r="T18" s="183"/>
    </row>
    <row r="19" spans="1:20" ht="11.25" customHeight="1" x14ac:dyDescent="0.25">
      <c r="A19" s="44"/>
      <c r="B19" s="84">
        <v>2</v>
      </c>
      <c r="C19" s="84" t="s">
        <v>61</v>
      </c>
      <c r="D19" s="84" t="s">
        <v>1</v>
      </c>
      <c r="E19" s="84" t="s">
        <v>108</v>
      </c>
      <c r="F19" s="84" t="s">
        <v>119</v>
      </c>
      <c r="G19" s="90" t="s">
        <v>120</v>
      </c>
      <c r="H19" s="90" t="s">
        <v>63</v>
      </c>
      <c r="I19" s="90" t="s">
        <v>110</v>
      </c>
      <c r="J19" s="91">
        <v>0</v>
      </c>
      <c r="K19" s="99" t="str">
        <f t="shared" si="0"/>
        <v>EURAB6E50Y_Quote</v>
      </c>
      <c r="L19" s="233" t="str">
        <f t="shared" si="1"/>
        <v>EURAB6E50Y_LCHQuote</v>
      </c>
      <c r="M19" s="105" t="str">
        <f>_xll.qlSwapRateHelper2(,IF($L$3,$L19,$K19),$B19,$D19,Calendar,$G19,$H19,$I19,$N$3,$J19,$C19,Discounting1,,,Permanent,,ObjectOverwrite)</f>
        <v>obj_00641#0001</v>
      </c>
      <c r="N19" s="102" t="str">
        <f>_xll.qlSwapRateHelper2(,IF($L$3,$L19,$K19),$B19,$D19,Calendar,$G19,$H19,$I19,$N$3,$J19,$C19,Discounting2,,,Permanent,,ObjectOverwrite)</f>
        <v>obj_0063d#0001</v>
      </c>
      <c r="O19" s="180" t="str">
        <f>_xll.ohRangeRetrieveError(N19)</f>
        <v/>
      </c>
      <c r="P19" s="49"/>
      <c r="Q19" s="183"/>
      <c r="S19" s="183"/>
      <c r="T19" s="183"/>
    </row>
    <row r="20" spans="1:20" ht="11.25" customHeight="1" x14ac:dyDescent="0.25">
      <c r="A20" s="44"/>
      <c r="B20" s="87">
        <v>2</v>
      </c>
      <c r="C20" s="87" t="s">
        <v>61</v>
      </c>
      <c r="D20" s="87" t="s">
        <v>0</v>
      </c>
      <c r="E20" s="87" t="s">
        <v>108</v>
      </c>
      <c r="F20" s="87" t="s">
        <v>119</v>
      </c>
      <c r="G20" s="53" t="s">
        <v>120</v>
      </c>
      <c r="H20" s="53" t="s">
        <v>63</v>
      </c>
      <c r="I20" s="53" t="s">
        <v>110</v>
      </c>
      <c r="J20" s="92">
        <v>0</v>
      </c>
      <c r="K20" s="100" t="str">
        <f t="shared" si="0"/>
        <v>EURAB6E60Y_Quote</v>
      </c>
      <c r="L20" s="234" t="str">
        <f t="shared" si="1"/>
        <v>EURAB6E60Y_LCHQuote</v>
      </c>
      <c r="M20" s="106" t="str">
        <f>_xll.qlSwapRateHelper2(,IF($L$3,$L20,$K20),$B20,$D20,Calendar,$G20,$H20,$I20,$N$3,$J20,$C20,Discounting1,,,Permanent,,ObjectOverwrite)</f>
        <v>obj_0063b#0001</v>
      </c>
      <c r="N20" s="103" t="str">
        <f>_xll.qlSwapRateHelper2(,IF($L$3,$L20,$K20),$B20,$D20,Calendar,$G20,$H20,$I20,$N$3,$J20,$C20,Discounting2,,,Permanent,,ObjectOverwrite)</f>
        <v>obj_00642#0001</v>
      </c>
      <c r="O20" s="181" t="str">
        <f>_xll.ohRangeRetrieveError(N20)</f>
        <v/>
      </c>
      <c r="P20" s="49"/>
      <c r="Q20" s="183"/>
      <c r="S20" s="183"/>
      <c r="T20" s="183"/>
    </row>
    <row r="21" spans="1:20" ht="11.25" customHeight="1" thickBot="1" x14ac:dyDescent="0.3">
      <c r="A21" s="55"/>
      <c r="B21" s="56"/>
      <c r="C21" s="56"/>
      <c r="D21" s="56"/>
      <c r="E21" s="56"/>
      <c r="F21" s="56"/>
      <c r="G21" s="56"/>
      <c r="H21" s="56"/>
      <c r="I21" s="56"/>
      <c r="J21" s="56"/>
      <c r="K21" s="56"/>
      <c r="L21" s="56"/>
      <c r="M21" s="56"/>
      <c r="N21" s="57"/>
      <c r="O21" s="57"/>
      <c r="P21" s="58"/>
    </row>
  </sheetData>
  <dataValidations count="4">
    <dataValidation type="list" allowBlank="1" showInputMessage="1" showErrorMessage="1" sqref="H4:H20">
      <formula1>"Following,Modified Following,Preceding,Modified Preceding,Month End Reference,Unadjusted Month End,Unadjusted"</formula1>
    </dataValidation>
    <dataValidation type="list" allowBlank="1" showInputMessage="1" showErrorMessage="1" sqref="L3:M3">
      <formula1>"TRUE, FALSE"</formula1>
    </dataValidation>
    <dataValidation type="list" allowBlank="1" showInputMessage="1" showErrorMessage="1" sqref="G4:G20">
      <formula1>"Annual,Semiannual,EveryFourthMonth,Quarterly,Bimonthly,Monthly,Biweekly,Weekly,Daily,Once,NoFrequency"</formula1>
    </dataValidation>
    <dataValidation type="list" allowBlank="1" showInputMessage="1" showErrorMessage="1" sqref="I4:I20">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D1408"/>
  <sheetViews>
    <sheetView workbookViewId="0">
      <selection sqref="A1:F1"/>
    </sheetView>
  </sheetViews>
  <sheetFormatPr defaultRowHeight="11.25" outlineLevelCol="1" x14ac:dyDescent="0.2"/>
  <cols>
    <col min="1" max="1" width="12" style="209" bestFit="1" customWidth="1"/>
    <col min="2" max="2" width="18.28515625" style="209" bestFit="1" customWidth="1"/>
    <col min="3" max="3" width="10" style="209" hidden="1" customWidth="1" outlineLevel="1"/>
    <col min="4" max="4" width="9" style="209" hidden="1" customWidth="1" outlineLevel="1"/>
    <col min="5" max="5" width="8" style="209" hidden="1" customWidth="1" outlineLevel="1"/>
    <col min="6" max="6" width="17.28515625" style="209" bestFit="1" customWidth="1" collapsed="1"/>
    <col min="7" max="7" width="4" style="209" customWidth="1"/>
    <col min="8" max="8" width="17.28515625" style="209" bestFit="1" customWidth="1"/>
    <col min="9" max="9" width="19.28515625" style="209" hidden="1" customWidth="1" outlineLevel="1"/>
    <col min="10" max="10" width="9" style="209" hidden="1" customWidth="1" outlineLevel="1"/>
    <col min="11" max="12" width="8" style="209" hidden="1" customWidth="1" outlineLevel="1"/>
    <col min="13" max="13" width="13.140625" style="209" bestFit="1" customWidth="1" collapsed="1"/>
    <col min="14" max="14" width="12" style="209" bestFit="1" customWidth="1"/>
    <col min="15" max="15" width="8" style="209" bestFit="1" customWidth="1"/>
    <col min="16" max="16" width="9.140625" style="209"/>
    <col min="17" max="17" width="17.28515625" style="209" bestFit="1" customWidth="1"/>
    <col min="18" max="18" width="19.28515625" style="209" hidden="1" customWidth="1" outlineLevel="1"/>
    <col min="19" max="19" width="9" style="209" hidden="1" customWidth="1" outlineLevel="1"/>
    <col min="20" max="21" width="8" style="209" hidden="1" customWidth="1" outlineLevel="1"/>
    <col min="22" max="22" width="13.140625" style="209" bestFit="1" customWidth="1" collapsed="1"/>
    <col min="23" max="23" width="12" style="209" bestFit="1" customWidth="1"/>
    <col min="24" max="24" width="8" style="209" bestFit="1" customWidth="1"/>
    <col min="25" max="26" width="9.140625" style="209"/>
    <col min="27" max="27" width="17.28515625" style="209" bestFit="1" customWidth="1"/>
    <col min="28" max="28" width="20.28515625" style="209" bestFit="1" customWidth="1"/>
    <col min="29" max="29" width="10" style="209" bestFit="1" customWidth="1"/>
    <col min="30" max="30" width="13.140625" style="209" bestFit="1" customWidth="1"/>
    <col min="31" max="31" width="14.140625" style="209" bestFit="1" customWidth="1"/>
    <col min="32" max="32" width="13.140625" style="209" bestFit="1" customWidth="1"/>
    <col min="33" max="33" width="15.140625" style="209" bestFit="1" customWidth="1"/>
    <col min="34" max="16384" width="9.140625" style="209"/>
  </cols>
  <sheetData>
    <row r="1" spans="1:30" ht="15" customHeight="1" x14ac:dyDescent="0.2">
      <c r="A1" s="245" t="s">
        <v>95</v>
      </c>
      <c r="B1" s="246"/>
      <c r="C1" s="246"/>
      <c r="D1" s="246"/>
      <c r="E1" s="246"/>
      <c r="F1" s="247"/>
      <c r="G1" s="207"/>
      <c r="H1" s="248" t="s">
        <v>96</v>
      </c>
      <c r="I1" s="249"/>
      <c r="J1" s="249"/>
      <c r="K1" s="249"/>
      <c r="L1" s="249"/>
      <c r="M1" s="249"/>
      <c r="N1" s="249"/>
      <c r="O1" s="250"/>
      <c r="P1" s="207"/>
      <c r="Q1" s="248" t="s">
        <v>97</v>
      </c>
      <c r="R1" s="249"/>
      <c r="S1" s="249"/>
      <c r="T1" s="249"/>
      <c r="U1" s="249"/>
      <c r="V1" s="249"/>
      <c r="W1" s="249"/>
      <c r="X1" s="250"/>
      <c r="Y1" s="208"/>
    </row>
    <row r="2" spans="1:30" x14ac:dyDescent="0.2">
      <c r="A2" s="210" t="s">
        <v>74</v>
      </c>
      <c r="B2" s="211" t="s">
        <v>98</v>
      </c>
      <c r="C2" s="211" t="s">
        <v>99</v>
      </c>
      <c r="D2" s="211" t="s">
        <v>100</v>
      </c>
      <c r="E2" s="211" t="s">
        <v>23</v>
      </c>
      <c r="F2" s="211" t="s">
        <v>101</v>
      </c>
      <c r="G2" s="212"/>
      <c r="H2" s="211" t="s">
        <v>77</v>
      </c>
      <c r="I2" s="213" t="s">
        <v>70</v>
      </c>
      <c r="J2" s="211" t="s">
        <v>102</v>
      </c>
      <c r="K2" s="211" t="s">
        <v>103</v>
      </c>
      <c r="L2" s="211" t="s">
        <v>23</v>
      </c>
      <c r="M2" s="211" t="s">
        <v>104</v>
      </c>
      <c r="N2" s="211" t="s">
        <v>105</v>
      </c>
      <c r="O2" s="211" t="s">
        <v>23</v>
      </c>
      <c r="P2" s="212"/>
      <c r="Q2" s="211" t="s">
        <v>77</v>
      </c>
      <c r="R2" s="213" t="s">
        <v>70</v>
      </c>
      <c r="S2" s="211" t="s">
        <v>102</v>
      </c>
      <c r="T2" s="211" t="s">
        <v>103</v>
      </c>
      <c r="U2" s="211" t="s">
        <v>23</v>
      </c>
      <c r="V2" s="211" t="s">
        <v>104</v>
      </c>
      <c r="W2" s="211" t="s">
        <v>105</v>
      </c>
      <c r="X2" s="211" t="s">
        <v>23</v>
      </c>
      <c r="Y2" s="214"/>
      <c r="AC2" s="215"/>
      <c r="AD2" s="215"/>
    </row>
    <row r="3" spans="1:30" x14ac:dyDescent="0.2">
      <c r="A3" s="216" t="str">
        <f t="array" ref="A3:A27">_xll.ohFilter([1]VM!$C$57:$C$81,NOT(ISERROR([1]VM!$F$57:$F$81)))</f>
        <v>EUR6MD</v>
      </c>
      <c r="B3" s="217">
        <f t="array" ref="B3:B27">_xll.ohFilter([1]VM!$D$57:$D$81,NOT(ISERROR([1]VM!$F$57:$F$81)))</f>
        <v>42432</v>
      </c>
      <c r="C3" s="218">
        <f t="array" ref="C3:C27">_xll.ohFilter([1]VM!$F$57:$F$81,NOT(ISERROR([1]VM!$F$57:$F$81)))</f>
        <v>3.8999999999999999E-4</v>
      </c>
      <c r="D3" s="218">
        <f>Selected!H2</f>
        <v>3.8999999999999999E-4</v>
      </c>
      <c r="E3" s="220">
        <f>D3-C3</f>
        <v>0</v>
      </c>
      <c r="F3" s="217">
        <f>Selected!L2</f>
        <v>42432</v>
      </c>
      <c r="G3" s="212"/>
      <c r="H3" s="217">
        <f t="array" ref="H3:H27">_xll.ohFilter([1]REP00100!$C$2:$C$1000,([1]REP00100!$A$2:$A$1000="EUR_EURIBOR_6M_EOD"))</f>
        <v>42432</v>
      </c>
      <c r="I3" s="219">
        <f>_xll.qlDayCounterYearFraction($I$2,_xll.qlSettingsEvaluationDate(Trigger),H3,,,Trigger)</f>
        <v>0.50410958904109593</v>
      </c>
      <c r="J3" s="218">
        <f t="array" ref="J3:J27">_xll.ohFilter([1]REP00100!$E$2:$E$1000,([1]REP00100!$A$2:$A$1000="EUR_EURIBOR_6M_EOD"))</f>
        <v>3.9537769029722003E-4</v>
      </c>
      <c r="K3" s="218">
        <f>_xll.qlYieldTSZeroRate(YieldCurve1,H3,$I$2,,,TRUE,Trigger)</f>
        <v>3.9537769042903136E-4</v>
      </c>
      <c r="L3" s="220">
        <f>J3-K3</f>
        <v>-1.3181133701883896E-13</v>
      </c>
      <c r="M3" s="221">
        <f t="array" ref="M3:M27">_xll.ohFilter([1]REP00100!$F$2:$F$1000,([1]REP00100!$A$2:$A$1000="EUR_EURIBOR_6M_EOD"))</f>
        <v>0.99980070617668104</v>
      </c>
      <c r="N3" s="221">
        <f>_xll.qlYieldTSDiscount(YieldCurve1,H3,TRUE,Trigger)</f>
        <v>0.99980070617661465</v>
      </c>
      <c r="O3" s="220">
        <f>N3-M3</f>
        <v>-6.6391336872584361E-14</v>
      </c>
      <c r="P3" s="212"/>
      <c r="Q3" s="217">
        <f t="array" ref="Q3:Q27">_xll.ohFilter([1]REP00101!$C$2:$C$1000,([1]REP00101!$A$2:$A$1000="EUR_EURIBOR_6M_EOD"))</f>
        <v>42432</v>
      </c>
      <c r="R3" s="219">
        <f>_xll.qlDayCounterYearFraction($R$2,_xll.qlSettingsEvaluationDate(Trigger),Q3,,,Trigger)</f>
        <v>0.50410958904109593</v>
      </c>
      <c r="S3" s="218">
        <f t="array" ref="S3:S27">_xll.ohFilter([1]REP00101!$E$2:$E$1000,([1]REP00101!$A$2:$A$1000="EUR_EURIBOR_6M_EOD"))</f>
        <v>3.9537769029722003E-4</v>
      </c>
      <c r="T3" s="218">
        <f>_xll.qlYieldTSZeroRate(YieldCurve2,Q3,$R$2,,,TRUE,Trigger)</f>
        <v>3.9642965704366872E-4</v>
      </c>
      <c r="U3" s="220">
        <f>S3-T3</f>
        <v>-1.0519667464486959E-6</v>
      </c>
      <c r="V3" s="221">
        <f t="array" ref="V3:V27">_xll.ohFilter([1]REP00101!$F$2:$F$1000,([1]REP00101!$A$2:$A$1000="EUR_EURIBOR_6M_EOD"))</f>
        <v>0.99980070617668104</v>
      </c>
      <c r="W3" s="221">
        <f>_xll.qlYieldTSDiscount(YieldCurve2,Q3,TRUE,Trigger)</f>
        <v>0.99980017597598425</v>
      </c>
      <c r="X3" s="220">
        <f>W3-V3</f>
        <v>-5.3020069679110549E-7</v>
      </c>
      <c r="Y3" s="214"/>
      <c r="AC3" s="215"/>
      <c r="AD3" s="215"/>
    </row>
    <row r="4" spans="1:30" x14ac:dyDescent="0.2">
      <c r="A4" s="216" t="str">
        <v>EUR1X7F</v>
      </c>
      <c r="B4" s="217">
        <v>42464</v>
      </c>
      <c r="C4" s="218">
        <v>3.6499999999999998E-4</v>
      </c>
      <c r="D4" s="218">
        <f>Selected!H3</f>
        <v>3.6499999999999998E-4</v>
      </c>
      <c r="E4" s="220">
        <f t="shared" ref="E4:E27" si="0">D4-C4</f>
        <v>0</v>
      </c>
      <c r="F4" s="217">
        <f>Selected!L3</f>
        <v>42464</v>
      </c>
      <c r="G4" s="212"/>
      <c r="H4" s="217">
        <v>42464</v>
      </c>
      <c r="I4" s="219">
        <f>_xll.qlDayCounterYearFraction($I$2,_xll.qlSettingsEvaluationDate(Trigger),H4,,,Trigger)</f>
        <v>0.59178082191780823</v>
      </c>
      <c r="J4" s="218">
        <v>3.7243575494109001E-4</v>
      </c>
      <c r="K4" s="218">
        <f>_xll.qlYieldTSZeroRate(YieldCurve1,H4,$I$2,,,TRUE,Trigger)</f>
        <v>3.7243575496090505E-4</v>
      </c>
      <c r="L4" s="220">
        <f t="shared" ref="L4:L27" si="1">J4-K4</f>
        <v>-1.9815041534670952E-14</v>
      </c>
      <c r="M4" s="221">
        <v>0.99977962394919995</v>
      </c>
      <c r="N4" s="221">
        <f>_xll.qlYieldTSDiscount(YieldCurve1,H4,TRUE,Trigger)</f>
        <v>0.99977962394918773</v>
      </c>
      <c r="O4" s="220">
        <f t="shared" ref="O4:O27" si="2">N4-M4</f>
        <v>-1.2212453270876722E-14</v>
      </c>
      <c r="P4" s="212"/>
      <c r="Q4" s="217">
        <v>42464</v>
      </c>
      <c r="R4" s="219">
        <f>_xll.qlDayCounterYearFraction($R$2,_xll.qlSettingsEvaluationDate(Trigger),Q4,,,Trigger)</f>
        <v>0.59178082191780823</v>
      </c>
      <c r="S4" s="218">
        <v>3.7305014256061998E-4</v>
      </c>
      <c r="T4" s="218">
        <f>_xll.qlYieldTSZeroRate(YieldCurve2,Q4,$R$2,,,TRUE,Trigger)</f>
        <v>3.8739626140862703E-4</v>
      </c>
      <c r="U4" s="220">
        <f t="shared" ref="U4:U27" si="3">S4-T4</f>
        <v>-1.4346118848007053E-5</v>
      </c>
      <c r="V4" s="221">
        <v>0.99977926044658005</v>
      </c>
      <c r="W4" s="221">
        <f>_xll.qlYieldTSDiscount(YieldCurve2,Q4,TRUE,Trigger)</f>
        <v>0.99977077259863212</v>
      </c>
      <c r="X4" s="220">
        <f t="shared" ref="X4:X27" si="4">W4-V4</f>
        <v>-8.4878479479355562E-6</v>
      </c>
      <c r="Y4" s="214"/>
      <c r="AC4" s="215"/>
      <c r="AD4" s="215"/>
    </row>
    <row r="5" spans="1:30" x14ac:dyDescent="0.2">
      <c r="A5" s="216" t="str">
        <v>EUR2X8F</v>
      </c>
      <c r="B5" s="217">
        <v>42493</v>
      </c>
      <c r="C5" s="218">
        <v>4.2000000000000002E-4</v>
      </c>
      <c r="D5" s="218">
        <f>Selected!H4</f>
        <v>4.2000000000000002E-4</v>
      </c>
      <c r="E5" s="220">
        <f t="shared" si="0"/>
        <v>0</v>
      </c>
      <c r="F5" s="217">
        <f>Selected!L4</f>
        <v>42493</v>
      </c>
      <c r="G5" s="212"/>
      <c r="H5" s="217">
        <v>42493</v>
      </c>
      <c r="I5" s="219">
        <f>_xll.qlDayCounterYearFraction($I$2,_xll.qlSettingsEvaluationDate(Trigger),H5,,,Trigger)</f>
        <v>0.67123287671232879</v>
      </c>
      <c r="J5" s="218">
        <v>4.1796830296429998E-4</v>
      </c>
      <c r="K5" s="218">
        <f>_xll.qlYieldTSZeroRate(YieldCurve1,H5,$I$2,,,TRUE,Trigger)</f>
        <v>4.1796830299765394E-4</v>
      </c>
      <c r="L5" s="220">
        <f t="shared" si="1"/>
        <v>-3.3353961953475064E-14</v>
      </c>
      <c r="M5" s="221">
        <v>0.99971948528523902</v>
      </c>
      <c r="N5" s="221">
        <f>_xll.qlYieldTSDiscount(YieldCurve1,H5,TRUE,Trigger)</f>
        <v>0.99971948528521626</v>
      </c>
      <c r="O5" s="220">
        <f t="shared" si="2"/>
        <v>-2.2759572004815709E-14</v>
      </c>
      <c r="P5" s="212"/>
      <c r="Q5" s="217">
        <v>42493</v>
      </c>
      <c r="R5" s="219">
        <f>_xll.qlDayCounterYearFraction($R$2,_xll.qlSettingsEvaluationDate(Trigger),Q5,,,Trigger)</f>
        <v>0.67123287671232879</v>
      </c>
      <c r="S5" s="218">
        <v>4.1796830296429998E-4</v>
      </c>
      <c r="T5" s="218">
        <f>_xll.qlYieldTSZeroRate(YieldCurve2,Q5,$R$2,,,TRUE,Trigger)</f>
        <v>4.399715980472531E-4</v>
      </c>
      <c r="U5" s="220">
        <f t="shared" si="3"/>
        <v>-2.2003295082953121E-5</v>
      </c>
      <c r="V5" s="221">
        <v>0.99971948528523902</v>
      </c>
      <c r="W5" s="221">
        <f>_xll.qlYieldTSDiscount(YieldCurve2,Q5,TRUE,Trigger)</f>
        <v>0.99970472020223433</v>
      </c>
      <c r="X5" s="220">
        <f t="shared" si="4"/>
        <v>-1.4765083004686375E-5</v>
      </c>
      <c r="Y5" s="214"/>
      <c r="AC5" s="215"/>
      <c r="AD5" s="215"/>
    </row>
    <row r="6" spans="1:30" x14ac:dyDescent="0.2">
      <c r="A6" s="216" t="str">
        <v>EUR3X9F</v>
      </c>
      <c r="B6" s="217">
        <v>42524</v>
      </c>
      <c r="C6" s="218">
        <v>4.3333329999999999E-4</v>
      </c>
      <c r="D6" s="218">
        <f>Selected!H5</f>
        <v>4.3333329999999999E-4</v>
      </c>
      <c r="E6" s="220">
        <f t="shared" si="0"/>
        <v>0</v>
      </c>
      <c r="F6" s="217">
        <f>Selected!L5</f>
        <v>42524</v>
      </c>
      <c r="G6" s="212"/>
      <c r="H6" s="217">
        <v>42524</v>
      </c>
      <c r="I6" s="219">
        <f>_xll.qlDayCounterYearFraction($I$2,_xll.qlSettingsEvaluationDate(Trigger),H6,,,Trigger)</f>
        <v>0.75616438356164384</v>
      </c>
      <c r="J6" s="218">
        <v>4.2450239266761999E-4</v>
      </c>
      <c r="K6" s="218">
        <f>_xll.qlYieldTSZeroRate(YieldCurve1,H6,$I$2,,,TRUE,Trigger)</f>
        <v>4.2450236918847861E-4</v>
      </c>
      <c r="L6" s="220">
        <f t="shared" si="1"/>
        <v>2.3479141374183055E-11</v>
      </c>
      <c r="M6" s="221">
        <v>0.99967905792285905</v>
      </c>
      <c r="N6" s="221">
        <f>_xll.qlYieldTSDiscount(YieldCurve1,H6,TRUE,Trigger)</f>
        <v>0.99967905794060696</v>
      </c>
      <c r="O6" s="220">
        <f t="shared" si="2"/>
        <v>1.774791424935529E-11</v>
      </c>
      <c r="P6" s="212"/>
      <c r="Q6" s="217">
        <v>42524</v>
      </c>
      <c r="R6" s="219">
        <f>_xll.qlDayCounterYearFraction($R$2,_xll.qlSettingsEvaluationDate(Trigger),Q6,,,Trigger)</f>
        <v>0.75616438356164384</v>
      </c>
      <c r="S6" s="218">
        <v>4.2450239266761999E-4</v>
      </c>
      <c r="T6" s="218">
        <f>_xll.qlYieldTSZeroRate(YieldCurve2,Q6,$R$2,,,TRUE,Trigger)</f>
        <v>4.4887576947584291E-4</v>
      </c>
      <c r="U6" s="220">
        <f t="shared" si="3"/>
        <v>-2.4373376808222921E-5</v>
      </c>
      <c r="V6" s="221">
        <v>0.99967905792285905</v>
      </c>
      <c r="W6" s="221">
        <f>_xll.qlYieldTSDiscount(YieldCurve2,Q6,TRUE,Trigger)</f>
        <v>0.99966063372824332</v>
      </c>
      <c r="X6" s="220">
        <f t="shared" si="4"/>
        <v>-1.8424194615729306E-5</v>
      </c>
      <c r="Y6" s="214"/>
      <c r="AC6" s="215"/>
      <c r="AD6" s="215"/>
    </row>
    <row r="7" spans="1:30" x14ac:dyDescent="0.2">
      <c r="A7" s="216" t="str">
        <v>EUR4X10F</v>
      </c>
      <c r="B7" s="217">
        <v>42555</v>
      </c>
      <c r="C7" s="218">
        <v>4.4000000000000002E-4</v>
      </c>
      <c r="D7" s="218">
        <f>Selected!H6</f>
        <v>4.4000000000000002E-4</v>
      </c>
      <c r="E7" s="220">
        <f t="shared" si="0"/>
        <v>0</v>
      </c>
      <c r="F7" s="217">
        <f>Selected!L6</f>
        <v>42555</v>
      </c>
      <c r="G7" s="212"/>
      <c r="H7" s="217">
        <v>42555</v>
      </c>
      <c r="I7" s="219">
        <f>_xll.qlDayCounterYearFraction($I$2,_xll.qlSettingsEvaluationDate(Trigger),H7,,,Trigger)</f>
        <v>0.84109589041095889</v>
      </c>
      <c r="J7" s="218">
        <v>4.2542477025693997E-4</v>
      </c>
      <c r="K7" s="218">
        <f>_xll.qlYieldTSZeroRate(YieldCurve1,H7,$I$2,,,TRUE,Trigger)</f>
        <v>4.254247703105735E-4</v>
      </c>
      <c r="L7" s="220">
        <f t="shared" si="1"/>
        <v>-5.363352990894743E-14</v>
      </c>
      <c r="M7" s="221">
        <v>0.99964224098508203</v>
      </c>
      <c r="N7" s="221">
        <f>_xll.qlYieldTSDiscount(YieldCurve1,H7,TRUE,Trigger)</f>
        <v>0.99964224098503651</v>
      </c>
      <c r="O7" s="220">
        <f t="shared" si="2"/>
        <v>-4.5519144009631418E-14</v>
      </c>
      <c r="P7" s="212"/>
      <c r="Q7" s="217">
        <v>42555</v>
      </c>
      <c r="R7" s="219">
        <f>_xll.qlDayCounterYearFraction($R$2,_xll.qlSettingsEvaluationDate(Trigger),Q7,,,Trigger)</f>
        <v>0.84109589041095889</v>
      </c>
      <c r="S7" s="218">
        <v>4.2542477025693997E-4</v>
      </c>
      <c r="T7" s="218">
        <f>_xll.qlYieldTSZeroRate(YieldCurve2,Q7,$R$2,,,TRUE,Trigger)</f>
        <v>4.4684446697978585E-4</v>
      </c>
      <c r="U7" s="220">
        <f t="shared" si="3"/>
        <v>-2.1419696722845872E-5</v>
      </c>
      <c r="V7" s="221">
        <v>0.99964224098508203</v>
      </c>
      <c r="W7" s="221">
        <f>_xll.qlYieldTSDiscount(YieldCurve2,Q7,TRUE,Trigger)</f>
        <v>0.99962423157381686</v>
      </c>
      <c r="X7" s="220">
        <f t="shared" si="4"/>
        <v>-1.800941126517408E-5</v>
      </c>
      <c r="Y7" s="214"/>
      <c r="AC7" s="215"/>
      <c r="AD7" s="215"/>
    </row>
    <row r="8" spans="1:30" x14ac:dyDescent="0.2">
      <c r="A8" s="216" t="str">
        <v>EUR5X11F</v>
      </c>
      <c r="B8" s="217">
        <v>42585</v>
      </c>
      <c r="C8" s="218">
        <v>4.6833330000000002E-4</v>
      </c>
      <c r="D8" s="218">
        <f>Selected!H7</f>
        <v>4.6833330000000002E-4</v>
      </c>
      <c r="E8" s="220">
        <f t="shared" si="0"/>
        <v>0</v>
      </c>
      <c r="F8" s="217">
        <f>Selected!L7</f>
        <v>42585</v>
      </c>
      <c r="G8" s="212"/>
      <c r="H8" s="217">
        <v>42585</v>
      </c>
      <c r="I8" s="219">
        <f>_xll.qlDayCounterYearFraction($I$2,_xll.qlSettingsEvaluationDate(Trigger),H8,,,Trigger)</f>
        <v>0.92328767123287669</v>
      </c>
      <c r="J8" s="218">
        <v>4.3826060044358E-4</v>
      </c>
      <c r="K8" s="218">
        <f>_xll.qlYieldTSZeroRate(YieldCurve1,H8,$I$2,,,TRUE,Trigger)</f>
        <v>4.3826058134399448E-4</v>
      </c>
      <c r="L8" s="220">
        <f t="shared" si="1"/>
        <v>1.9099585519925799E-11</v>
      </c>
      <c r="M8" s="221">
        <v>0.999595441246794</v>
      </c>
      <c r="N8" s="221">
        <f>_xll.qlYieldTSDiscount(YieldCurve1,H8,TRUE,Trigger)</f>
        <v>0.99959544126442079</v>
      </c>
      <c r="O8" s="220">
        <f t="shared" si="2"/>
        <v>1.7626788917368685E-11</v>
      </c>
      <c r="P8" s="212"/>
      <c r="Q8" s="217">
        <v>42585</v>
      </c>
      <c r="R8" s="219">
        <f>_xll.qlDayCounterYearFraction($R$2,_xll.qlSettingsEvaluationDate(Trigger),Q8,,,Trigger)</f>
        <v>0.92328767123287669</v>
      </c>
      <c r="S8" s="218">
        <v>4.3826060044358E-4</v>
      </c>
      <c r="T8" s="218">
        <f>_xll.qlYieldTSZeroRate(YieldCurve2,Q8,$R$2,,,TRUE,Trigger)</f>
        <v>4.515311148364314E-4</v>
      </c>
      <c r="U8" s="220">
        <f t="shared" si="3"/>
        <v>-1.3270514392851407E-5</v>
      </c>
      <c r="V8" s="221">
        <v>0.999595441246794</v>
      </c>
      <c r="W8" s="221">
        <f>_xll.qlYieldTSDiscount(YieldCurve2,Q8,TRUE,Trigger)</f>
        <v>0.99958319377635196</v>
      </c>
      <c r="X8" s="220">
        <f t="shared" si="4"/>
        <v>-1.2247470442039443E-5</v>
      </c>
      <c r="Y8" s="214"/>
      <c r="AC8" s="215"/>
      <c r="AD8" s="215"/>
    </row>
    <row r="9" spans="1:30" x14ac:dyDescent="0.2">
      <c r="A9" s="216" t="str">
        <v>EUR6X12F</v>
      </c>
      <c r="B9" s="217">
        <v>42618</v>
      </c>
      <c r="C9" s="218">
        <v>5.0250000000000002E-4</v>
      </c>
      <c r="D9" s="218">
        <f>Selected!H8</f>
        <v>5.0250000000000002E-4</v>
      </c>
      <c r="E9" s="220">
        <f t="shared" si="0"/>
        <v>0</v>
      </c>
      <c r="F9" s="217">
        <f>Selected!L8</f>
        <v>42618</v>
      </c>
      <c r="G9" s="212"/>
      <c r="H9" s="217">
        <v>42618</v>
      </c>
      <c r="I9" s="219">
        <f>_xll.qlDayCounterYearFraction($I$2,_xll.qlSettingsEvaluationDate(Trigger),H9,,,Trigger)</f>
        <v>1.0136986301369864</v>
      </c>
      <c r="J9" s="218">
        <v>4.5270356947366998E-4</v>
      </c>
      <c r="K9" s="218">
        <f>_xll.qlYieldTSZeroRate(YieldCurve1,H9,$I$2,,,TRUE,Trigger)</f>
        <v>4.5270356955127999E-4</v>
      </c>
      <c r="L9" s="220">
        <f t="shared" si="1"/>
        <v>-7.761001043216087E-14</v>
      </c>
      <c r="M9" s="221">
        <v>0.999541200292555</v>
      </c>
      <c r="N9" s="221">
        <f>_xll.qlYieldTSDiscount(YieldCurve1,H9,TRUE,Trigger)</f>
        <v>0.99954120029247662</v>
      </c>
      <c r="O9" s="220">
        <f t="shared" si="2"/>
        <v>-7.8381745538536052E-14</v>
      </c>
      <c r="P9" s="212"/>
      <c r="Q9" s="217">
        <v>42618</v>
      </c>
      <c r="R9" s="219">
        <f>_xll.qlDayCounterYearFraction($R$2,_xll.qlSettingsEvaluationDate(Trigger),Q9,,,Trigger)</f>
        <v>1.0136986301369864</v>
      </c>
      <c r="S9" s="218">
        <v>4.5270356947366998E-4</v>
      </c>
      <c r="T9" s="218">
        <f>_xll.qlYieldTSZeroRate(YieldCurve2,Q9,$R$2,,,TRUE,Trigger)</f>
        <v>4.5322670992715112E-4</v>
      </c>
      <c r="U9" s="220">
        <f t="shared" si="3"/>
        <v>-5.2314045348114289E-7</v>
      </c>
      <c r="V9" s="221">
        <v>0.999541200292555</v>
      </c>
      <c r="W9" s="221">
        <f>_xll.qlYieldTSDiscount(YieldCurve2,Q9,TRUE,Trigger)</f>
        <v>0.99954067022923931</v>
      </c>
      <c r="X9" s="220">
        <f t="shared" si="4"/>
        <v>-5.3006331568461462E-7</v>
      </c>
      <c r="Y9" s="214"/>
      <c r="AC9" s="215"/>
      <c r="AD9" s="215"/>
    </row>
    <row r="10" spans="1:30" x14ac:dyDescent="0.2">
      <c r="A10" s="216" t="str">
        <v>EUR12X18F</v>
      </c>
      <c r="B10" s="217">
        <v>42797</v>
      </c>
      <c r="C10" s="218">
        <v>9.6500000000000004E-4</v>
      </c>
      <c r="D10" s="218">
        <f>Selected!H9</f>
        <v>9.6500000000000004E-4</v>
      </c>
      <c r="E10" s="220">
        <f t="shared" si="0"/>
        <v>0</v>
      </c>
      <c r="F10" s="217">
        <f>Selected!L9</f>
        <v>42797</v>
      </c>
      <c r="G10" s="212"/>
      <c r="H10" s="217">
        <v>42797</v>
      </c>
      <c r="I10" s="219">
        <f>_xll.qlDayCounterYearFraction($I$2,_xll.qlSettingsEvaluationDate(Trigger),H10,,,Trigger)</f>
        <v>1.5041095890410958</v>
      </c>
      <c r="J10" s="218">
        <v>6.2087953401344996E-4</v>
      </c>
      <c r="K10" s="218">
        <f>_xll.qlYieldTSZeroRate(YieldCurve1,H10,$I$2,,,TRUE,Trigger)</f>
        <v>6.2087663299404338E-4</v>
      </c>
      <c r="L10" s="220">
        <f t="shared" si="1"/>
        <v>2.9010194065775055E-9</v>
      </c>
      <c r="M10" s="221">
        <v>0.99906656506093505</v>
      </c>
      <c r="N10" s="221">
        <f>_xll.qlYieldTSDiscount(YieldCurve1,H10,TRUE,Trigger)</f>
        <v>0.99906656942031269</v>
      </c>
      <c r="O10" s="220">
        <f t="shared" si="2"/>
        <v>4.3593776366535053E-9</v>
      </c>
      <c r="P10" s="212"/>
      <c r="Q10" s="217">
        <v>42797</v>
      </c>
      <c r="R10" s="219">
        <f>_xll.qlDayCounterYearFraction($R$2,_xll.qlSettingsEvaluationDate(Trigger),Q10,,,Trigger)</f>
        <v>1.5041095890410958</v>
      </c>
      <c r="S10" s="218">
        <v>6.218359267166E-4</v>
      </c>
      <c r="T10" s="218">
        <f>_xll.qlYieldTSZeroRate(YieldCurve2,Q10,$R$2,,,TRUE,Trigger)</f>
        <v>6.2201211598639933E-4</v>
      </c>
      <c r="U10" s="220">
        <f t="shared" si="3"/>
        <v>-1.7618926979932979E-7</v>
      </c>
      <c r="V10" s="221">
        <v>0.999065127885297</v>
      </c>
      <c r="W10" s="221">
        <f>_xll.qlYieldTSDiscount(YieldCurve2,Q10,TRUE,Trigger)</f>
        <v>0.99906486312511034</v>
      </c>
      <c r="X10" s="220">
        <f t="shared" si="4"/>
        <v>-2.6476018666343748E-7</v>
      </c>
      <c r="Y10" s="214"/>
      <c r="AC10" s="215"/>
      <c r="AD10" s="215"/>
    </row>
    <row r="11" spans="1:30" x14ac:dyDescent="0.2">
      <c r="A11" s="216" t="str">
        <v>EURAB6E2Y</v>
      </c>
      <c r="B11" s="217">
        <v>42982</v>
      </c>
      <c r="C11" s="218">
        <v>9.3924999999999998E-4</v>
      </c>
      <c r="D11" s="218">
        <f>Selected!H10</f>
        <v>9.3924999999999998E-4</v>
      </c>
      <c r="E11" s="220">
        <f t="shared" si="0"/>
        <v>0</v>
      </c>
      <c r="F11" s="217">
        <f>Selected!L10</f>
        <v>42982</v>
      </c>
      <c r="G11" s="212"/>
      <c r="H11" s="217">
        <v>42982</v>
      </c>
      <c r="I11" s="219">
        <f>_xll.qlDayCounterYearFraction($I$2,_xll.qlSettingsEvaluationDate(Trigger),H11,,,Trigger)</f>
        <v>2.010958904109589</v>
      </c>
      <c r="J11" s="218">
        <v>9.3375978540345998E-4</v>
      </c>
      <c r="K11" s="218">
        <f>_xll.qlYieldTSZeroRate(YieldCurve1,H11,$I$2,,,TRUE,Trigger)</f>
        <v>9.3393581341202003E-4</v>
      </c>
      <c r="L11" s="220">
        <f t="shared" si="1"/>
        <v>-1.7602800856005019E-7</v>
      </c>
      <c r="M11" s="221">
        <v>0.99812400931961098</v>
      </c>
      <c r="N11" s="221">
        <f>_xll.qlYieldTSDiscount(YieldCurve1,H11,TRUE,Trigger)</f>
        <v>0.99812365599865538</v>
      </c>
      <c r="O11" s="220">
        <f t="shared" si="2"/>
        <v>-3.5332095560391963E-7</v>
      </c>
      <c r="P11" s="212"/>
      <c r="Q11" s="217">
        <v>42982</v>
      </c>
      <c r="R11" s="219">
        <f>_xll.qlDayCounterYearFraction($R$2,_xll.qlSettingsEvaluationDate(Trigger),Q11,,,Trigger)</f>
        <v>2.010958904109589</v>
      </c>
      <c r="S11" s="218">
        <v>9.3447512545083997E-4</v>
      </c>
      <c r="T11" s="218">
        <f>_xll.qlYieldTSZeroRate(YieldCurve2,Q11,$R$2,,,TRUE,Trigger)</f>
        <v>9.3478539056810524E-4</v>
      </c>
      <c r="U11" s="220">
        <f t="shared" si="3"/>
        <v>-3.1026511726527442E-7</v>
      </c>
      <c r="V11" s="221">
        <v>0.998122573499855</v>
      </c>
      <c r="W11" s="221">
        <f>_xll.qlYieldTSDiscount(YieldCurve2,Q11,TRUE,Trigger)</f>
        <v>0.99812195074103283</v>
      </c>
      <c r="X11" s="220">
        <f t="shared" si="4"/>
        <v>-6.2275882217743828E-7</v>
      </c>
      <c r="Y11" s="214"/>
      <c r="AC11" s="215"/>
      <c r="AD11" s="215"/>
    </row>
    <row r="12" spans="1:30" x14ac:dyDescent="0.2">
      <c r="A12" s="216" t="str">
        <v>EURAB6E3Y</v>
      </c>
      <c r="B12" s="217">
        <v>43346</v>
      </c>
      <c r="C12" s="218">
        <v>1.8450000000000001E-3</v>
      </c>
      <c r="D12" s="218">
        <f>Selected!H11</f>
        <v>1.8450000000000001E-3</v>
      </c>
      <c r="E12" s="220">
        <f t="shared" si="0"/>
        <v>0</v>
      </c>
      <c r="F12" s="217">
        <f>Selected!L11</f>
        <v>43346</v>
      </c>
      <c r="G12" s="212"/>
      <c r="H12" s="217">
        <v>43346</v>
      </c>
      <c r="I12" s="219">
        <f>_xll.qlDayCounterYearFraction($I$2,_xll.qlSettingsEvaluationDate(Trigger),H12,,,Trigger)</f>
        <v>3.0082191780821916</v>
      </c>
      <c r="J12" s="218">
        <v>1.8348132339777901E-3</v>
      </c>
      <c r="K12" s="218">
        <f>_xll.qlYieldTSZeroRate(YieldCurve1,H12,$I$2,,,TRUE,Trigger)</f>
        <v>1.8365203642269341E-3</v>
      </c>
      <c r="L12" s="220">
        <f t="shared" si="1"/>
        <v>-1.7071302491440329E-6</v>
      </c>
      <c r="M12" s="221">
        <v>0.99449568420701195</v>
      </c>
      <c r="N12" s="221">
        <f>_xll.qlYieldTSDiscount(YieldCurve1,H12,TRUE,Trigger)</f>
        <v>0.99449057706515465</v>
      </c>
      <c r="O12" s="220">
        <f t="shared" si="2"/>
        <v>-5.1071418573078731E-6</v>
      </c>
      <c r="P12" s="212"/>
      <c r="Q12" s="217">
        <v>43346</v>
      </c>
      <c r="R12" s="219">
        <f>_xll.qlDayCounterYearFraction($R$2,_xll.qlSettingsEvaluationDate(Trigger),Q12,,,Trigger)</f>
        <v>3.0082191780821916</v>
      </c>
      <c r="S12" s="218">
        <v>1.83653965529012E-3</v>
      </c>
      <c r="T12" s="218">
        <f>_xll.qlYieldTSZeroRate(YieldCurve2,Q12,$R$2,,,TRUE,Trigger)</f>
        <v>1.8384065883771694E-3</v>
      </c>
      <c r="U12" s="220">
        <f t="shared" si="3"/>
        <v>-1.8669330870493567E-6</v>
      </c>
      <c r="V12" s="221">
        <v>0.99449051935313104</v>
      </c>
      <c r="W12" s="221">
        <f>_xll.qlYieldTSDiscount(YieldCurve2,Q12,TRUE,Trigger)</f>
        <v>0.99448493416693462</v>
      </c>
      <c r="X12" s="220">
        <f t="shared" si="4"/>
        <v>-5.5851861964217875E-6</v>
      </c>
      <c r="Y12" s="214"/>
      <c r="AC12" s="215"/>
      <c r="AD12" s="215"/>
    </row>
    <row r="13" spans="1:30" x14ac:dyDescent="0.2">
      <c r="A13" s="216" t="str">
        <v>EURAB6E4Y</v>
      </c>
      <c r="B13" s="217">
        <v>43711</v>
      </c>
      <c r="C13" s="218">
        <v>3.1212499999999999E-3</v>
      </c>
      <c r="D13" s="218">
        <f>Selected!H12</f>
        <v>3.1212499999999999E-3</v>
      </c>
      <c r="E13" s="220">
        <f t="shared" si="0"/>
        <v>0</v>
      </c>
      <c r="F13" s="217">
        <f>Selected!L12</f>
        <v>43711</v>
      </c>
      <c r="G13" s="212"/>
      <c r="H13" s="217">
        <v>43711</v>
      </c>
      <c r="I13" s="219">
        <f>_xll.qlDayCounterYearFraction($I$2,_xll.qlSettingsEvaluationDate(Trigger),H13,,,Trigger)</f>
        <v>4.0082191780821921</v>
      </c>
      <c r="J13" s="218">
        <v>3.1095423074679399E-3</v>
      </c>
      <c r="K13" s="218">
        <f>_xll.qlYieldTSZeroRate(YieldCurve1,H13,$I$2,,,TRUE,Trigger)</f>
        <v>3.1148239375709576E-3</v>
      </c>
      <c r="L13" s="220">
        <f t="shared" si="1"/>
        <v>-5.2816301030177149E-6</v>
      </c>
      <c r="M13" s="221">
        <v>0.987613623442674</v>
      </c>
      <c r="N13" s="221">
        <f>_xll.qlYieldTSDiscount(YieldCurve1,H13,TRUE,Trigger)</f>
        <v>0.98759271595164755</v>
      </c>
      <c r="O13" s="220">
        <f t="shared" si="2"/>
        <v>-2.0907491026456171E-5</v>
      </c>
      <c r="P13" s="212"/>
      <c r="Q13" s="217">
        <v>43711</v>
      </c>
      <c r="R13" s="219">
        <f>_xll.qlDayCounterYearFraction($R$2,_xll.qlSettingsEvaluationDate(Trigger),Q13,,,Trigger)</f>
        <v>4.0082191780821921</v>
      </c>
      <c r="S13" s="218">
        <v>3.11105034120714E-3</v>
      </c>
      <c r="T13" s="218">
        <f>_xll.qlYieldTSZeroRate(YieldCurve2,Q13,$R$2,,,TRUE,Trigger)</f>
        <v>3.1165260557768932E-3</v>
      </c>
      <c r="U13" s="220">
        <f t="shared" si="3"/>
        <v>-5.475714569753206E-6</v>
      </c>
      <c r="V13" s="221">
        <v>0.98760765380078297</v>
      </c>
      <c r="W13" s="221">
        <f>_xll.qlYieldTSDiscount(YieldCurve2,Q13,TRUE,Trigger)</f>
        <v>0.98758597816002958</v>
      </c>
      <c r="X13" s="220">
        <f t="shared" si="4"/>
        <v>-2.1675640753393566E-5</v>
      </c>
      <c r="Y13" s="214"/>
      <c r="AC13" s="215"/>
      <c r="AD13" s="215"/>
    </row>
    <row r="14" spans="1:30" x14ac:dyDescent="0.2">
      <c r="A14" s="216" t="str">
        <v>EURAB6E5Y</v>
      </c>
      <c r="B14" s="217">
        <v>44077</v>
      </c>
      <c r="C14" s="218">
        <v>4.5490000000000001E-3</v>
      </c>
      <c r="D14" s="218">
        <f>Selected!H13</f>
        <v>4.5490000000000001E-3</v>
      </c>
      <c r="E14" s="220">
        <f t="shared" si="0"/>
        <v>0</v>
      </c>
      <c r="F14" s="217">
        <f>Selected!L13</f>
        <v>44077</v>
      </c>
      <c r="G14" s="212"/>
      <c r="H14" s="217">
        <v>44077</v>
      </c>
      <c r="I14" s="219">
        <f>_xll.qlDayCounterYearFraction($I$2,_xll.qlSettingsEvaluationDate(Trigger),H14,,,Trigger)</f>
        <v>5.0109589041095894</v>
      </c>
      <c r="J14" s="218">
        <v>4.5381720931710404E-3</v>
      </c>
      <c r="K14" s="218">
        <f>_xll.qlYieldTSZeroRate(YieldCurve1,H14,$I$2,,,TRUE,Trigger)</f>
        <v>4.5487687101818386E-3</v>
      </c>
      <c r="L14" s="220">
        <f t="shared" si="1"/>
        <v>-1.0596617010798226E-5</v>
      </c>
      <c r="M14" s="221">
        <v>0.97751602454686704</v>
      </c>
      <c r="N14" s="221">
        <f>_xll.qlYieldTSDiscount(YieldCurve1,H14,TRUE,Trigger)</f>
        <v>0.97746412059393228</v>
      </c>
      <c r="O14" s="220">
        <f t="shared" si="2"/>
        <v>-5.1903952934750919E-5</v>
      </c>
      <c r="P14" s="212"/>
      <c r="Q14" s="217">
        <v>44077</v>
      </c>
      <c r="R14" s="219">
        <f>_xll.qlDayCounterYearFraction($R$2,_xll.qlSettingsEvaluationDate(Trigger),Q14,,,Trigger)</f>
        <v>5.0109589041095894</v>
      </c>
      <c r="S14" s="218">
        <v>4.5393382213784004E-3</v>
      </c>
      <c r="T14" s="218">
        <f>_xll.qlYieldTSZeroRate(YieldCurve2,Q14,$R$2,,,TRUE,Trigger)</f>
        <v>4.5501338611450082E-3</v>
      </c>
      <c r="U14" s="220">
        <f t="shared" si="3"/>
        <v>-1.0795639766607822E-5</v>
      </c>
      <c r="V14" s="221">
        <v>0.97751031252635601</v>
      </c>
      <c r="W14" s="221">
        <f>_xll.qlYieldTSDiscount(YieldCurve2,Q14,TRUE,Trigger)</f>
        <v>0.97745743406296515</v>
      </c>
      <c r="X14" s="220">
        <f t="shared" si="4"/>
        <v>-5.2878463390859665E-5</v>
      </c>
      <c r="Y14" s="214"/>
      <c r="AC14" s="215"/>
      <c r="AD14" s="215"/>
    </row>
    <row r="15" spans="1:30" x14ac:dyDescent="0.2">
      <c r="A15" s="216" t="str">
        <v>EURAB6E6Y</v>
      </c>
      <c r="B15" s="217">
        <v>44442</v>
      </c>
      <c r="C15" s="218">
        <v>6.0192500000000003E-3</v>
      </c>
      <c r="D15" s="218">
        <f>Selected!H14</f>
        <v>6.0192500000000003E-3</v>
      </c>
      <c r="E15" s="220">
        <f t="shared" si="0"/>
        <v>0</v>
      </c>
      <c r="F15" s="217">
        <f>Selected!L14</f>
        <v>44442</v>
      </c>
      <c r="G15" s="212"/>
      <c r="H15" s="217">
        <v>44442</v>
      </c>
      <c r="I15" s="219">
        <f>_xll.qlDayCounterYearFraction($I$2,_xll.qlSettingsEvaluationDate(Trigger),H15,,,Trigger)</f>
        <v>6.0109589041095894</v>
      </c>
      <c r="J15" s="218">
        <v>6.0183204836731898E-3</v>
      </c>
      <c r="K15" s="218">
        <f>_xll.qlYieldTSZeroRate(YieldCurve1,H15,$I$2,,,TRUE,Trigger)</f>
        <v>6.0355165734173001E-3</v>
      </c>
      <c r="L15" s="220">
        <f t="shared" si="1"/>
        <v>-1.7196089744110285E-5</v>
      </c>
      <c r="M15" s="221">
        <v>0.96447065026522605</v>
      </c>
      <c r="N15" s="221">
        <f>_xll.qlYieldTSDiscount(YieldCurve1,H15,TRUE,Trigger)</f>
        <v>0.96437096291947866</v>
      </c>
      <c r="O15" s="220">
        <f t="shared" si="2"/>
        <v>-9.9687345747390133E-5</v>
      </c>
      <c r="P15" s="212"/>
      <c r="Q15" s="217">
        <v>44442</v>
      </c>
      <c r="R15" s="219">
        <f>_xll.qlDayCounterYearFraction($R$2,_xll.qlSettingsEvaluationDate(Trigger),Q15,,,Trigger)</f>
        <v>6.0109589041095894</v>
      </c>
      <c r="S15" s="218">
        <v>6.0192531412603398E-3</v>
      </c>
      <c r="T15" s="218">
        <f>_xll.qlYieldTSZeroRate(YieldCurve2,Q15,$R$2,,,TRUE,Trigger)</f>
        <v>6.0366577971964668E-3</v>
      </c>
      <c r="U15" s="220">
        <f t="shared" si="3"/>
        <v>-1.7404655936126973E-5</v>
      </c>
      <c r="V15" s="221">
        <v>0.96446524329740202</v>
      </c>
      <c r="W15" s="221">
        <f>_xll.qlYieldTSDiscount(YieldCurve2,Q15,TRUE,Trigger)</f>
        <v>0.96436434750275479</v>
      </c>
      <c r="X15" s="220">
        <f t="shared" si="4"/>
        <v>-1.0089579464722664E-4</v>
      </c>
      <c r="Y15" s="214"/>
      <c r="AC15" s="215"/>
      <c r="AD15" s="215"/>
    </row>
    <row r="16" spans="1:30" x14ac:dyDescent="0.2">
      <c r="A16" s="216" t="str">
        <v>EURAB6E7Y</v>
      </c>
      <c r="B16" s="217">
        <v>44809</v>
      </c>
      <c r="C16" s="218">
        <v>7.4780000000000003E-3</v>
      </c>
      <c r="D16" s="218">
        <f>Selected!H15</f>
        <v>7.4780000000000003E-3</v>
      </c>
      <c r="E16" s="220">
        <f t="shared" si="0"/>
        <v>0</v>
      </c>
      <c r="F16" s="217">
        <f>Selected!L15</f>
        <v>44809</v>
      </c>
      <c r="G16" s="212"/>
      <c r="H16" s="217">
        <v>44809</v>
      </c>
      <c r="I16" s="219">
        <f>_xll.qlDayCounterYearFraction($I$2,_xll.qlSettingsEvaluationDate(Trigger),H16,,,Trigger)</f>
        <v>7.0164383561643833</v>
      </c>
      <c r="J16" s="218">
        <v>7.4960533159714902E-3</v>
      </c>
      <c r="K16" s="218">
        <f>_xll.qlYieldTSZeroRate(YieldCurve1,H16,$I$2,,,TRUE,Trigger)</f>
        <v>7.5206658139493612E-3</v>
      </c>
      <c r="L16" s="220">
        <f t="shared" si="1"/>
        <v>-2.461249797787099E-5</v>
      </c>
      <c r="M16" s="221">
        <v>0.94876361870785897</v>
      </c>
      <c r="N16" s="221">
        <f>_xll.qlYieldTSDiscount(YieldCurve1,H16,TRUE,Trigger)</f>
        <v>0.94859978889646135</v>
      </c>
      <c r="O16" s="220">
        <f t="shared" si="2"/>
        <v>-1.6382981139761998E-4</v>
      </c>
      <c r="P16" s="212"/>
      <c r="Q16" s="217">
        <v>44809</v>
      </c>
      <c r="R16" s="219">
        <f>_xll.qlDayCounterYearFraction($R$2,_xll.qlSettingsEvaluationDate(Trigger),Q16,,,Trigger)</f>
        <v>7.0164383561643833</v>
      </c>
      <c r="S16" s="218">
        <v>7.4968447033105998E-3</v>
      </c>
      <c r="T16" s="218">
        <f>_xll.qlYieldTSZeroRate(YieldCurve2,Q16,$R$2,,,TRUE,Trigger)</f>
        <v>7.5216462636723599E-3</v>
      </c>
      <c r="U16" s="220">
        <f t="shared" si="3"/>
        <v>-2.4801560361760108E-5</v>
      </c>
      <c r="V16" s="221">
        <v>0.94875835050330803</v>
      </c>
      <c r="W16" s="221">
        <f>_xll.qlYieldTSDiscount(YieldCurve2,Q16,TRUE,Trigger)</f>
        <v>0.94859326324953996</v>
      </c>
      <c r="X16" s="220">
        <f t="shared" si="4"/>
        <v>-1.6508725376807032E-4</v>
      </c>
      <c r="Y16" s="214"/>
      <c r="AC16" s="215"/>
      <c r="AD16" s="215"/>
    </row>
    <row r="17" spans="1:30" x14ac:dyDescent="0.2">
      <c r="A17" s="216" t="str">
        <v>EURAB6E8Y</v>
      </c>
      <c r="B17" s="217">
        <v>45173</v>
      </c>
      <c r="C17" s="218">
        <v>8.8542499999999993E-3</v>
      </c>
      <c r="D17" s="218">
        <f>Selected!H16</f>
        <v>8.8542499999999993E-3</v>
      </c>
      <c r="E17" s="220">
        <f t="shared" si="0"/>
        <v>0</v>
      </c>
      <c r="F17" s="217">
        <f>Selected!L16</f>
        <v>45173</v>
      </c>
      <c r="G17" s="212"/>
      <c r="H17" s="217">
        <v>45173</v>
      </c>
      <c r="I17" s="219">
        <f>_xll.qlDayCounterYearFraction($I$2,_xll.qlSettingsEvaluationDate(Trigger),H17,,,Trigger)</f>
        <v>8.0136986301369859</v>
      </c>
      <c r="J17" s="218">
        <v>8.8997000522963304E-3</v>
      </c>
      <c r="K17" s="218">
        <f>_xll.qlYieldTSZeroRate(YieldCurve1,H17,$I$2,,,TRUE,Trigger)</f>
        <v>8.9319470591364154E-3</v>
      </c>
      <c r="L17" s="220">
        <f t="shared" si="1"/>
        <v>-3.2247006840084927E-5</v>
      </c>
      <c r="M17" s="221">
        <v>0.93116432444401098</v>
      </c>
      <c r="N17" s="221">
        <f>_xll.qlYieldTSDiscount(YieldCurve1,H17,TRUE,Trigger)</f>
        <v>0.93092372610171925</v>
      </c>
      <c r="O17" s="220">
        <f t="shared" si="2"/>
        <v>-2.4059834229173127E-4</v>
      </c>
      <c r="P17" s="212"/>
      <c r="Q17" s="217">
        <v>45173</v>
      </c>
      <c r="R17" s="219">
        <f>_xll.qlDayCounterYearFraction($R$2,_xll.qlSettingsEvaluationDate(Trigger),Q17,,,Trigger)</f>
        <v>8.0136986301369859</v>
      </c>
      <c r="S17" s="218">
        <v>8.9005299237626592E-3</v>
      </c>
      <c r="T17" s="218">
        <f>_xll.qlYieldTSZeroRate(YieldCurve2,Q17,$R$2,,,TRUE,Trigger)</f>
        <v>8.932949526512881E-3</v>
      </c>
      <c r="U17" s="220">
        <f t="shared" si="3"/>
        <v>-3.2419602750221807E-5</v>
      </c>
      <c r="V17" s="221">
        <v>0.93115813190540497</v>
      </c>
      <c r="W17" s="221">
        <f>_xll.qlYieldTSDiscount(YieldCurve2,Q17,TRUE,Trigger)</f>
        <v>0.93091624758259062</v>
      </c>
      <c r="X17" s="220">
        <f t="shared" si="4"/>
        <v>-2.4188432281435635E-4</v>
      </c>
      <c r="Y17" s="214"/>
      <c r="AC17" s="215"/>
      <c r="AD17" s="215"/>
    </row>
    <row r="18" spans="1:30" x14ac:dyDescent="0.2">
      <c r="A18" s="216" t="str">
        <v>EURAB6E9Y</v>
      </c>
      <c r="B18" s="217">
        <v>45538</v>
      </c>
      <c r="C18" s="218">
        <v>1.0107E-2</v>
      </c>
      <c r="D18" s="218">
        <f>Selected!H17</f>
        <v>1.0107E-2</v>
      </c>
      <c r="E18" s="220">
        <f t="shared" si="0"/>
        <v>0</v>
      </c>
      <c r="F18" s="217">
        <f>Selected!L17</f>
        <v>45538</v>
      </c>
      <c r="G18" s="212"/>
      <c r="H18" s="217">
        <v>45538</v>
      </c>
      <c r="I18" s="219">
        <f>_xll.qlDayCounterYearFraction($I$2,_xll.qlSettingsEvaluationDate(Trigger),H18,,,Trigger)</f>
        <v>9.0136986301369859</v>
      </c>
      <c r="J18" s="218">
        <v>1.01855261273415E-2</v>
      </c>
      <c r="K18" s="218">
        <f>_xll.qlYieldTSZeroRate(YieldCurve1,H18,$I$2,,,TRUE,Trigger)</f>
        <v>1.0225041517280594E-2</v>
      </c>
      <c r="L18" s="220">
        <f t="shared" si="1"/>
        <v>-3.9515389939093551E-5</v>
      </c>
      <c r="M18" s="221">
        <v>0.91227913842761699</v>
      </c>
      <c r="N18" s="221">
        <f>_xll.qlYieldTSDiscount(YieldCurve1,H18,TRUE,Trigger)</f>
        <v>0.91195426087264997</v>
      </c>
      <c r="O18" s="220">
        <f t="shared" si="2"/>
        <v>-3.2487755496701798E-4</v>
      </c>
      <c r="P18" s="212"/>
      <c r="Q18" s="217">
        <v>45538</v>
      </c>
      <c r="R18" s="219">
        <f>_xll.qlDayCounterYearFraction($R$2,_xll.qlSettingsEvaluationDate(Trigger),Q18,,,Trigger)</f>
        <v>9.0136986301369859</v>
      </c>
      <c r="S18" s="218">
        <v>1.01859437129581E-2</v>
      </c>
      <c r="T18" s="218">
        <f>_xll.qlYieldTSZeroRate(YieldCurve2,Q18,$R$2,,,TRUE,Trigger)</f>
        <v>1.0225618589129588E-2</v>
      </c>
      <c r="U18" s="220">
        <f t="shared" si="3"/>
        <v>-3.9674876171487752E-5</v>
      </c>
      <c r="V18" s="221">
        <v>0.912275704623703</v>
      </c>
      <c r="W18" s="221">
        <f>_xll.qlYieldTSDiscount(YieldCurve2,Q18,TRUE,Trigger)</f>
        <v>0.91194951730771912</v>
      </c>
      <c r="X18" s="220">
        <f t="shared" si="4"/>
        <v>-3.2618731598388351E-4</v>
      </c>
      <c r="Y18" s="214"/>
      <c r="AC18" s="215"/>
      <c r="AD18" s="215"/>
    </row>
    <row r="19" spans="1:30" x14ac:dyDescent="0.2">
      <c r="A19" s="216" t="str">
        <v>EURAB6E10Y</v>
      </c>
      <c r="B19" s="217">
        <v>45903</v>
      </c>
      <c r="C19" s="218">
        <v>1.1193E-2</v>
      </c>
      <c r="D19" s="218">
        <f>Selected!H18</f>
        <v>1.1193E-2</v>
      </c>
      <c r="E19" s="220">
        <f t="shared" si="0"/>
        <v>0</v>
      </c>
      <c r="F19" s="217">
        <f>Selected!L18</f>
        <v>45903</v>
      </c>
      <c r="G19" s="212"/>
      <c r="H19" s="217">
        <v>45903</v>
      </c>
      <c r="I19" s="219">
        <f>_xll.qlDayCounterYearFraction($I$2,_xll.qlSettingsEvaluationDate(Trigger),H19,,,Trigger)</f>
        <v>10.013698630136986</v>
      </c>
      <c r="J19" s="218">
        <v>1.1311343675751101E-2</v>
      </c>
      <c r="K19" s="218">
        <f>_xll.qlYieldTSZeroRate(YieldCurve1,H19,$I$2,,,TRUE,Trigger)</f>
        <v>1.1357103815745572E-2</v>
      </c>
      <c r="L19" s="220">
        <f t="shared" si="1"/>
        <v>-4.5760139994471469E-5</v>
      </c>
      <c r="M19" s="221">
        <v>0.89291098254832602</v>
      </c>
      <c r="N19" s="221">
        <f>_xll.qlYieldTSDiscount(YieldCurve1,H19,TRUE,Trigger)</f>
        <v>0.89250191923967559</v>
      </c>
      <c r="O19" s="220">
        <f t="shared" si="2"/>
        <v>-4.0906330865042584E-4</v>
      </c>
      <c r="P19" s="212"/>
      <c r="Q19" s="217">
        <v>45903</v>
      </c>
      <c r="R19" s="219">
        <f>_xll.qlDayCounterYearFraction($R$2,_xll.qlSettingsEvaluationDate(Trigger),Q19,,,Trigger)</f>
        <v>10.013698630136986</v>
      </c>
      <c r="S19" s="218">
        <v>1.13117354198164E-2</v>
      </c>
      <c r="T19" s="218">
        <f>_xll.qlYieldTSZeroRate(YieldCurve2,Q19,$R$2,,,TRUE,Trigger)</f>
        <v>1.1357623098279245E-2</v>
      </c>
      <c r="U19" s="220">
        <f t="shared" si="3"/>
        <v>-4.5887678462844597E-5</v>
      </c>
      <c r="V19" s="221">
        <v>0.892907479837734</v>
      </c>
      <c r="W19" s="221">
        <f>_xll.qlYieldTSDiscount(YieldCurve2,Q19,TRUE,Trigger)</f>
        <v>0.89249727829638648</v>
      </c>
      <c r="X19" s="220">
        <f t="shared" si="4"/>
        <v>-4.1020154134752129E-4</v>
      </c>
      <c r="Y19" s="214"/>
      <c r="AC19" s="215"/>
      <c r="AD19" s="215"/>
    </row>
    <row r="20" spans="1:30" x14ac:dyDescent="0.2">
      <c r="A20" s="216" t="str">
        <v>EURAB6E12Y</v>
      </c>
      <c r="B20" s="217">
        <v>46633</v>
      </c>
      <c r="C20" s="218">
        <v>1.29455E-2</v>
      </c>
      <c r="D20" s="218">
        <f>Selected!H19</f>
        <v>1.29455E-2</v>
      </c>
      <c r="E20" s="220">
        <f t="shared" si="0"/>
        <v>0</v>
      </c>
      <c r="F20" s="217">
        <f>Selected!L19</f>
        <v>46633</v>
      </c>
      <c r="G20" s="212"/>
      <c r="H20" s="217">
        <v>46633</v>
      </c>
      <c r="I20" s="219">
        <f>_xll.qlDayCounterYearFraction($I$2,_xll.qlSettingsEvaluationDate(Trigger),H20,,,Trigger)</f>
        <v>12.013698630136986</v>
      </c>
      <c r="J20" s="218">
        <v>1.31483979216017E-2</v>
      </c>
      <c r="K20" s="218">
        <f>_xll.qlYieldTSZeroRate(YieldCurve1,H20,$I$2,,,TRUE,Trigger)</f>
        <v>1.3203950883147948E-2</v>
      </c>
      <c r="L20" s="220">
        <f t="shared" si="1"/>
        <v>-5.5552961546247517E-5</v>
      </c>
      <c r="M20" s="221">
        <v>0.85388317660174196</v>
      </c>
      <c r="N20" s="221">
        <f>_xll.qlYieldTSDiscount(YieldCurve1,H20,TRUE,Trigger)</f>
        <v>0.85331348805102714</v>
      </c>
      <c r="O20" s="220">
        <f t="shared" si="2"/>
        <v>-5.6968855071481972E-4</v>
      </c>
      <c r="P20" s="212"/>
      <c r="Q20" s="217">
        <v>46633</v>
      </c>
      <c r="R20" s="219">
        <f>_xll.qlDayCounterYearFraction($R$2,_xll.qlSettingsEvaluationDate(Trigger),Q20,,,Trigger)</f>
        <v>12.013698630136986</v>
      </c>
      <c r="S20" s="218">
        <v>1.31480477626043E-2</v>
      </c>
      <c r="T20" s="218">
        <f>_xll.qlYieldTSZeroRate(YieldCurve2,Q20,$R$2,,,TRUE,Trigger)</f>
        <v>1.3203607428600276E-2</v>
      </c>
      <c r="U20" s="220">
        <f t="shared" si="3"/>
        <v>-5.5559665995975546E-5</v>
      </c>
      <c r="V20" s="221">
        <v>0.85388676864364299</v>
      </c>
      <c r="W20" s="221">
        <f>_xll.qlYieldTSDiscount(YieldCurve2,Q20,TRUE,Trigger)</f>
        <v>0.85331700896578555</v>
      </c>
      <c r="X20" s="220">
        <f t="shared" si="4"/>
        <v>-5.6975967785743986E-4</v>
      </c>
      <c r="Y20" s="214"/>
      <c r="AC20" s="215"/>
      <c r="AD20" s="215"/>
    </row>
    <row r="21" spans="1:30" x14ac:dyDescent="0.2">
      <c r="A21" s="216" t="str">
        <v>EURAB6E15Y</v>
      </c>
      <c r="B21" s="217">
        <v>47729</v>
      </c>
      <c r="C21" s="218">
        <v>1.4725500000000001E-2</v>
      </c>
      <c r="D21" s="218">
        <f>Selected!H20</f>
        <v>1.4725500000000001E-2</v>
      </c>
      <c r="E21" s="220">
        <f t="shared" si="0"/>
        <v>0</v>
      </c>
      <c r="F21" s="217">
        <f>Selected!L20</f>
        <v>47729</v>
      </c>
      <c r="G21" s="212"/>
      <c r="H21" s="217">
        <v>47729</v>
      </c>
      <c r="I21" s="219">
        <f>_xll.qlDayCounterYearFraction($I$2,_xll.qlSettingsEvaluationDate(Trigger),H21,,,Trigger)</f>
        <v>15.016438356164384</v>
      </c>
      <c r="J21" s="218">
        <v>1.5040220004364E-2</v>
      </c>
      <c r="K21" s="218">
        <f>_xll.qlYieldTSZeroRate(YieldCurve1,H21,$I$2,,,TRUE,Trigger)</f>
        <v>1.5103807832159368E-2</v>
      </c>
      <c r="L21" s="220">
        <f t="shared" si="1"/>
        <v>-6.3587827795367341E-5</v>
      </c>
      <c r="M21" s="221">
        <v>0.79783734026903397</v>
      </c>
      <c r="N21" s="221">
        <f>_xll.qlYieldTSDiscount(YieldCurve1,H21,TRUE,Trigger)</f>
        <v>0.79707587875855468</v>
      </c>
      <c r="O21" s="220">
        <f t="shared" si="2"/>
        <v>-7.6146151047928878E-4</v>
      </c>
      <c r="P21" s="212"/>
      <c r="Q21" s="217">
        <v>47729</v>
      </c>
      <c r="R21" s="219">
        <f>_xll.qlDayCounterYearFraction($R$2,_xll.qlSettingsEvaluationDate(Trigger),Q21,,,Trigger)</f>
        <v>15.016438356164384</v>
      </c>
      <c r="S21" s="218">
        <v>1.5036600026284401E-2</v>
      </c>
      <c r="T21" s="218">
        <f>_xll.qlYieldTSZeroRate(YieldCurve2,Q21,$R$2,,,TRUE,Trigger)</f>
        <v>1.5099977808614207E-2</v>
      </c>
      <c r="U21" s="220">
        <f t="shared" si="3"/>
        <v>-6.3377782329806717E-5</v>
      </c>
      <c r="V21" s="221">
        <v>0.79788071122957005</v>
      </c>
      <c r="W21" s="221">
        <f>_xll.qlYieldTSDiscount(YieldCurve2,Q21,TRUE,Trigger)</f>
        <v>0.79712172255093239</v>
      </c>
      <c r="X21" s="220">
        <f t="shared" si="4"/>
        <v>-7.5898867863766206E-4</v>
      </c>
      <c r="Y21" s="214"/>
      <c r="AC21" s="215"/>
      <c r="AD21" s="215"/>
    </row>
    <row r="22" spans="1:30" x14ac:dyDescent="0.2">
      <c r="A22" s="216" t="str">
        <v>EURAB6E20Y</v>
      </c>
      <c r="B22" s="217">
        <v>49555</v>
      </c>
      <c r="C22" s="218">
        <v>1.6125500000000001E-2</v>
      </c>
      <c r="D22" s="218">
        <f>Selected!H21</f>
        <v>1.6125500000000001E-2</v>
      </c>
      <c r="E22" s="220">
        <f t="shared" si="0"/>
        <v>0</v>
      </c>
      <c r="F22" s="217">
        <f>Selected!L21</f>
        <v>49555</v>
      </c>
      <c r="G22" s="212"/>
      <c r="H22" s="217">
        <v>49555</v>
      </c>
      <c r="I22" s="219">
        <f>_xll.qlDayCounterYearFraction($I$2,_xll.qlSettingsEvaluationDate(Trigger),H22,,,Trigger)</f>
        <v>20.019178082191782</v>
      </c>
      <c r="J22" s="218">
        <v>1.6530995676220499E-2</v>
      </c>
      <c r="K22" s="218">
        <f>_xll.qlYieldTSZeroRate(YieldCurve1,H22,$I$2,,,TRUE,Trigger)</f>
        <v>1.6594453378654405E-2</v>
      </c>
      <c r="L22" s="220">
        <f t="shared" si="1"/>
        <v>-6.3457702433905583E-5</v>
      </c>
      <c r="M22" s="221">
        <v>0.71825045594850501</v>
      </c>
      <c r="N22" s="221">
        <f>_xll.qlYieldTSDiscount(YieldCurve1,H22,TRUE,Trigger)</f>
        <v>0.71733859069194172</v>
      </c>
      <c r="O22" s="220">
        <f t="shared" si="2"/>
        <v>-9.1186525656328232E-4</v>
      </c>
      <c r="P22" s="212"/>
      <c r="Q22" s="217">
        <v>49555</v>
      </c>
      <c r="R22" s="219">
        <f>_xll.qlDayCounterYearFraction($R$2,_xll.qlSettingsEvaluationDate(Trigger),Q22,,,Trigger)</f>
        <v>20.019178082191782</v>
      </c>
      <c r="S22" s="218">
        <v>1.6517790020797202E-2</v>
      </c>
      <c r="T22" s="218">
        <f>_xll.qlYieldTSZeroRate(YieldCurve2,Q22,$R$2,,,TRUE,Trigger)</f>
        <v>1.658044612184573E-2</v>
      </c>
      <c r="U22" s="220">
        <f t="shared" si="3"/>
        <v>-6.2656101048528395E-5</v>
      </c>
      <c r="V22" s="221">
        <v>0.71844036231389996</v>
      </c>
      <c r="W22" s="221">
        <f>_xll.qlYieldTSDiscount(YieldCurve2,Q22,TRUE,Trigger)</f>
        <v>0.71753977051492313</v>
      </c>
      <c r="X22" s="220">
        <f t="shared" si="4"/>
        <v>-9.0059179897683528E-4</v>
      </c>
      <c r="Y22" s="214"/>
      <c r="AC22" s="215"/>
      <c r="AD22" s="215"/>
    </row>
    <row r="23" spans="1:30" x14ac:dyDescent="0.2">
      <c r="A23" s="216" t="str">
        <v>EURAB6E25Y</v>
      </c>
      <c r="B23" s="217">
        <v>51382</v>
      </c>
      <c r="C23" s="218">
        <v>1.6433E-2</v>
      </c>
      <c r="D23" s="218">
        <f>Selected!H22</f>
        <v>1.6433E-2</v>
      </c>
      <c r="E23" s="220">
        <f t="shared" si="0"/>
        <v>0</v>
      </c>
      <c r="F23" s="217">
        <f>Selected!L22</f>
        <v>51382</v>
      </c>
      <c r="G23" s="212"/>
      <c r="H23" s="217">
        <v>51382</v>
      </c>
      <c r="I23" s="219">
        <f>_xll.qlDayCounterYearFraction($I$2,_xll.qlSettingsEvaluationDate(Trigger),H23,,,Trigger)</f>
        <v>25.024657534246575</v>
      </c>
      <c r="J23" s="218">
        <v>1.67897874807151E-2</v>
      </c>
      <c r="K23" s="218">
        <f>_xll.qlYieldTSZeroRate(YieldCurve1,H23,$I$2,,,TRUE,Trigger)</f>
        <v>1.6844093516502623E-2</v>
      </c>
      <c r="L23" s="220">
        <f t="shared" si="1"/>
        <v>-5.4306035787522744E-5</v>
      </c>
      <c r="M23" s="221">
        <v>0.65694256672942297</v>
      </c>
      <c r="N23" s="221">
        <f>_xll.qlYieldTSDiscount(YieldCurve1,H23,TRUE,Trigger)</f>
        <v>0.65605039474875693</v>
      </c>
      <c r="O23" s="220">
        <f t="shared" si="2"/>
        <v>-8.9217198066604553E-4</v>
      </c>
      <c r="P23" s="212"/>
      <c r="Q23" s="217">
        <v>51382</v>
      </c>
      <c r="R23" s="219">
        <f>_xll.qlDayCounterYearFraction($R$2,_xll.qlSettingsEvaluationDate(Trigger),Q23,,,Trigger)</f>
        <v>25.024657534246575</v>
      </c>
      <c r="S23" s="218">
        <v>1.6774898447442298E-2</v>
      </c>
      <c r="T23" s="218">
        <f>_xll.qlYieldTSZeroRate(YieldCurve2,Q23,$R$2,,,TRUE,Trigger)</f>
        <v>1.6828459120606279E-2</v>
      </c>
      <c r="U23" s="220">
        <f t="shared" si="3"/>
        <v>-5.3560673163980527E-5</v>
      </c>
      <c r="V23" s="221">
        <v>0.657187384509894</v>
      </c>
      <c r="W23" s="221">
        <f>_xll.qlYieldTSDiscount(YieldCurve2,Q23,TRUE,Trigger)</f>
        <v>0.65630712166821725</v>
      </c>
      <c r="X23" s="220">
        <f t="shared" si="4"/>
        <v>-8.8026284167674884E-4</v>
      </c>
      <c r="Y23" s="214"/>
      <c r="AC23" s="215"/>
      <c r="AD23" s="215"/>
    </row>
    <row r="24" spans="1:30" x14ac:dyDescent="0.2">
      <c r="A24" s="216" t="str">
        <v>EURAB6E30Y</v>
      </c>
      <c r="B24" s="217">
        <v>53209</v>
      </c>
      <c r="C24" s="218">
        <v>1.6500500000000001E-2</v>
      </c>
      <c r="D24" s="218">
        <f>Selected!H23</f>
        <v>1.6500500000000001E-2</v>
      </c>
      <c r="E24" s="220">
        <f t="shared" si="0"/>
        <v>0</v>
      </c>
      <c r="F24" s="217">
        <f>Selected!L23</f>
        <v>53209</v>
      </c>
      <c r="G24" s="212"/>
      <c r="H24" s="217">
        <v>53209</v>
      </c>
      <c r="I24" s="219">
        <f>_xll.qlDayCounterYearFraction($I$2,_xll.qlSettingsEvaluationDate(Trigger),H24,,,Trigger)</f>
        <v>30.030136986301368</v>
      </c>
      <c r="J24" s="218">
        <v>1.6791044990530399E-2</v>
      </c>
      <c r="K24" s="218">
        <f>_xll.qlYieldTSZeroRate(YieldCurve1,H24,$I$2,,,TRUE,Trigger)</f>
        <v>1.683703670812723E-2</v>
      </c>
      <c r="L24" s="220">
        <f t="shared" si="1"/>
        <v>-4.599171759683135E-5</v>
      </c>
      <c r="M24" s="221">
        <v>0.60396599565971598</v>
      </c>
      <c r="N24" s="221">
        <f>_xll.qlYieldTSDiscount(YieldCurve1,H24,TRUE,Trigger)</f>
        <v>0.60313241130611406</v>
      </c>
      <c r="O24" s="220">
        <f t="shared" si="2"/>
        <v>-8.3358435360192384E-4</v>
      </c>
      <c r="P24" s="212"/>
      <c r="Q24" s="217">
        <v>53209</v>
      </c>
      <c r="R24" s="219">
        <f>_xll.qlDayCounterYearFraction($R$2,_xll.qlSettingsEvaluationDate(Trigger),Q24,,,Trigger)</f>
        <v>30.030136986301368</v>
      </c>
      <c r="S24" s="218">
        <v>1.6778821723119699E-2</v>
      </c>
      <c r="T24" s="218">
        <f>_xll.qlYieldTSZeroRate(YieldCurve2,Q24,$R$2,,,TRUE,Trigger)</f>
        <v>1.682418859980556E-2</v>
      </c>
      <c r="U24" s="220">
        <f t="shared" si="3"/>
        <v>-4.5366876685860869E-5</v>
      </c>
      <c r="V24" s="221">
        <v>0.60418773197378695</v>
      </c>
      <c r="W24" s="221">
        <f>_xll.qlYieldTSDiscount(YieldCurve2,Q24,TRUE,Trigger)</f>
        <v>0.60336516305600485</v>
      </c>
      <c r="X24" s="220">
        <f t="shared" si="4"/>
        <v>-8.2256891778209607E-4</v>
      </c>
      <c r="Y24" s="214"/>
      <c r="AC24" s="215"/>
      <c r="AD24" s="215"/>
    </row>
    <row r="25" spans="1:30" x14ac:dyDescent="0.2">
      <c r="A25" s="216" t="str">
        <v>EURAB6E40Y</v>
      </c>
      <c r="B25" s="217">
        <v>56860</v>
      </c>
      <c r="C25" s="218">
        <v>1.6621E-2</v>
      </c>
      <c r="D25" s="218">
        <f>Selected!H24</f>
        <v>1.6621E-2</v>
      </c>
      <c r="E25" s="220">
        <f t="shared" si="0"/>
        <v>0</v>
      </c>
      <c r="F25" s="217">
        <f>Selected!L24</f>
        <v>56860</v>
      </c>
      <c r="G25" s="212"/>
      <c r="H25" s="217">
        <v>56860</v>
      </c>
      <c r="I25" s="219">
        <f>_xll.qlDayCounterYearFraction($I$2,_xll.qlSettingsEvaluationDate(Trigger),H25,,,Trigger)</f>
        <v>40.032876712328765</v>
      </c>
      <c r="J25" s="218">
        <v>1.68406164130794E-2</v>
      </c>
      <c r="K25" s="218">
        <f>_xll.qlYieldTSZeroRate(YieldCurve1,H25,$I$2,,,TRUE,Trigger)</f>
        <v>1.6876324745075295E-2</v>
      </c>
      <c r="L25" s="220">
        <f t="shared" si="1"/>
        <v>-3.5708331995894932E-5</v>
      </c>
      <c r="M25" s="221">
        <v>0.50957495586464896</v>
      </c>
      <c r="N25" s="221">
        <f>_xll.qlYieldTSDiscount(YieldCurve1,H25,TRUE,Trigger)</f>
        <v>0.50884703517751062</v>
      </c>
      <c r="O25" s="220">
        <f t="shared" si="2"/>
        <v>-7.2792068713833924E-4</v>
      </c>
      <c r="P25" s="212"/>
      <c r="Q25" s="217">
        <v>56860</v>
      </c>
      <c r="R25" s="219">
        <f>_xll.qlDayCounterYearFraction($R$2,_xll.qlSettingsEvaluationDate(Trigger),Q25,,,Trigger)</f>
        <v>40.032876712328765</v>
      </c>
      <c r="S25" s="218">
        <v>1.6825419333313101E-2</v>
      </c>
      <c r="T25" s="218">
        <f>_xll.qlYieldTSZeroRate(YieldCurve2,Q25,$R$2,,,TRUE,Trigger)</f>
        <v>1.6860694068676629E-2</v>
      </c>
      <c r="U25" s="220">
        <f t="shared" si="3"/>
        <v>-3.527473536352882E-5</v>
      </c>
      <c r="V25" s="221">
        <v>0.50988506683717105</v>
      </c>
      <c r="W25" s="221">
        <f>_xll.qlYieldTSDiscount(YieldCurve2,Q25,TRUE,Trigger)</f>
        <v>0.50916554124097779</v>
      </c>
      <c r="X25" s="220">
        <f t="shared" si="4"/>
        <v>-7.1952559619326006E-4</v>
      </c>
      <c r="Y25" s="214"/>
      <c r="AC25" s="215"/>
      <c r="AD25" s="215"/>
    </row>
    <row r="26" spans="1:30" x14ac:dyDescent="0.2">
      <c r="A26" s="216" t="str">
        <v>EURAB6E50Y</v>
      </c>
      <c r="B26" s="217">
        <v>60513</v>
      </c>
      <c r="C26" s="218">
        <v>1.6251000000000002E-2</v>
      </c>
      <c r="D26" s="218">
        <f>Selected!H25</f>
        <v>1.6251000000000002E-2</v>
      </c>
      <c r="E26" s="220">
        <f t="shared" si="0"/>
        <v>0</v>
      </c>
      <c r="F26" s="217">
        <f>Selected!L25</f>
        <v>60513</v>
      </c>
      <c r="G26" s="212"/>
      <c r="H26" s="217">
        <v>60513</v>
      </c>
      <c r="I26" s="219">
        <f>_xll.qlDayCounterYearFraction($I$2,_xll.qlSettingsEvaluationDate(Trigger),H26,,,Trigger)</f>
        <v>50.041095890410958</v>
      </c>
      <c r="J26" s="218">
        <v>1.6237301181535602E-2</v>
      </c>
      <c r="K26" s="218">
        <f>_xll.qlYieldTSZeroRate(YieldCurve1,H26,$I$2,,,TRUE,Trigger)</f>
        <v>1.6263151915113426E-2</v>
      </c>
      <c r="L26" s="220">
        <f t="shared" si="1"/>
        <v>-2.5850733577824359E-5</v>
      </c>
      <c r="M26" s="221">
        <v>0.44373295711711402</v>
      </c>
      <c r="N26" s="221">
        <f>_xll.qlYieldTSDiscount(YieldCurve1,H26,TRUE,Trigger)</f>
        <v>0.44315931570172973</v>
      </c>
      <c r="O26" s="220">
        <f t="shared" si="2"/>
        <v>-5.7364141538429614E-4</v>
      </c>
      <c r="P26" s="212"/>
      <c r="Q26" s="217">
        <v>60513</v>
      </c>
      <c r="R26" s="219">
        <f>_xll.qlDayCounterYearFraction($R$2,_xll.qlSettingsEvaluationDate(Trigger),Q26,,,Trigger)</f>
        <v>50.041095890410958</v>
      </c>
      <c r="S26" s="218">
        <v>1.6223637354772599E-2</v>
      </c>
      <c r="T26" s="218">
        <f>_xll.qlYieldTSZeroRate(YieldCurve2,Q26,$R$2,,,TRUE,Trigger)</f>
        <v>1.6249419392470946E-2</v>
      </c>
      <c r="U26" s="220">
        <f t="shared" si="3"/>
        <v>-2.5782037698346416E-5</v>
      </c>
      <c r="V26" s="221">
        <v>0.44403646454817303</v>
      </c>
      <c r="W26" s="221">
        <f>_xll.qlYieldTSDiscount(YieldCurve2,Q26,TRUE,Trigger)</f>
        <v>0.4434639552263559</v>
      </c>
      <c r="X26" s="220">
        <f t="shared" si="4"/>
        <v>-5.7250932181712733E-4</v>
      </c>
      <c r="Y26" s="214"/>
      <c r="AC26" s="215"/>
      <c r="AD26" s="215"/>
    </row>
    <row r="27" spans="1:30" x14ac:dyDescent="0.2">
      <c r="A27" s="216" t="str">
        <v>EURAB6E60Y</v>
      </c>
      <c r="B27" s="217">
        <v>64165</v>
      </c>
      <c r="C27" s="218">
        <v>1.6047499999999999E-2</v>
      </c>
      <c r="D27" s="218">
        <f>Selected!H26</f>
        <v>1.6047499999999999E-2</v>
      </c>
      <c r="E27" s="220">
        <f t="shared" si="0"/>
        <v>0</v>
      </c>
      <c r="F27" s="217">
        <f>Selected!L26</f>
        <v>64165</v>
      </c>
      <c r="G27" s="212"/>
      <c r="H27" s="217">
        <v>64165</v>
      </c>
      <c r="I27" s="219">
        <f>_xll.qlDayCounterYearFraction($I$2,_xll.qlSettingsEvaluationDate(Trigger),H27,,,Trigger)</f>
        <v>60.046575342465751</v>
      </c>
      <c r="J27" s="218">
        <v>1.59050219179405E-2</v>
      </c>
      <c r="K27" s="218">
        <f>_xll.qlYieldTSZeroRate(YieldCurve1,H27,$I$2,,,TRUE,Trigger)</f>
        <v>1.5924127874123457E-2</v>
      </c>
      <c r="L27" s="220">
        <f t="shared" si="1"/>
        <v>-1.9105956182957629E-5</v>
      </c>
      <c r="M27" s="221">
        <v>0.38479594548819701</v>
      </c>
      <c r="N27" s="221">
        <f>_xll.qlYieldTSDiscount(YieldCurve1,H27,TRUE,Trigger)</f>
        <v>0.38435474253558677</v>
      </c>
      <c r="O27" s="220">
        <f t="shared" si="2"/>
        <v>-4.4120295261024234E-4</v>
      </c>
      <c r="P27" s="212"/>
      <c r="Q27" s="217">
        <v>64165</v>
      </c>
      <c r="R27" s="219">
        <f>_xll.qlDayCounterYearFraction($R$2,_xll.qlSettingsEvaluationDate(Trigger),Q27,,,Trigger)</f>
        <v>60.046575342465751</v>
      </c>
      <c r="S27" s="218">
        <v>1.5897544001326699E-2</v>
      </c>
      <c r="T27" s="218">
        <f>_xll.qlYieldTSZeroRate(YieldCurve2,Q27,$R$2,,,TRUE,Trigger)</f>
        <v>1.5916821676249769E-2</v>
      </c>
      <c r="U27" s="220">
        <f t="shared" si="3"/>
        <v>-1.9277674923070393E-5</v>
      </c>
      <c r="V27" s="221">
        <v>0.38496876662451401</v>
      </c>
      <c r="W27" s="221">
        <f>_xll.qlYieldTSDiscount(YieldCurve2,Q27,TRUE,Trigger)</f>
        <v>0.38452340062878265</v>
      </c>
      <c r="X27" s="220">
        <f t="shared" si="4"/>
        <v>-4.453659957313616E-4</v>
      </c>
      <c r="Y27" s="214"/>
      <c r="AC27" s="215"/>
      <c r="AD27" s="215"/>
    </row>
    <row r="28" spans="1:30" ht="12" thickBot="1" x14ac:dyDescent="0.25">
      <c r="A28" s="222"/>
      <c r="B28" s="223"/>
      <c r="C28" s="223"/>
      <c r="D28" s="223"/>
      <c r="E28" s="223"/>
      <c r="F28" s="223"/>
      <c r="G28" s="223"/>
      <c r="H28" s="223"/>
      <c r="I28" s="223"/>
      <c r="J28" s="223"/>
      <c r="K28" s="223"/>
      <c r="L28" s="223"/>
      <c r="M28" s="223"/>
      <c r="N28" s="223"/>
      <c r="O28" s="223"/>
      <c r="P28" s="223"/>
      <c r="Q28" s="223"/>
      <c r="R28" s="223"/>
      <c r="S28" s="223"/>
      <c r="T28" s="223"/>
      <c r="U28" s="223"/>
      <c r="V28" s="223"/>
      <c r="W28" s="223"/>
      <c r="X28" s="223"/>
      <c r="Y28" s="224"/>
      <c r="AC28" s="215"/>
      <c r="AD28" s="215"/>
    </row>
    <row r="29" spans="1:30" x14ac:dyDescent="0.2">
      <c r="AC29" s="215"/>
      <c r="AD29" s="215"/>
    </row>
    <row r="30" spans="1:30" x14ac:dyDescent="0.2">
      <c r="AC30" s="215"/>
      <c r="AD30" s="215"/>
    </row>
    <row r="31" spans="1:30" x14ac:dyDescent="0.2">
      <c r="AC31" s="215"/>
      <c r="AD31" s="215"/>
    </row>
    <row r="32" spans="1:30" x14ac:dyDescent="0.2">
      <c r="AC32" s="215"/>
      <c r="AD32" s="215"/>
    </row>
    <row r="33" spans="29:30" x14ac:dyDescent="0.2">
      <c r="AC33" s="215"/>
      <c r="AD33" s="215"/>
    </row>
    <row r="34" spans="29:30" x14ac:dyDescent="0.2">
      <c r="AC34" s="215"/>
      <c r="AD34" s="215"/>
    </row>
    <row r="35" spans="29:30" x14ac:dyDescent="0.2">
      <c r="AC35" s="215"/>
      <c r="AD35" s="215"/>
    </row>
    <row r="36" spans="29:30" x14ac:dyDescent="0.2">
      <c r="AC36" s="215"/>
      <c r="AD36" s="215"/>
    </row>
    <row r="37" spans="29:30" x14ac:dyDescent="0.2">
      <c r="AC37" s="215"/>
      <c r="AD37" s="215"/>
    </row>
    <row r="38" spans="29:30" x14ac:dyDescent="0.2">
      <c r="AC38" s="215"/>
      <c r="AD38" s="215"/>
    </row>
    <row r="39" spans="29:30" x14ac:dyDescent="0.2">
      <c r="AC39" s="215"/>
      <c r="AD39" s="215"/>
    </row>
    <row r="40" spans="29:30" x14ac:dyDescent="0.2">
      <c r="AC40" s="215"/>
      <c r="AD40" s="215"/>
    </row>
    <row r="41" spans="29:30" x14ac:dyDescent="0.2">
      <c r="AC41" s="215"/>
      <c r="AD41" s="215"/>
    </row>
    <row r="42" spans="29:30" x14ac:dyDescent="0.2">
      <c r="AC42" s="215"/>
      <c r="AD42" s="215"/>
    </row>
    <row r="43" spans="29:30" x14ac:dyDescent="0.2">
      <c r="AC43" s="215"/>
      <c r="AD43" s="215"/>
    </row>
    <row r="44" spans="29:30" x14ac:dyDescent="0.2">
      <c r="AC44" s="215"/>
      <c r="AD44" s="215"/>
    </row>
    <row r="45" spans="29:30" x14ac:dyDescent="0.2">
      <c r="AC45" s="215"/>
      <c r="AD45" s="215"/>
    </row>
    <row r="46" spans="29:30" x14ac:dyDescent="0.2">
      <c r="AC46" s="215"/>
      <c r="AD46" s="215"/>
    </row>
    <row r="47" spans="29:30" x14ac:dyDescent="0.2">
      <c r="AC47" s="215"/>
      <c r="AD47" s="215"/>
    </row>
    <row r="48" spans="29:30" x14ac:dyDescent="0.2">
      <c r="AC48" s="215"/>
      <c r="AD48" s="215"/>
    </row>
    <row r="49" spans="29:30" x14ac:dyDescent="0.2">
      <c r="AC49" s="215"/>
      <c r="AD49" s="215"/>
    </row>
    <row r="50" spans="29:30" x14ac:dyDescent="0.2">
      <c r="AC50" s="215"/>
      <c r="AD50" s="215"/>
    </row>
    <row r="51" spans="29:30" x14ac:dyDescent="0.2">
      <c r="AC51" s="215"/>
      <c r="AD51" s="215"/>
    </row>
    <row r="52" spans="29:30" x14ac:dyDescent="0.2">
      <c r="AC52" s="215"/>
      <c r="AD52" s="215"/>
    </row>
    <row r="53" spans="29:30" x14ac:dyDescent="0.2">
      <c r="AC53" s="215"/>
      <c r="AD53" s="215"/>
    </row>
    <row r="54" spans="29:30" x14ac:dyDescent="0.2">
      <c r="AC54" s="215"/>
      <c r="AD54" s="215"/>
    </row>
    <row r="55" spans="29:30" x14ac:dyDescent="0.2">
      <c r="AC55" s="215"/>
      <c r="AD55" s="215"/>
    </row>
    <row r="56" spans="29:30" x14ac:dyDescent="0.2">
      <c r="AC56" s="215"/>
      <c r="AD56" s="215"/>
    </row>
    <row r="57" spans="29:30" x14ac:dyDescent="0.2">
      <c r="AC57" s="215"/>
      <c r="AD57" s="215"/>
    </row>
    <row r="58" spans="29:30" x14ac:dyDescent="0.2">
      <c r="AC58" s="215"/>
      <c r="AD58" s="215"/>
    </row>
    <row r="59" spans="29:30" x14ac:dyDescent="0.2">
      <c r="AC59" s="215"/>
      <c r="AD59" s="215"/>
    </row>
    <row r="60" spans="29:30" x14ac:dyDescent="0.2">
      <c r="AC60" s="215"/>
      <c r="AD60" s="215"/>
    </row>
    <row r="61" spans="29:30" x14ac:dyDescent="0.2">
      <c r="AC61" s="215"/>
      <c r="AD61" s="215"/>
    </row>
    <row r="62" spans="29:30" x14ac:dyDescent="0.2">
      <c r="AC62" s="215"/>
      <c r="AD62" s="215"/>
    </row>
    <row r="63" spans="29:30" x14ac:dyDescent="0.2">
      <c r="AC63" s="215"/>
      <c r="AD63" s="215"/>
    </row>
    <row r="64" spans="29:30" x14ac:dyDescent="0.2">
      <c r="AC64" s="215"/>
      <c r="AD64" s="215"/>
    </row>
    <row r="65" spans="29:30" x14ac:dyDescent="0.2">
      <c r="AC65" s="215"/>
      <c r="AD65" s="215"/>
    </row>
    <row r="66" spans="29:30" x14ac:dyDescent="0.2">
      <c r="AC66" s="215"/>
      <c r="AD66" s="215"/>
    </row>
    <row r="67" spans="29:30" x14ac:dyDescent="0.2">
      <c r="AC67" s="215"/>
      <c r="AD67" s="215"/>
    </row>
    <row r="68" spans="29:30" x14ac:dyDescent="0.2">
      <c r="AC68" s="215"/>
      <c r="AD68" s="215"/>
    </row>
    <row r="69" spans="29:30" x14ac:dyDescent="0.2">
      <c r="AC69" s="215"/>
      <c r="AD69" s="215"/>
    </row>
    <row r="70" spans="29:30" x14ac:dyDescent="0.2">
      <c r="AC70" s="215"/>
      <c r="AD70" s="215"/>
    </row>
    <row r="71" spans="29:30" x14ac:dyDescent="0.2">
      <c r="AC71" s="215"/>
      <c r="AD71" s="215"/>
    </row>
    <row r="72" spans="29:30" x14ac:dyDescent="0.2">
      <c r="AC72" s="215"/>
      <c r="AD72" s="215"/>
    </row>
    <row r="73" spans="29:30" x14ac:dyDescent="0.2">
      <c r="AC73" s="215"/>
      <c r="AD73" s="215"/>
    </row>
    <row r="74" spans="29:30" x14ac:dyDescent="0.2">
      <c r="AC74" s="215"/>
      <c r="AD74" s="215"/>
    </row>
    <row r="75" spans="29:30" x14ac:dyDescent="0.2">
      <c r="AC75" s="215"/>
      <c r="AD75" s="215"/>
    </row>
    <row r="76" spans="29:30" x14ac:dyDescent="0.2">
      <c r="AC76" s="215"/>
      <c r="AD76" s="215"/>
    </row>
    <row r="77" spans="29:30" x14ac:dyDescent="0.2">
      <c r="AC77" s="215"/>
      <c r="AD77" s="215"/>
    </row>
    <row r="78" spans="29:30" x14ac:dyDescent="0.2">
      <c r="AC78" s="215"/>
      <c r="AD78" s="215"/>
    </row>
    <row r="79" spans="29:30" x14ac:dyDescent="0.2">
      <c r="AC79" s="215"/>
      <c r="AD79" s="215"/>
    </row>
    <row r="80" spans="29:30" x14ac:dyDescent="0.2">
      <c r="AC80" s="215"/>
      <c r="AD80" s="215"/>
    </row>
    <row r="81" spans="29:30" x14ac:dyDescent="0.2">
      <c r="AC81" s="215"/>
      <c r="AD81" s="215"/>
    </row>
    <row r="82" spans="29:30" x14ac:dyDescent="0.2">
      <c r="AC82" s="215"/>
      <c r="AD82" s="215"/>
    </row>
    <row r="83" spans="29:30" x14ac:dyDescent="0.2">
      <c r="AC83" s="215"/>
      <c r="AD83" s="215"/>
    </row>
    <row r="84" spans="29:30" x14ac:dyDescent="0.2">
      <c r="AC84" s="215"/>
      <c r="AD84" s="215"/>
    </row>
    <row r="85" spans="29:30" x14ac:dyDescent="0.2">
      <c r="AC85" s="215"/>
      <c r="AD85" s="215"/>
    </row>
    <row r="86" spans="29:30" x14ac:dyDescent="0.2">
      <c r="AC86" s="215"/>
      <c r="AD86" s="215"/>
    </row>
    <row r="87" spans="29:30" x14ac:dyDescent="0.2">
      <c r="AC87" s="215"/>
      <c r="AD87" s="215"/>
    </row>
    <row r="88" spans="29:30" x14ac:dyDescent="0.2">
      <c r="AC88" s="215"/>
      <c r="AD88" s="215"/>
    </row>
    <row r="89" spans="29:30" x14ac:dyDescent="0.2">
      <c r="AC89" s="215"/>
      <c r="AD89" s="215"/>
    </row>
    <row r="90" spans="29:30" x14ac:dyDescent="0.2">
      <c r="AC90" s="215"/>
      <c r="AD90" s="215"/>
    </row>
    <row r="91" spans="29:30" x14ac:dyDescent="0.2">
      <c r="AC91" s="215"/>
      <c r="AD91" s="215"/>
    </row>
    <row r="92" spans="29:30" x14ac:dyDescent="0.2">
      <c r="AC92" s="215"/>
      <c r="AD92" s="215"/>
    </row>
    <row r="93" spans="29:30" x14ac:dyDescent="0.2">
      <c r="AC93" s="215"/>
      <c r="AD93" s="215"/>
    </row>
    <row r="94" spans="29:30" x14ac:dyDescent="0.2">
      <c r="AC94" s="215"/>
      <c r="AD94" s="215"/>
    </row>
    <row r="95" spans="29:30" x14ac:dyDescent="0.2">
      <c r="AC95" s="215"/>
      <c r="AD95" s="215"/>
    </row>
    <row r="96" spans="29:30" x14ac:dyDescent="0.2">
      <c r="AC96" s="215"/>
      <c r="AD96" s="215"/>
    </row>
    <row r="97" spans="29:30" x14ac:dyDescent="0.2">
      <c r="AC97" s="215"/>
      <c r="AD97" s="215"/>
    </row>
    <row r="98" spans="29:30" x14ac:dyDescent="0.2">
      <c r="AC98" s="215"/>
      <c r="AD98" s="215"/>
    </row>
    <row r="99" spans="29:30" x14ac:dyDescent="0.2">
      <c r="AC99" s="215"/>
      <c r="AD99" s="215"/>
    </row>
    <row r="100" spans="29:30" x14ac:dyDescent="0.2">
      <c r="AC100" s="215"/>
      <c r="AD100" s="215"/>
    </row>
    <row r="101" spans="29:30" x14ac:dyDescent="0.2">
      <c r="AC101" s="215"/>
      <c r="AD101" s="215"/>
    </row>
    <row r="102" spans="29:30" x14ac:dyDescent="0.2">
      <c r="AC102" s="215"/>
      <c r="AD102" s="215"/>
    </row>
    <row r="103" spans="29:30" x14ac:dyDescent="0.2">
      <c r="AC103" s="215"/>
      <c r="AD103" s="215"/>
    </row>
    <row r="104" spans="29:30" x14ac:dyDescent="0.2">
      <c r="AC104" s="215"/>
      <c r="AD104" s="215"/>
    </row>
    <row r="105" spans="29:30" x14ac:dyDescent="0.2">
      <c r="AC105" s="215"/>
      <c r="AD105" s="215"/>
    </row>
    <row r="106" spans="29:30" x14ac:dyDescent="0.2">
      <c r="AC106" s="215"/>
      <c r="AD106" s="215"/>
    </row>
    <row r="107" spans="29:30" x14ac:dyDescent="0.2">
      <c r="AC107" s="215"/>
      <c r="AD107" s="215"/>
    </row>
    <row r="108" spans="29:30" x14ac:dyDescent="0.2">
      <c r="AC108" s="215"/>
      <c r="AD108" s="215"/>
    </row>
    <row r="109" spans="29:30" x14ac:dyDescent="0.2">
      <c r="AC109" s="215"/>
      <c r="AD109" s="215"/>
    </row>
    <row r="110" spans="29:30" x14ac:dyDescent="0.2">
      <c r="AC110" s="215"/>
      <c r="AD110" s="215"/>
    </row>
    <row r="111" spans="29:30" x14ac:dyDescent="0.2">
      <c r="AC111" s="215"/>
      <c r="AD111" s="215"/>
    </row>
    <row r="112" spans="29:30" x14ac:dyDescent="0.2">
      <c r="AC112" s="215"/>
      <c r="AD112" s="215"/>
    </row>
    <row r="113" spans="29:30" x14ac:dyDescent="0.2">
      <c r="AC113" s="215"/>
      <c r="AD113" s="215"/>
    </row>
    <row r="114" spans="29:30" x14ac:dyDescent="0.2">
      <c r="AC114" s="215"/>
      <c r="AD114" s="215"/>
    </row>
    <row r="115" spans="29:30" x14ac:dyDescent="0.2">
      <c r="AC115" s="215"/>
      <c r="AD115" s="215"/>
    </row>
    <row r="116" spans="29:30" x14ac:dyDescent="0.2">
      <c r="AC116" s="215"/>
      <c r="AD116" s="215"/>
    </row>
    <row r="117" spans="29:30" x14ac:dyDescent="0.2">
      <c r="AC117" s="215"/>
      <c r="AD117" s="215"/>
    </row>
    <row r="118" spans="29:30" x14ac:dyDescent="0.2">
      <c r="AC118" s="215"/>
      <c r="AD118" s="215"/>
    </row>
    <row r="119" spans="29:30" x14ac:dyDescent="0.2">
      <c r="AC119" s="215"/>
      <c r="AD119" s="215"/>
    </row>
    <row r="120" spans="29:30" x14ac:dyDescent="0.2">
      <c r="AC120" s="215"/>
      <c r="AD120" s="215"/>
    </row>
    <row r="121" spans="29:30" x14ac:dyDescent="0.2">
      <c r="AC121" s="215"/>
      <c r="AD121" s="215"/>
    </row>
    <row r="122" spans="29:30" x14ac:dyDescent="0.2">
      <c r="AC122" s="215"/>
      <c r="AD122" s="215"/>
    </row>
    <row r="123" spans="29:30" x14ac:dyDescent="0.2">
      <c r="AC123" s="215"/>
      <c r="AD123" s="215"/>
    </row>
    <row r="124" spans="29:30" x14ac:dyDescent="0.2">
      <c r="AC124" s="215"/>
      <c r="AD124" s="215"/>
    </row>
    <row r="125" spans="29:30" x14ac:dyDescent="0.2">
      <c r="AC125" s="215"/>
      <c r="AD125" s="215"/>
    </row>
    <row r="126" spans="29:30" x14ac:dyDescent="0.2">
      <c r="AC126" s="215"/>
      <c r="AD126" s="215"/>
    </row>
    <row r="127" spans="29:30" x14ac:dyDescent="0.2">
      <c r="AC127" s="215"/>
      <c r="AD127" s="215"/>
    </row>
    <row r="128" spans="29:30" x14ac:dyDescent="0.2">
      <c r="AC128" s="215"/>
      <c r="AD128" s="215"/>
    </row>
    <row r="129" spans="29:30" x14ac:dyDescent="0.2">
      <c r="AC129" s="215"/>
      <c r="AD129" s="215"/>
    </row>
    <row r="130" spans="29:30" x14ac:dyDescent="0.2">
      <c r="AC130" s="215"/>
      <c r="AD130" s="215"/>
    </row>
    <row r="131" spans="29:30" x14ac:dyDescent="0.2">
      <c r="AC131" s="215"/>
      <c r="AD131" s="215"/>
    </row>
    <row r="132" spans="29:30" x14ac:dyDescent="0.2">
      <c r="AC132" s="215"/>
      <c r="AD132" s="215"/>
    </row>
    <row r="133" spans="29:30" x14ac:dyDescent="0.2">
      <c r="AC133" s="215"/>
      <c r="AD133" s="215"/>
    </row>
    <row r="134" spans="29:30" x14ac:dyDescent="0.2">
      <c r="AC134" s="215"/>
      <c r="AD134" s="215"/>
    </row>
    <row r="135" spans="29:30" x14ac:dyDescent="0.2">
      <c r="AC135" s="215"/>
      <c r="AD135" s="215"/>
    </row>
    <row r="136" spans="29:30" x14ac:dyDescent="0.2">
      <c r="AC136" s="215"/>
      <c r="AD136" s="215"/>
    </row>
    <row r="137" spans="29:30" x14ac:dyDescent="0.2">
      <c r="AC137" s="215"/>
      <c r="AD137" s="215"/>
    </row>
    <row r="138" spans="29:30" x14ac:dyDescent="0.2">
      <c r="AC138" s="215"/>
      <c r="AD138" s="215"/>
    </row>
    <row r="139" spans="29:30" x14ac:dyDescent="0.2">
      <c r="AC139" s="215"/>
      <c r="AD139" s="215"/>
    </row>
    <row r="140" spans="29:30" x14ac:dyDescent="0.2">
      <c r="AC140" s="215"/>
      <c r="AD140" s="215"/>
    </row>
    <row r="141" spans="29:30" x14ac:dyDescent="0.2">
      <c r="AC141" s="215"/>
      <c r="AD141" s="215"/>
    </row>
    <row r="142" spans="29:30" x14ac:dyDescent="0.2">
      <c r="AC142" s="215"/>
      <c r="AD142" s="215"/>
    </row>
    <row r="143" spans="29:30" x14ac:dyDescent="0.2">
      <c r="AC143" s="215"/>
      <c r="AD143" s="215"/>
    </row>
    <row r="144" spans="29:30" x14ac:dyDescent="0.2">
      <c r="AC144" s="215"/>
      <c r="AD144" s="215"/>
    </row>
    <row r="145" spans="29:30" x14ac:dyDescent="0.2">
      <c r="AC145" s="215"/>
      <c r="AD145" s="215"/>
    </row>
    <row r="146" spans="29:30" x14ac:dyDescent="0.2">
      <c r="AC146" s="215"/>
      <c r="AD146" s="215"/>
    </row>
    <row r="147" spans="29:30" x14ac:dyDescent="0.2">
      <c r="AC147" s="215"/>
      <c r="AD147" s="215"/>
    </row>
    <row r="148" spans="29:30" x14ac:dyDescent="0.2">
      <c r="AC148" s="215"/>
      <c r="AD148" s="215"/>
    </row>
    <row r="149" spans="29:30" x14ac:dyDescent="0.2">
      <c r="AC149" s="215"/>
      <c r="AD149" s="215"/>
    </row>
    <row r="150" spans="29:30" x14ac:dyDescent="0.2">
      <c r="AC150" s="215"/>
      <c r="AD150" s="215"/>
    </row>
    <row r="151" spans="29:30" x14ac:dyDescent="0.2">
      <c r="AC151" s="215"/>
      <c r="AD151" s="215"/>
    </row>
    <row r="152" spans="29:30" x14ac:dyDescent="0.2">
      <c r="AC152" s="215"/>
      <c r="AD152" s="215"/>
    </row>
    <row r="153" spans="29:30" x14ac:dyDescent="0.2">
      <c r="AC153" s="215"/>
      <c r="AD153" s="215"/>
    </row>
    <row r="154" spans="29:30" x14ac:dyDescent="0.2">
      <c r="AC154" s="215"/>
      <c r="AD154" s="215"/>
    </row>
    <row r="155" spans="29:30" x14ac:dyDescent="0.2">
      <c r="AC155" s="215"/>
      <c r="AD155" s="215"/>
    </row>
    <row r="156" spans="29:30" x14ac:dyDescent="0.2">
      <c r="AC156" s="215"/>
      <c r="AD156" s="215"/>
    </row>
    <row r="157" spans="29:30" x14ac:dyDescent="0.2">
      <c r="AC157" s="215"/>
      <c r="AD157" s="215"/>
    </row>
    <row r="158" spans="29:30" x14ac:dyDescent="0.2">
      <c r="AC158" s="215"/>
      <c r="AD158" s="215"/>
    </row>
    <row r="159" spans="29:30" x14ac:dyDescent="0.2">
      <c r="AC159" s="215"/>
      <c r="AD159" s="215"/>
    </row>
    <row r="160" spans="29:30" x14ac:dyDescent="0.2">
      <c r="AC160" s="215"/>
      <c r="AD160" s="215"/>
    </row>
    <row r="161" spans="29:30" x14ac:dyDescent="0.2">
      <c r="AC161" s="215"/>
      <c r="AD161" s="215"/>
    </row>
    <row r="162" spans="29:30" x14ac:dyDescent="0.2">
      <c r="AC162" s="215"/>
      <c r="AD162" s="215"/>
    </row>
    <row r="163" spans="29:30" x14ac:dyDescent="0.2">
      <c r="AC163" s="215"/>
      <c r="AD163" s="215"/>
    </row>
    <row r="164" spans="29:30" x14ac:dyDescent="0.2">
      <c r="AC164" s="215"/>
      <c r="AD164" s="215"/>
    </row>
    <row r="165" spans="29:30" x14ac:dyDescent="0.2">
      <c r="AC165" s="215"/>
      <c r="AD165" s="215"/>
    </row>
    <row r="166" spans="29:30" x14ac:dyDescent="0.2">
      <c r="AC166" s="215"/>
      <c r="AD166" s="215"/>
    </row>
    <row r="167" spans="29:30" x14ac:dyDescent="0.2">
      <c r="AC167" s="215"/>
      <c r="AD167" s="215"/>
    </row>
    <row r="168" spans="29:30" x14ac:dyDescent="0.2">
      <c r="AC168" s="215"/>
      <c r="AD168" s="215"/>
    </row>
    <row r="169" spans="29:30" x14ac:dyDescent="0.2">
      <c r="AC169" s="215"/>
      <c r="AD169" s="215"/>
    </row>
    <row r="170" spans="29:30" x14ac:dyDescent="0.2">
      <c r="AC170" s="215"/>
      <c r="AD170" s="215"/>
    </row>
    <row r="171" spans="29:30" x14ac:dyDescent="0.2">
      <c r="AC171" s="215"/>
      <c r="AD171" s="215"/>
    </row>
    <row r="172" spans="29:30" x14ac:dyDescent="0.2">
      <c r="AC172" s="215"/>
      <c r="AD172" s="215"/>
    </row>
    <row r="173" spans="29:30" x14ac:dyDescent="0.2">
      <c r="AC173" s="215"/>
      <c r="AD173" s="215"/>
    </row>
    <row r="174" spans="29:30" x14ac:dyDescent="0.2">
      <c r="AC174" s="215"/>
      <c r="AD174" s="215"/>
    </row>
    <row r="175" spans="29:30" x14ac:dyDescent="0.2">
      <c r="AC175" s="215"/>
      <c r="AD175" s="215"/>
    </row>
    <row r="176" spans="29:30" x14ac:dyDescent="0.2">
      <c r="AC176" s="215"/>
      <c r="AD176" s="215"/>
    </row>
    <row r="177" spans="29:30" x14ac:dyDescent="0.2">
      <c r="AC177" s="215"/>
      <c r="AD177" s="215"/>
    </row>
    <row r="178" spans="29:30" x14ac:dyDescent="0.2">
      <c r="AC178" s="215"/>
      <c r="AD178" s="215"/>
    </row>
    <row r="179" spans="29:30" x14ac:dyDescent="0.2">
      <c r="AC179" s="215"/>
      <c r="AD179" s="215"/>
    </row>
    <row r="180" spans="29:30" x14ac:dyDescent="0.2">
      <c r="AC180" s="215"/>
      <c r="AD180" s="215"/>
    </row>
    <row r="181" spans="29:30" x14ac:dyDescent="0.2">
      <c r="AC181" s="215"/>
      <c r="AD181" s="215"/>
    </row>
    <row r="182" spans="29:30" x14ac:dyDescent="0.2">
      <c r="AC182" s="215"/>
      <c r="AD182" s="215"/>
    </row>
    <row r="183" spans="29:30" x14ac:dyDescent="0.2">
      <c r="AC183" s="215"/>
      <c r="AD183" s="215"/>
    </row>
    <row r="184" spans="29:30" x14ac:dyDescent="0.2">
      <c r="AC184" s="215"/>
      <c r="AD184" s="215"/>
    </row>
    <row r="185" spans="29:30" x14ac:dyDescent="0.2">
      <c r="AC185" s="215"/>
      <c r="AD185" s="215"/>
    </row>
    <row r="186" spans="29:30" x14ac:dyDescent="0.2">
      <c r="AC186" s="215"/>
      <c r="AD186" s="215"/>
    </row>
    <row r="187" spans="29:30" x14ac:dyDescent="0.2">
      <c r="AC187" s="215"/>
      <c r="AD187" s="215"/>
    </row>
    <row r="188" spans="29:30" x14ac:dyDescent="0.2">
      <c r="AC188" s="215"/>
      <c r="AD188" s="215"/>
    </row>
    <row r="189" spans="29:30" x14ac:dyDescent="0.2">
      <c r="AC189" s="215"/>
      <c r="AD189" s="215"/>
    </row>
    <row r="190" spans="29:30" x14ac:dyDescent="0.2">
      <c r="AC190" s="215"/>
      <c r="AD190" s="215"/>
    </row>
    <row r="191" spans="29:30" x14ac:dyDescent="0.2">
      <c r="AC191" s="215"/>
      <c r="AD191" s="215"/>
    </row>
    <row r="192" spans="29:30" x14ac:dyDescent="0.2">
      <c r="AC192" s="215"/>
      <c r="AD192" s="215"/>
    </row>
    <row r="193" spans="29:30" x14ac:dyDescent="0.2">
      <c r="AC193" s="215"/>
      <c r="AD193" s="215"/>
    </row>
    <row r="194" spans="29:30" x14ac:dyDescent="0.2">
      <c r="AC194" s="215"/>
      <c r="AD194" s="215"/>
    </row>
    <row r="195" spans="29:30" x14ac:dyDescent="0.2">
      <c r="AC195" s="215"/>
      <c r="AD195" s="215"/>
    </row>
    <row r="196" spans="29:30" x14ac:dyDescent="0.2">
      <c r="AC196" s="215"/>
      <c r="AD196" s="215"/>
    </row>
    <row r="197" spans="29:30" x14ac:dyDescent="0.2">
      <c r="AC197" s="215"/>
      <c r="AD197" s="215"/>
    </row>
    <row r="198" spans="29:30" x14ac:dyDescent="0.2">
      <c r="AC198" s="215"/>
      <c r="AD198" s="215"/>
    </row>
    <row r="199" spans="29:30" x14ac:dyDescent="0.2">
      <c r="AC199" s="215"/>
      <c r="AD199" s="215"/>
    </row>
    <row r="200" spans="29:30" x14ac:dyDescent="0.2">
      <c r="AC200" s="215"/>
      <c r="AD200" s="215"/>
    </row>
    <row r="201" spans="29:30" x14ac:dyDescent="0.2">
      <c r="AC201" s="215"/>
      <c r="AD201" s="215"/>
    </row>
    <row r="202" spans="29:30" x14ac:dyDescent="0.2">
      <c r="AC202" s="215"/>
      <c r="AD202" s="215"/>
    </row>
    <row r="203" spans="29:30" x14ac:dyDescent="0.2">
      <c r="AC203" s="215"/>
      <c r="AD203" s="215"/>
    </row>
    <row r="204" spans="29:30" x14ac:dyDescent="0.2">
      <c r="AC204" s="215"/>
      <c r="AD204" s="215"/>
    </row>
    <row r="205" spans="29:30" x14ac:dyDescent="0.2">
      <c r="AC205" s="215"/>
      <c r="AD205" s="215"/>
    </row>
    <row r="206" spans="29:30" x14ac:dyDescent="0.2">
      <c r="AC206" s="215"/>
      <c r="AD206" s="215"/>
    </row>
    <row r="207" spans="29:30" x14ac:dyDescent="0.2">
      <c r="AC207" s="215"/>
      <c r="AD207" s="215"/>
    </row>
    <row r="208" spans="29:30" x14ac:dyDescent="0.2">
      <c r="AC208" s="215"/>
      <c r="AD208" s="215"/>
    </row>
    <row r="209" spans="29:30" x14ac:dyDescent="0.2">
      <c r="AC209" s="215"/>
      <c r="AD209" s="215"/>
    </row>
    <row r="210" spans="29:30" x14ac:dyDescent="0.2">
      <c r="AC210" s="215"/>
      <c r="AD210" s="215"/>
    </row>
    <row r="211" spans="29:30" x14ac:dyDescent="0.2">
      <c r="AC211" s="215"/>
      <c r="AD211" s="215"/>
    </row>
    <row r="212" spans="29:30" x14ac:dyDescent="0.2">
      <c r="AC212" s="215"/>
      <c r="AD212" s="215"/>
    </row>
    <row r="213" spans="29:30" x14ac:dyDescent="0.2">
      <c r="AC213" s="215"/>
      <c r="AD213" s="215"/>
    </row>
    <row r="214" spans="29:30" x14ac:dyDescent="0.2">
      <c r="AC214" s="215"/>
      <c r="AD214" s="215"/>
    </row>
    <row r="215" spans="29:30" x14ac:dyDescent="0.2">
      <c r="AC215" s="215"/>
      <c r="AD215" s="215"/>
    </row>
    <row r="216" spans="29:30" x14ac:dyDescent="0.2">
      <c r="AC216" s="215"/>
      <c r="AD216" s="215"/>
    </row>
    <row r="217" spans="29:30" x14ac:dyDescent="0.2">
      <c r="AC217" s="215"/>
      <c r="AD217" s="215"/>
    </row>
    <row r="218" spans="29:30" x14ac:dyDescent="0.2">
      <c r="AC218" s="215"/>
      <c r="AD218" s="215"/>
    </row>
    <row r="219" spans="29:30" x14ac:dyDescent="0.2">
      <c r="AC219" s="215"/>
      <c r="AD219" s="215"/>
    </row>
    <row r="220" spans="29:30" x14ac:dyDescent="0.2">
      <c r="AC220" s="215"/>
      <c r="AD220" s="215"/>
    </row>
    <row r="221" spans="29:30" x14ac:dyDescent="0.2">
      <c r="AC221" s="215"/>
      <c r="AD221" s="215"/>
    </row>
    <row r="222" spans="29:30" x14ac:dyDescent="0.2">
      <c r="AC222" s="215"/>
      <c r="AD222" s="215"/>
    </row>
    <row r="223" spans="29:30" x14ac:dyDescent="0.2">
      <c r="AC223" s="215"/>
      <c r="AD223" s="215"/>
    </row>
    <row r="224" spans="29:30" x14ac:dyDescent="0.2">
      <c r="AC224" s="215"/>
      <c r="AD224" s="215"/>
    </row>
    <row r="225" spans="29:30" x14ac:dyDescent="0.2">
      <c r="AC225" s="215"/>
      <c r="AD225" s="215"/>
    </row>
    <row r="226" spans="29:30" x14ac:dyDescent="0.2">
      <c r="AC226" s="215"/>
      <c r="AD226" s="215"/>
    </row>
    <row r="227" spans="29:30" x14ac:dyDescent="0.2">
      <c r="AC227" s="215"/>
      <c r="AD227" s="215"/>
    </row>
    <row r="228" spans="29:30" x14ac:dyDescent="0.2">
      <c r="AC228" s="215"/>
      <c r="AD228" s="215"/>
    </row>
    <row r="229" spans="29:30" x14ac:dyDescent="0.2">
      <c r="AC229" s="215"/>
      <c r="AD229" s="215"/>
    </row>
    <row r="230" spans="29:30" x14ac:dyDescent="0.2">
      <c r="AC230" s="215"/>
      <c r="AD230" s="215"/>
    </row>
    <row r="231" spans="29:30" x14ac:dyDescent="0.2">
      <c r="AC231" s="215"/>
      <c r="AD231" s="215"/>
    </row>
    <row r="232" spans="29:30" x14ac:dyDescent="0.2">
      <c r="AC232" s="215"/>
      <c r="AD232" s="215"/>
    </row>
    <row r="233" spans="29:30" x14ac:dyDescent="0.2">
      <c r="AC233" s="215"/>
      <c r="AD233" s="215"/>
    </row>
    <row r="234" spans="29:30" x14ac:dyDescent="0.2">
      <c r="AC234" s="215"/>
      <c r="AD234" s="215"/>
    </row>
    <row r="235" spans="29:30" x14ac:dyDescent="0.2">
      <c r="AC235" s="215"/>
      <c r="AD235" s="215"/>
    </row>
    <row r="236" spans="29:30" x14ac:dyDescent="0.2">
      <c r="AC236" s="215"/>
      <c r="AD236" s="215"/>
    </row>
    <row r="237" spans="29:30" x14ac:dyDescent="0.2">
      <c r="AC237" s="215"/>
      <c r="AD237" s="215"/>
    </row>
    <row r="238" spans="29:30" x14ac:dyDescent="0.2">
      <c r="AC238" s="215"/>
      <c r="AD238" s="215"/>
    </row>
    <row r="239" spans="29:30" x14ac:dyDescent="0.2">
      <c r="AC239" s="215"/>
      <c r="AD239" s="215"/>
    </row>
    <row r="240" spans="29:30" x14ac:dyDescent="0.2">
      <c r="AC240" s="215"/>
      <c r="AD240" s="215"/>
    </row>
    <row r="241" spans="29:30" x14ac:dyDescent="0.2">
      <c r="AC241" s="215"/>
      <c r="AD241" s="215"/>
    </row>
    <row r="242" spans="29:30" x14ac:dyDescent="0.2">
      <c r="AC242" s="215"/>
      <c r="AD242" s="215"/>
    </row>
    <row r="243" spans="29:30" x14ac:dyDescent="0.2">
      <c r="AC243" s="215"/>
      <c r="AD243" s="215"/>
    </row>
    <row r="244" spans="29:30" x14ac:dyDescent="0.2">
      <c r="AC244" s="215"/>
      <c r="AD244" s="215"/>
    </row>
    <row r="245" spans="29:30" x14ac:dyDescent="0.2">
      <c r="AC245" s="215"/>
      <c r="AD245" s="215"/>
    </row>
    <row r="246" spans="29:30" x14ac:dyDescent="0.2">
      <c r="AC246" s="215"/>
      <c r="AD246" s="215"/>
    </row>
    <row r="247" spans="29:30" x14ac:dyDescent="0.2">
      <c r="AC247" s="215"/>
      <c r="AD247" s="215"/>
    </row>
    <row r="248" spans="29:30" x14ac:dyDescent="0.2">
      <c r="AC248" s="215"/>
      <c r="AD248" s="215"/>
    </row>
    <row r="249" spans="29:30" x14ac:dyDescent="0.2">
      <c r="AC249" s="215"/>
      <c r="AD249" s="215"/>
    </row>
    <row r="250" spans="29:30" x14ac:dyDescent="0.2">
      <c r="AC250" s="215"/>
      <c r="AD250" s="215"/>
    </row>
    <row r="251" spans="29:30" x14ac:dyDescent="0.2">
      <c r="AC251" s="215"/>
      <c r="AD251" s="215"/>
    </row>
    <row r="252" spans="29:30" x14ac:dyDescent="0.2">
      <c r="AC252" s="215"/>
      <c r="AD252" s="215"/>
    </row>
    <row r="253" spans="29:30" x14ac:dyDescent="0.2">
      <c r="AC253" s="215"/>
      <c r="AD253" s="215"/>
    </row>
    <row r="254" spans="29:30" x14ac:dyDescent="0.2">
      <c r="AC254" s="215"/>
      <c r="AD254" s="215"/>
    </row>
    <row r="255" spans="29:30" x14ac:dyDescent="0.2">
      <c r="AC255" s="215"/>
      <c r="AD255" s="215"/>
    </row>
    <row r="256" spans="29:30" x14ac:dyDescent="0.2">
      <c r="AC256" s="215"/>
      <c r="AD256" s="215"/>
    </row>
    <row r="257" spans="29:30" x14ac:dyDescent="0.2">
      <c r="AC257" s="215"/>
      <c r="AD257" s="215"/>
    </row>
    <row r="258" spans="29:30" x14ac:dyDescent="0.2">
      <c r="AC258" s="215"/>
      <c r="AD258" s="215"/>
    </row>
    <row r="259" spans="29:30" x14ac:dyDescent="0.2">
      <c r="AC259" s="215"/>
      <c r="AD259" s="215"/>
    </row>
    <row r="260" spans="29:30" x14ac:dyDescent="0.2">
      <c r="AC260" s="215"/>
      <c r="AD260" s="215"/>
    </row>
    <row r="261" spans="29:30" x14ac:dyDescent="0.2">
      <c r="AC261" s="215"/>
      <c r="AD261" s="215"/>
    </row>
    <row r="262" spans="29:30" x14ac:dyDescent="0.2">
      <c r="AC262" s="215"/>
      <c r="AD262" s="215"/>
    </row>
    <row r="263" spans="29:30" x14ac:dyDescent="0.2">
      <c r="AC263" s="215"/>
      <c r="AD263" s="215"/>
    </row>
    <row r="264" spans="29:30" x14ac:dyDescent="0.2">
      <c r="AC264" s="215"/>
      <c r="AD264" s="215"/>
    </row>
    <row r="265" spans="29:30" x14ac:dyDescent="0.2">
      <c r="AC265" s="215"/>
      <c r="AD265" s="215"/>
    </row>
    <row r="266" spans="29:30" x14ac:dyDescent="0.2">
      <c r="AC266" s="215"/>
      <c r="AD266" s="215"/>
    </row>
    <row r="267" spans="29:30" x14ac:dyDescent="0.2">
      <c r="AC267" s="215"/>
      <c r="AD267" s="215"/>
    </row>
    <row r="268" spans="29:30" x14ac:dyDescent="0.2">
      <c r="AC268" s="215"/>
      <c r="AD268" s="215"/>
    </row>
    <row r="269" spans="29:30" x14ac:dyDescent="0.2">
      <c r="AC269" s="215"/>
      <c r="AD269" s="215"/>
    </row>
    <row r="270" spans="29:30" x14ac:dyDescent="0.2">
      <c r="AC270" s="215"/>
      <c r="AD270" s="215"/>
    </row>
    <row r="271" spans="29:30" x14ac:dyDescent="0.2">
      <c r="AC271" s="215"/>
      <c r="AD271" s="215"/>
    </row>
    <row r="272" spans="29:30" x14ac:dyDescent="0.2">
      <c r="AC272" s="215"/>
      <c r="AD272" s="215"/>
    </row>
    <row r="273" spans="29:30" x14ac:dyDescent="0.2">
      <c r="AC273" s="215"/>
      <c r="AD273" s="215"/>
    </row>
    <row r="274" spans="29:30" x14ac:dyDescent="0.2">
      <c r="AC274" s="215"/>
      <c r="AD274" s="215"/>
    </row>
    <row r="275" spans="29:30" x14ac:dyDescent="0.2">
      <c r="AC275" s="215"/>
      <c r="AD275" s="215"/>
    </row>
    <row r="276" spans="29:30" x14ac:dyDescent="0.2">
      <c r="AC276" s="215"/>
      <c r="AD276" s="215"/>
    </row>
    <row r="277" spans="29:30" x14ac:dyDescent="0.2">
      <c r="AC277" s="215"/>
      <c r="AD277" s="215"/>
    </row>
    <row r="278" spans="29:30" x14ac:dyDescent="0.2">
      <c r="AC278" s="215"/>
      <c r="AD278" s="215"/>
    </row>
    <row r="279" spans="29:30" x14ac:dyDescent="0.2">
      <c r="AC279" s="215"/>
      <c r="AD279" s="215"/>
    </row>
    <row r="280" spans="29:30" x14ac:dyDescent="0.2">
      <c r="AC280" s="215"/>
      <c r="AD280" s="215"/>
    </row>
    <row r="281" spans="29:30" x14ac:dyDescent="0.2">
      <c r="AC281" s="215"/>
      <c r="AD281" s="215"/>
    </row>
    <row r="282" spans="29:30" x14ac:dyDescent="0.2">
      <c r="AC282" s="215"/>
      <c r="AD282" s="215"/>
    </row>
    <row r="283" spans="29:30" x14ac:dyDescent="0.2">
      <c r="AC283" s="215"/>
      <c r="AD283" s="215"/>
    </row>
    <row r="284" spans="29:30" x14ac:dyDescent="0.2">
      <c r="AC284" s="215"/>
      <c r="AD284" s="215"/>
    </row>
    <row r="285" spans="29:30" x14ac:dyDescent="0.2">
      <c r="AC285" s="215"/>
      <c r="AD285" s="215"/>
    </row>
    <row r="286" spans="29:30" x14ac:dyDescent="0.2">
      <c r="AC286" s="215"/>
      <c r="AD286" s="215"/>
    </row>
    <row r="287" spans="29:30" x14ac:dyDescent="0.2">
      <c r="AC287" s="215"/>
      <c r="AD287" s="215"/>
    </row>
    <row r="288" spans="29:30" x14ac:dyDescent="0.2">
      <c r="AC288" s="215"/>
      <c r="AD288" s="215"/>
    </row>
    <row r="289" spans="29:30" x14ac:dyDescent="0.2">
      <c r="AC289" s="215"/>
      <c r="AD289" s="215"/>
    </row>
    <row r="290" spans="29:30" x14ac:dyDescent="0.2">
      <c r="AC290" s="215"/>
      <c r="AD290" s="215"/>
    </row>
    <row r="291" spans="29:30" x14ac:dyDescent="0.2">
      <c r="AC291" s="215"/>
      <c r="AD291" s="215"/>
    </row>
    <row r="292" spans="29:30" x14ac:dyDescent="0.2">
      <c r="AC292" s="215"/>
      <c r="AD292" s="215"/>
    </row>
    <row r="293" spans="29:30" x14ac:dyDescent="0.2">
      <c r="AC293" s="215"/>
      <c r="AD293" s="215"/>
    </row>
    <row r="294" spans="29:30" x14ac:dyDescent="0.2">
      <c r="AC294" s="215"/>
      <c r="AD294" s="215"/>
    </row>
    <row r="295" spans="29:30" x14ac:dyDescent="0.2">
      <c r="AC295" s="215"/>
      <c r="AD295" s="215"/>
    </row>
    <row r="296" spans="29:30" x14ac:dyDescent="0.2">
      <c r="AC296" s="215"/>
      <c r="AD296" s="215"/>
    </row>
    <row r="297" spans="29:30" x14ac:dyDescent="0.2">
      <c r="AC297" s="215"/>
      <c r="AD297" s="215"/>
    </row>
    <row r="298" spans="29:30" x14ac:dyDescent="0.2">
      <c r="AC298" s="215"/>
      <c r="AD298" s="215"/>
    </row>
    <row r="299" spans="29:30" x14ac:dyDescent="0.2">
      <c r="AC299" s="215"/>
      <c r="AD299" s="215"/>
    </row>
    <row r="300" spans="29:30" x14ac:dyDescent="0.2">
      <c r="AC300" s="215"/>
      <c r="AD300" s="215"/>
    </row>
    <row r="301" spans="29:30" x14ac:dyDescent="0.2">
      <c r="AC301" s="215"/>
      <c r="AD301" s="215"/>
    </row>
    <row r="302" spans="29:30" x14ac:dyDescent="0.2">
      <c r="AC302" s="215"/>
      <c r="AD302" s="215"/>
    </row>
    <row r="303" spans="29:30" x14ac:dyDescent="0.2">
      <c r="AC303" s="215"/>
      <c r="AD303" s="215"/>
    </row>
    <row r="304" spans="29:30" x14ac:dyDescent="0.2">
      <c r="AC304" s="215"/>
      <c r="AD304" s="215"/>
    </row>
    <row r="305" spans="29:30" x14ac:dyDescent="0.2">
      <c r="AC305" s="215"/>
      <c r="AD305" s="215"/>
    </row>
    <row r="306" spans="29:30" x14ac:dyDescent="0.2">
      <c r="AC306" s="215"/>
      <c r="AD306" s="215"/>
    </row>
    <row r="307" spans="29:30" x14ac:dyDescent="0.2">
      <c r="AC307" s="215"/>
      <c r="AD307" s="215"/>
    </row>
    <row r="308" spans="29:30" x14ac:dyDescent="0.2">
      <c r="AC308" s="215"/>
      <c r="AD308" s="215"/>
    </row>
    <row r="309" spans="29:30" x14ac:dyDescent="0.2">
      <c r="AC309" s="215"/>
      <c r="AD309" s="215"/>
    </row>
    <row r="310" spans="29:30" x14ac:dyDescent="0.2">
      <c r="AC310" s="215"/>
      <c r="AD310" s="215"/>
    </row>
    <row r="311" spans="29:30" x14ac:dyDescent="0.2">
      <c r="AC311" s="215"/>
      <c r="AD311" s="215"/>
    </row>
    <row r="312" spans="29:30" x14ac:dyDescent="0.2">
      <c r="AC312" s="215"/>
      <c r="AD312" s="215"/>
    </row>
    <row r="313" spans="29:30" x14ac:dyDescent="0.2">
      <c r="AC313" s="215"/>
      <c r="AD313" s="215"/>
    </row>
    <row r="314" spans="29:30" x14ac:dyDescent="0.2">
      <c r="AC314" s="215"/>
      <c r="AD314" s="215"/>
    </row>
    <row r="315" spans="29:30" x14ac:dyDescent="0.2">
      <c r="AC315" s="215"/>
      <c r="AD315" s="215"/>
    </row>
    <row r="316" spans="29:30" x14ac:dyDescent="0.2">
      <c r="AC316" s="215"/>
      <c r="AD316" s="215"/>
    </row>
    <row r="317" spans="29:30" x14ac:dyDescent="0.2">
      <c r="AC317" s="215"/>
      <c r="AD317" s="215"/>
    </row>
    <row r="318" spans="29:30" x14ac:dyDescent="0.2">
      <c r="AC318" s="215"/>
      <c r="AD318" s="215"/>
    </row>
    <row r="319" spans="29:30" x14ac:dyDescent="0.2">
      <c r="AC319" s="215"/>
      <c r="AD319" s="215"/>
    </row>
    <row r="320" spans="29:30" x14ac:dyDescent="0.2">
      <c r="AC320" s="215"/>
      <c r="AD320" s="215"/>
    </row>
    <row r="321" spans="29:30" x14ac:dyDescent="0.2">
      <c r="AC321" s="215"/>
      <c r="AD321" s="215"/>
    </row>
    <row r="322" spans="29:30" x14ac:dyDescent="0.2">
      <c r="AC322" s="215"/>
      <c r="AD322" s="215"/>
    </row>
    <row r="323" spans="29:30" x14ac:dyDescent="0.2">
      <c r="AC323" s="215"/>
      <c r="AD323" s="215"/>
    </row>
    <row r="324" spans="29:30" x14ac:dyDescent="0.2">
      <c r="AC324" s="215"/>
      <c r="AD324" s="215"/>
    </row>
    <row r="325" spans="29:30" x14ac:dyDescent="0.2">
      <c r="AC325" s="215"/>
      <c r="AD325" s="215"/>
    </row>
    <row r="326" spans="29:30" x14ac:dyDescent="0.2">
      <c r="AC326" s="215"/>
      <c r="AD326" s="215"/>
    </row>
    <row r="327" spans="29:30" x14ac:dyDescent="0.2">
      <c r="AC327" s="215"/>
      <c r="AD327" s="215"/>
    </row>
    <row r="328" spans="29:30" x14ac:dyDescent="0.2">
      <c r="AC328" s="215"/>
      <c r="AD328" s="215"/>
    </row>
    <row r="329" spans="29:30" x14ac:dyDescent="0.2">
      <c r="AC329" s="215"/>
      <c r="AD329" s="215"/>
    </row>
    <row r="330" spans="29:30" x14ac:dyDescent="0.2">
      <c r="AC330" s="215"/>
      <c r="AD330" s="215"/>
    </row>
    <row r="331" spans="29:30" x14ac:dyDescent="0.2">
      <c r="AC331" s="215"/>
      <c r="AD331" s="215"/>
    </row>
    <row r="332" spans="29:30" x14ac:dyDescent="0.2">
      <c r="AC332" s="215"/>
      <c r="AD332" s="215"/>
    </row>
    <row r="333" spans="29:30" x14ac:dyDescent="0.2">
      <c r="AC333" s="215"/>
      <c r="AD333" s="215"/>
    </row>
    <row r="334" spans="29:30" x14ac:dyDescent="0.2">
      <c r="AC334" s="215"/>
      <c r="AD334" s="215"/>
    </row>
    <row r="335" spans="29:30" x14ac:dyDescent="0.2">
      <c r="AC335" s="215"/>
      <c r="AD335" s="215"/>
    </row>
    <row r="336" spans="29:30" x14ac:dyDescent="0.2">
      <c r="AC336" s="215"/>
      <c r="AD336" s="215"/>
    </row>
    <row r="337" spans="29:30" x14ac:dyDescent="0.2">
      <c r="AC337" s="215"/>
      <c r="AD337" s="215"/>
    </row>
    <row r="338" spans="29:30" x14ac:dyDescent="0.2">
      <c r="AC338" s="215"/>
      <c r="AD338" s="215"/>
    </row>
    <row r="339" spans="29:30" x14ac:dyDescent="0.2">
      <c r="AC339" s="215"/>
      <c r="AD339" s="215"/>
    </row>
    <row r="340" spans="29:30" x14ac:dyDescent="0.2">
      <c r="AC340" s="215"/>
      <c r="AD340" s="215"/>
    </row>
    <row r="341" spans="29:30" x14ac:dyDescent="0.2">
      <c r="AC341" s="215"/>
      <c r="AD341" s="215"/>
    </row>
    <row r="342" spans="29:30" x14ac:dyDescent="0.2">
      <c r="AC342" s="215"/>
      <c r="AD342" s="215"/>
    </row>
    <row r="343" spans="29:30" x14ac:dyDescent="0.2">
      <c r="AC343" s="215"/>
      <c r="AD343" s="215"/>
    </row>
    <row r="344" spans="29:30" x14ac:dyDescent="0.2">
      <c r="AC344" s="215"/>
      <c r="AD344" s="215"/>
    </row>
    <row r="345" spans="29:30" x14ac:dyDescent="0.2">
      <c r="AC345" s="215"/>
      <c r="AD345" s="215"/>
    </row>
    <row r="346" spans="29:30" x14ac:dyDescent="0.2">
      <c r="AC346" s="215"/>
      <c r="AD346" s="215"/>
    </row>
    <row r="347" spans="29:30" x14ac:dyDescent="0.2">
      <c r="AC347" s="215"/>
      <c r="AD347" s="215"/>
    </row>
    <row r="348" spans="29:30" x14ac:dyDescent="0.2">
      <c r="AC348" s="215"/>
      <c r="AD348" s="215"/>
    </row>
    <row r="349" spans="29:30" x14ac:dyDescent="0.2">
      <c r="AC349" s="215"/>
      <c r="AD349" s="215"/>
    </row>
    <row r="350" spans="29:30" x14ac:dyDescent="0.2">
      <c r="AC350" s="215"/>
      <c r="AD350" s="215"/>
    </row>
    <row r="351" spans="29:30" x14ac:dyDescent="0.2">
      <c r="AC351" s="215"/>
      <c r="AD351" s="215"/>
    </row>
    <row r="352" spans="29:30" x14ac:dyDescent="0.2">
      <c r="AC352" s="215"/>
      <c r="AD352" s="215"/>
    </row>
    <row r="353" spans="29:30" x14ac:dyDescent="0.2">
      <c r="AC353" s="215"/>
      <c r="AD353" s="215"/>
    </row>
    <row r="354" spans="29:30" x14ac:dyDescent="0.2">
      <c r="AC354" s="215"/>
      <c r="AD354" s="215"/>
    </row>
    <row r="355" spans="29:30" x14ac:dyDescent="0.2">
      <c r="AC355" s="215"/>
      <c r="AD355" s="215"/>
    </row>
    <row r="356" spans="29:30" x14ac:dyDescent="0.2">
      <c r="AC356" s="215"/>
      <c r="AD356" s="215"/>
    </row>
    <row r="357" spans="29:30" x14ac:dyDescent="0.2">
      <c r="AC357" s="215"/>
      <c r="AD357" s="215"/>
    </row>
    <row r="358" spans="29:30" x14ac:dyDescent="0.2">
      <c r="AC358" s="215"/>
      <c r="AD358" s="215"/>
    </row>
    <row r="359" spans="29:30" x14ac:dyDescent="0.2">
      <c r="AC359" s="215"/>
      <c r="AD359" s="215"/>
    </row>
    <row r="360" spans="29:30" x14ac:dyDescent="0.2">
      <c r="AC360" s="215"/>
      <c r="AD360" s="215"/>
    </row>
    <row r="361" spans="29:30" x14ac:dyDescent="0.2">
      <c r="AC361" s="215"/>
      <c r="AD361" s="215"/>
    </row>
    <row r="362" spans="29:30" x14ac:dyDescent="0.2">
      <c r="AC362" s="215"/>
      <c r="AD362" s="215"/>
    </row>
    <row r="363" spans="29:30" x14ac:dyDescent="0.2">
      <c r="AC363" s="215"/>
      <c r="AD363" s="215"/>
    </row>
    <row r="364" spans="29:30" x14ac:dyDescent="0.2">
      <c r="AC364" s="215"/>
      <c r="AD364" s="215"/>
    </row>
    <row r="365" spans="29:30" x14ac:dyDescent="0.2">
      <c r="AC365" s="215"/>
      <c r="AD365" s="215"/>
    </row>
    <row r="366" spans="29:30" x14ac:dyDescent="0.2">
      <c r="AC366" s="215"/>
      <c r="AD366" s="215"/>
    </row>
    <row r="367" spans="29:30" x14ac:dyDescent="0.2">
      <c r="AC367" s="215"/>
      <c r="AD367" s="215"/>
    </row>
    <row r="368" spans="29:30" x14ac:dyDescent="0.2">
      <c r="AC368" s="215"/>
      <c r="AD368" s="215"/>
    </row>
    <row r="369" spans="29:30" x14ac:dyDescent="0.2">
      <c r="AC369" s="215"/>
      <c r="AD369" s="215"/>
    </row>
    <row r="370" spans="29:30" x14ac:dyDescent="0.2">
      <c r="AC370" s="215"/>
      <c r="AD370" s="215"/>
    </row>
    <row r="371" spans="29:30" x14ac:dyDescent="0.2">
      <c r="AC371" s="215"/>
      <c r="AD371" s="215"/>
    </row>
    <row r="372" spans="29:30" x14ac:dyDescent="0.2">
      <c r="AC372" s="215"/>
      <c r="AD372" s="215"/>
    </row>
    <row r="373" spans="29:30" x14ac:dyDescent="0.2">
      <c r="AC373" s="215"/>
      <c r="AD373" s="215"/>
    </row>
    <row r="374" spans="29:30" x14ac:dyDescent="0.2">
      <c r="AC374" s="215"/>
      <c r="AD374" s="215"/>
    </row>
    <row r="375" spans="29:30" x14ac:dyDescent="0.2">
      <c r="AC375" s="215"/>
      <c r="AD375" s="215"/>
    </row>
    <row r="376" spans="29:30" x14ac:dyDescent="0.2">
      <c r="AC376" s="215"/>
      <c r="AD376" s="215"/>
    </row>
    <row r="377" spans="29:30" x14ac:dyDescent="0.2">
      <c r="AC377" s="215"/>
      <c r="AD377" s="215"/>
    </row>
    <row r="378" spans="29:30" x14ac:dyDescent="0.2">
      <c r="AC378" s="215"/>
      <c r="AD378" s="215"/>
    </row>
    <row r="379" spans="29:30" x14ac:dyDescent="0.2">
      <c r="AC379" s="215"/>
      <c r="AD379" s="215"/>
    </row>
    <row r="380" spans="29:30" x14ac:dyDescent="0.2">
      <c r="AC380" s="215"/>
      <c r="AD380" s="215"/>
    </row>
    <row r="381" spans="29:30" x14ac:dyDescent="0.2">
      <c r="AC381" s="215"/>
      <c r="AD381" s="215"/>
    </row>
    <row r="382" spans="29:30" x14ac:dyDescent="0.2">
      <c r="AC382" s="215"/>
      <c r="AD382" s="215"/>
    </row>
    <row r="383" spans="29:30" x14ac:dyDescent="0.2">
      <c r="AC383" s="215"/>
      <c r="AD383" s="215"/>
    </row>
    <row r="384" spans="29:30" x14ac:dyDescent="0.2">
      <c r="AC384" s="215"/>
      <c r="AD384" s="215"/>
    </row>
    <row r="385" spans="29:30" x14ac:dyDescent="0.2">
      <c r="AC385" s="215"/>
      <c r="AD385" s="215"/>
    </row>
    <row r="386" spans="29:30" x14ac:dyDescent="0.2">
      <c r="AC386" s="215"/>
      <c r="AD386" s="215"/>
    </row>
    <row r="387" spans="29:30" x14ac:dyDescent="0.2">
      <c r="AC387" s="215"/>
      <c r="AD387" s="215"/>
    </row>
    <row r="388" spans="29:30" x14ac:dyDescent="0.2">
      <c r="AC388" s="215"/>
      <c r="AD388" s="215"/>
    </row>
    <row r="389" spans="29:30" x14ac:dyDescent="0.2">
      <c r="AC389" s="215"/>
      <c r="AD389" s="215"/>
    </row>
    <row r="390" spans="29:30" x14ac:dyDescent="0.2">
      <c r="AC390" s="215"/>
      <c r="AD390" s="215"/>
    </row>
    <row r="391" spans="29:30" x14ac:dyDescent="0.2">
      <c r="AC391" s="215"/>
      <c r="AD391" s="215"/>
    </row>
    <row r="392" spans="29:30" x14ac:dyDescent="0.2">
      <c r="AC392" s="215"/>
      <c r="AD392" s="215"/>
    </row>
    <row r="393" spans="29:30" x14ac:dyDescent="0.2">
      <c r="AC393" s="215"/>
      <c r="AD393" s="215"/>
    </row>
    <row r="394" spans="29:30" x14ac:dyDescent="0.2">
      <c r="AC394" s="215"/>
      <c r="AD394" s="215"/>
    </row>
    <row r="395" spans="29:30" x14ac:dyDescent="0.2">
      <c r="AC395" s="215"/>
      <c r="AD395" s="215"/>
    </row>
    <row r="396" spans="29:30" x14ac:dyDescent="0.2">
      <c r="AC396" s="215"/>
      <c r="AD396" s="215"/>
    </row>
    <row r="397" spans="29:30" x14ac:dyDescent="0.2">
      <c r="AC397" s="215"/>
      <c r="AD397" s="215"/>
    </row>
    <row r="398" spans="29:30" x14ac:dyDescent="0.2">
      <c r="AC398" s="215"/>
      <c r="AD398" s="215"/>
    </row>
    <row r="399" spans="29:30" x14ac:dyDescent="0.2">
      <c r="AC399" s="215"/>
      <c r="AD399" s="215"/>
    </row>
    <row r="400" spans="29:30" x14ac:dyDescent="0.2">
      <c r="AC400" s="215"/>
      <c r="AD400" s="215"/>
    </row>
    <row r="401" spans="29:30" x14ac:dyDescent="0.2">
      <c r="AC401" s="215"/>
      <c r="AD401" s="215"/>
    </row>
    <row r="402" spans="29:30" x14ac:dyDescent="0.2">
      <c r="AC402" s="215"/>
      <c r="AD402" s="215"/>
    </row>
    <row r="403" spans="29:30" x14ac:dyDescent="0.2">
      <c r="AC403" s="215"/>
      <c r="AD403" s="215"/>
    </row>
    <row r="404" spans="29:30" x14ac:dyDescent="0.2">
      <c r="AC404" s="215"/>
      <c r="AD404" s="215"/>
    </row>
    <row r="405" spans="29:30" x14ac:dyDescent="0.2">
      <c r="AC405" s="215"/>
      <c r="AD405" s="215"/>
    </row>
    <row r="406" spans="29:30" x14ac:dyDescent="0.2">
      <c r="AC406" s="215"/>
      <c r="AD406" s="215"/>
    </row>
    <row r="407" spans="29:30" x14ac:dyDescent="0.2">
      <c r="AC407" s="215"/>
      <c r="AD407" s="215"/>
    </row>
    <row r="408" spans="29:30" x14ac:dyDescent="0.2">
      <c r="AC408" s="215"/>
      <c r="AD408" s="215"/>
    </row>
    <row r="409" spans="29:30" x14ac:dyDescent="0.2">
      <c r="AC409" s="215"/>
      <c r="AD409" s="215"/>
    </row>
    <row r="410" spans="29:30" x14ac:dyDescent="0.2">
      <c r="AC410" s="215"/>
      <c r="AD410" s="215"/>
    </row>
    <row r="411" spans="29:30" x14ac:dyDescent="0.2">
      <c r="AC411" s="215"/>
      <c r="AD411" s="215"/>
    </row>
    <row r="412" spans="29:30" x14ac:dyDescent="0.2">
      <c r="AC412" s="215"/>
      <c r="AD412" s="215"/>
    </row>
    <row r="413" spans="29:30" x14ac:dyDescent="0.2">
      <c r="AC413" s="215"/>
      <c r="AD413" s="215"/>
    </row>
    <row r="414" spans="29:30" x14ac:dyDescent="0.2">
      <c r="AC414" s="215"/>
      <c r="AD414" s="215"/>
    </row>
    <row r="415" spans="29:30" x14ac:dyDescent="0.2">
      <c r="AC415" s="215"/>
      <c r="AD415" s="215"/>
    </row>
    <row r="416" spans="29:30" x14ac:dyDescent="0.2">
      <c r="AC416" s="215"/>
      <c r="AD416" s="215"/>
    </row>
    <row r="417" spans="29:30" x14ac:dyDescent="0.2">
      <c r="AC417" s="215"/>
      <c r="AD417" s="215"/>
    </row>
    <row r="418" spans="29:30" x14ac:dyDescent="0.2">
      <c r="AC418" s="215"/>
      <c r="AD418" s="215"/>
    </row>
    <row r="419" spans="29:30" x14ac:dyDescent="0.2">
      <c r="AC419" s="215"/>
      <c r="AD419" s="215"/>
    </row>
    <row r="420" spans="29:30" x14ac:dyDescent="0.2">
      <c r="AC420" s="215"/>
      <c r="AD420" s="215"/>
    </row>
    <row r="421" spans="29:30" x14ac:dyDescent="0.2">
      <c r="AC421" s="215"/>
      <c r="AD421" s="215"/>
    </row>
    <row r="422" spans="29:30" x14ac:dyDescent="0.2">
      <c r="AC422" s="215"/>
      <c r="AD422" s="215"/>
    </row>
    <row r="423" spans="29:30" x14ac:dyDescent="0.2">
      <c r="AC423" s="215"/>
      <c r="AD423" s="215"/>
    </row>
    <row r="424" spans="29:30" x14ac:dyDescent="0.2">
      <c r="AC424" s="215"/>
      <c r="AD424" s="215"/>
    </row>
    <row r="425" spans="29:30" x14ac:dyDescent="0.2">
      <c r="AC425" s="215"/>
      <c r="AD425" s="215"/>
    </row>
    <row r="426" spans="29:30" x14ac:dyDescent="0.2">
      <c r="AC426" s="215"/>
      <c r="AD426" s="215"/>
    </row>
    <row r="427" spans="29:30" x14ac:dyDescent="0.2">
      <c r="AC427" s="215"/>
      <c r="AD427" s="215"/>
    </row>
    <row r="428" spans="29:30" x14ac:dyDescent="0.2">
      <c r="AC428" s="215"/>
      <c r="AD428" s="215"/>
    </row>
    <row r="429" spans="29:30" x14ac:dyDescent="0.2">
      <c r="AC429" s="215"/>
      <c r="AD429" s="215"/>
    </row>
    <row r="430" spans="29:30" x14ac:dyDescent="0.2">
      <c r="AC430" s="215"/>
      <c r="AD430" s="215"/>
    </row>
    <row r="431" spans="29:30" x14ac:dyDescent="0.2">
      <c r="AC431" s="215"/>
      <c r="AD431" s="215"/>
    </row>
    <row r="432" spans="29:30" x14ac:dyDescent="0.2">
      <c r="AC432" s="215"/>
      <c r="AD432" s="215"/>
    </row>
    <row r="433" spans="29:30" x14ac:dyDescent="0.2">
      <c r="AC433" s="215"/>
      <c r="AD433" s="215"/>
    </row>
    <row r="434" spans="29:30" x14ac:dyDescent="0.2">
      <c r="AC434" s="215"/>
      <c r="AD434" s="215"/>
    </row>
    <row r="435" spans="29:30" x14ac:dyDescent="0.2">
      <c r="AC435" s="215"/>
      <c r="AD435" s="215"/>
    </row>
    <row r="436" spans="29:30" x14ac:dyDescent="0.2">
      <c r="AC436" s="215"/>
      <c r="AD436" s="215"/>
    </row>
    <row r="437" spans="29:30" x14ac:dyDescent="0.2">
      <c r="AC437" s="215"/>
      <c r="AD437" s="215"/>
    </row>
    <row r="438" spans="29:30" x14ac:dyDescent="0.2">
      <c r="AC438" s="215"/>
      <c r="AD438" s="215"/>
    </row>
    <row r="439" spans="29:30" x14ac:dyDescent="0.2">
      <c r="AC439" s="215"/>
      <c r="AD439" s="215"/>
    </row>
    <row r="440" spans="29:30" x14ac:dyDescent="0.2">
      <c r="AC440" s="215"/>
      <c r="AD440" s="215"/>
    </row>
    <row r="441" spans="29:30" x14ac:dyDescent="0.2">
      <c r="AC441" s="215"/>
      <c r="AD441" s="215"/>
    </row>
    <row r="442" spans="29:30" x14ac:dyDescent="0.2">
      <c r="AC442" s="215"/>
      <c r="AD442" s="215"/>
    </row>
    <row r="443" spans="29:30" x14ac:dyDescent="0.2">
      <c r="AC443" s="215"/>
      <c r="AD443" s="215"/>
    </row>
    <row r="444" spans="29:30" x14ac:dyDescent="0.2">
      <c r="AC444" s="215"/>
      <c r="AD444" s="215"/>
    </row>
    <row r="445" spans="29:30" x14ac:dyDescent="0.2">
      <c r="AC445" s="215"/>
      <c r="AD445" s="215"/>
    </row>
    <row r="446" spans="29:30" x14ac:dyDescent="0.2">
      <c r="AC446" s="215"/>
      <c r="AD446" s="215"/>
    </row>
    <row r="447" spans="29:30" x14ac:dyDescent="0.2">
      <c r="AC447" s="215"/>
      <c r="AD447" s="215"/>
    </row>
    <row r="448" spans="29:30" x14ac:dyDescent="0.2">
      <c r="AC448" s="215"/>
      <c r="AD448" s="215"/>
    </row>
    <row r="449" spans="29:30" x14ac:dyDescent="0.2">
      <c r="AC449" s="215"/>
      <c r="AD449" s="215"/>
    </row>
    <row r="450" spans="29:30" x14ac:dyDescent="0.2">
      <c r="AC450" s="215"/>
      <c r="AD450" s="215"/>
    </row>
    <row r="451" spans="29:30" x14ac:dyDescent="0.2">
      <c r="AC451" s="215"/>
      <c r="AD451" s="215"/>
    </row>
    <row r="452" spans="29:30" x14ac:dyDescent="0.2">
      <c r="AC452" s="215"/>
      <c r="AD452" s="215"/>
    </row>
    <row r="453" spans="29:30" x14ac:dyDescent="0.2">
      <c r="AC453" s="215"/>
      <c r="AD453" s="215"/>
    </row>
    <row r="454" spans="29:30" x14ac:dyDescent="0.2">
      <c r="AC454" s="215"/>
      <c r="AD454" s="215"/>
    </row>
    <row r="455" spans="29:30" x14ac:dyDescent="0.2">
      <c r="AC455" s="215"/>
      <c r="AD455" s="215"/>
    </row>
    <row r="456" spans="29:30" x14ac:dyDescent="0.2">
      <c r="AC456" s="215"/>
      <c r="AD456" s="215"/>
    </row>
    <row r="457" spans="29:30" x14ac:dyDescent="0.2">
      <c r="AC457" s="215"/>
      <c r="AD457" s="215"/>
    </row>
    <row r="458" spans="29:30" x14ac:dyDescent="0.2">
      <c r="AC458" s="215"/>
      <c r="AD458" s="215"/>
    </row>
    <row r="459" spans="29:30" x14ac:dyDescent="0.2">
      <c r="AC459" s="215"/>
      <c r="AD459" s="215"/>
    </row>
    <row r="460" spans="29:30" x14ac:dyDescent="0.2">
      <c r="AC460" s="215"/>
      <c r="AD460" s="215"/>
    </row>
    <row r="461" spans="29:30" x14ac:dyDescent="0.2">
      <c r="AC461" s="215"/>
      <c r="AD461" s="215"/>
    </row>
    <row r="462" spans="29:30" x14ac:dyDescent="0.2">
      <c r="AC462" s="215"/>
      <c r="AD462" s="215"/>
    </row>
    <row r="463" spans="29:30" x14ac:dyDescent="0.2">
      <c r="AC463" s="215"/>
      <c r="AD463" s="215"/>
    </row>
    <row r="464" spans="29:30" x14ac:dyDescent="0.2">
      <c r="AC464" s="215"/>
      <c r="AD464" s="215"/>
    </row>
    <row r="465" spans="29:30" x14ac:dyDescent="0.2">
      <c r="AC465" s="215"/>
      <c r="AD465" s="215"/>
    </row>
    <row r="466" spans="29:30" x14ac:dyDescent="0.2">
      <c r="AC466" s="215"/>
      <c r="AD466" s="215"/>
    </row>
    <row r="467" spans="29:30" x14ac:dyDescent="0.2">
      <c r="AC467" s="215"/>
      <c r="AD467" s="215"/>
    </row>
    <row r="468" spans="29:30" x14ac:dyDescent="0.2">
      <c r="AC468" s="215"/>
      <c r="AD468" s="215"/>
    </row>
    <row r="469" spans="29:30" x14ac:dyDescent="0.2">
      <c r="AC469" s="215"/>
      <c r="AD469" s="215"/>
    </row>
    <row r="470" spans="29:30" x14ac:dyDescent="0.2">
      <c r="AC470" s="215"/>
      <c r="AD470" s="215"/>
    </row>
    <row r="471" spans="29:30" x14ac:dyDescent="0.2">
      <c r="AC471" s="215"/>
      <c r="AD471" s="215"/>
    </row>
    <row r="472" spans="29:30" x14ac:dyDescent="0.2">
      <c r="AC472" s="215"/>
      <c r="AD472" s="215"/>
    </row>
    <row r="473" spans="29:30" x14ac:dyDescent="0.2">
      <c r="AC473" s="215"/>
      <c r="AD473" s="215"/>
    </row>
    <row r="474" spans="29:30" x14ac:dyDescent="0.2">
      <c r="AC474" s="215"/>
      <c r="AD474" s="215"/>
    </row>
    <row r="475" spans="29:30" x14ac:dyDescent="0.2">
      <c r="AC475" s="215"/>
      <c r="AD475" s="215"/>
    </row>
    <row r="476" spans="29:30" x14ac:dyDescent="0.2">
      <c r="AC476" s="215"/>
      <c r="AD476" s="215"/>
    </row>
    <row r="477" spans="29:30" x14ac:dyDescent="0.2">
      <c r="AC477" s="215"/>
      <c r="AD477" s="215"/>
    </row>
    <row r="478" spans="29:30" x14ac:dyDescent="0.2">
      <c r="AC478" s="215"/>
      <c r="AD478" s="215"/>
    </row>
    <row r="479" spans="29:30" x14ac:dyDescent="0.2">
      <c r="AC479" s="215"/>
      <c r="AD479" s="215"/>
    </row>
    <row r="480" spans="29:30" x14ac:dyDescent="0.2">
      <c r="AC480" s="215"/>
      <c r="AD480" s="215"/>
    </row>
    <row r="481" spans="29:30" x14ac:dyDescent="0.2">
      <c r="AC481" s="215"/>
      <c r="AD481" s="215"/>
    </row>
    <row r="482" spans="29:30" x14ac:dyDescent="0.2">
      <c r="AC482" s="215"/>
      <c r="AD482" s="215"/>
    </row>
    <row r="483" spans="29:30" x14ac:dyDescent="0.2">
      <c r="AC483" s="215"/>
      <c r="AD483" s="215"/>
    </row>
    <row r="484" spans="29:30" x14ac:dyDescent="0.2">
      <c r="AC484" s="215"/>
      <c r="AD484" s="215"/>
    </row>
    <row r="485" spans="29:30" x14ac:dyDescent="0.2">
      <c r="AC485" s="215"/>
      <c r="AD485" s="215"/>
    </row>
    <row r="486" spans="29:30" x14ac:dyDescent="0.2">
      <c r="AC486" s="215"/>
      <c r="AD486" s="215"/>
    </row>
    <row r="487" spans="29:30" x14ac:dyDescent="0.2">
      <c r="AC487" s="215"/>
      <c r="AD487" s="215"/>
    </row>
    <row r="488" spans="29:30" x14ac:dyDescent="0.2">
      <c r="AC488" s="215"/>
      <c r="AD488" s="215"/>
    </row>
    <row r="489" spans="29:30" x14ac:dyDescent="0.2">
      <c r="AC489" s="215"/>
      <c r="AD489" s="215"/>
    </row>
    <row r="490" spans="29:30" x14ac:dyDescent="0.2">
      <c r="AC490" s="215"/>
      <c r="AD490" s="215"/>
    </row>
    <row r="491" spans="29:30" x14ac:dyDescent="0.2">
      <c r="AC491" s="215"/>
      <c r="AD491" s="215"/>
    </row>
    <row r="492" spans="29:30" x14ac:dyDescent="0.2">
      <c r="AC492" s="215"/>
      <c r="AD492" s="215"/>
    </row>
    <row r="493" spans="29:30" x14ac:dyDescent="0.2">
      <c r="AC493" s="215"/>
      <c r="AD493" s="215"/>
    </row>
    <row r="494" spans="29:30" x14ac:dyDescent="0.2">
      <c r="AC494" s="215"/>
      <c r="AD494" s="215"/>
    </row>
    <row r="495" spans="29:30" x14ac:dyDescent="0.2">
      <c r="AC495" s="215"/>
      <c r="AD495" s="215"/>
    </row>
    <row r="496" spans="29:30" x14ac:dyDescent="0.2">
      <c r="AC496" s="215"/>
      <c r="AD496" s="215"/>
    </row>
    <row r="497" spans="29:30" x14ac:dyDescent="0.2">
      <c r="AC497" s="215"/>
      <c r="AD497" s="215"/>
    </row>
    <row r="498" spans="29:30" x14ac:dyDescent="0.2">
      <c r="AC498" s="215"/>
      <c r="AD498" s="215"/>
    </row>
    <row r="499" spans="29:30" x14ac:dyDescent="0.2">
      <c r="AC499" s="215"/>
      <c r="AD499" s="215"/>
    </row>
    <row r="500" spans="29:30" x14ac:dyDescent="0.2">
      <c r="AC500" s="215"/>
      <c r="AD500" s="215"/>
    </row>
    <row r="501" spans="29:30" x14ac:dyDescent="0.2">
      <c r="AC501" s="215"/>
      <c r="AD501" s="215"/>
    </row>
    <row r="502" spans="29:30" x14ac:dyDescent="0.2">
      <c r="AC502" s="215"/>
      <c r="AD502" s="215"/>
    </row>
    <row r="503" spans="29:30" x14ac:dyDescent="0.2">
      <c r="AC503" s="215"/>
      <c r="AD503" s="215"/>
    </row>
    <row r="504" spans="29:30" x14ac:dyDescent="0.2">
      <c r="AC504" s="215"/>
      <c r="AD504" s="215"/>
    </row>
    <row r="505" spans="29:30" x14ac:dyDescent="0.2">
      <c r="AC505" s="215"/>
      <c r="AD505" s="215"/>
    </row>
    <row r="506" spans="29:30" x14ac:dyDescent="0.2">
      <c r="AC506" s="215"/>
      <c r="AD506" s="215"/>
    </row>
    <row r="507" spans="29:30" x14ac:dyDescent="0.2">
      <c r="AC507" s="215"/>
      <c r="AD507" s="215"/>
    </row>
    <row r="508" spans="29:30" x14ac:dyDescent="0.2">
      <c r="AC508" s="215"/>
      <c r="AD508" s="215"/>
    </row>
    <row r="509" spans="29:30" x14ac:dyDescent="0.2">
      <c r="AC509" s="215"/>
      <c r="AD509" s="215"/>
    </row>
    <row r="510" spans="29:30" x14ac:dyDescent="0.2">
      <c r="AC510" s="215"/>
      <c r="AD510" s="215"/>
    </row>
    <row r="511" spans="29:30" x14ac:dyDescent="0.2">
      <c r="AC511" s="215"/>
      <c r="AD511" s="215"/>
    </row>
    <row r="512" spans="29:30" x14ac:dyDescent="0.2">
      <c r="AC512" s="215"/>
      <c r="AD512" s="215"/>
    </row>
    <row r="513" spans="29:30" x14ac:dyDescent="0.2">
      <c r="AC513" s="215"/>
      <c r="AD513" s="215"/>
    </row>
    <row r="514" spans="29:30" x14ac:dyDescent="0.2">
      <c r="AC514" s="215"/>
      <c r="AD514" s="215"/>
    </row>
    <row r="515" spans="29:30" x14ac:dyDescent="0.2">
      <c r="AC515" s="215"/>
      <c r="AD515" s="215"/>
    </row>
    <row r="516" spans="29:30" x14ac:dyDescent="0.2">
      <c r="AC516" s="215"/>
      <c r="AD516" s="215"/>
    </row>
    <row r="517" spans="29:30" x14ac:dyDescent="0.2">
      <c r="AC517" s="215"/>
      <c r="AD517" s="215"/>
    </row>
    <row r="518" spans="29:30" x14ac:dyDescent="0.2">
      <c r="AC518" s="215"/>
      <c r="AD518" s="215"/>
    </row>
    <row r="519" spans="29:30" x14ac:dyDescent="0.2">
      <c r="AC519" s="215"/>
      <c r="AD519" s="215"/>
    </row>
    <row r="520" spans="29:30" x14ac:dyDescent="0.2">
      <c r="AC520" s="215"/>
      <c r="AD520" s="215"/>
    </row>
    <row r="521" spans="29:30" x14ac:dyDescent="0.2">
      <c r="AC521" s="215"/>
      <c r="AD521" s="215"/>
    </row>
    <row r="522" spans="29:30" x14ac:dyDescent="0.2">
      <c r="AC522" s="215"/>
      <c r="AD522" s="215"/>
    </row>
    <row r="523" spans="29:30" x14ac:dyDescent="0.2">
      <c r="AC523" s="215"/>
      <c r="AD523" s="215"/>
    </row>
    <row r="524" spans="29:30" x14ac:dyDescent="0.2">
      <c r="AC524" s="215"/>
      <c r="AD524" s="215"/>
    </row>
    <row r="525" spans="29:30" x14ac:dyDescent="0.2">
      <c r="AC525" s="215"/>
      <c r="AD525" s="215"/>
    </row>
    <row r="526" spans="29:30" x14ac:dyDescent="0.2">
      <c r="AC526" s="215"/>
      <c r="AD526" s="215"/>
    </row>
    <row r="527" spans="29:30" x14ac:dyDescent="0.2">
      <c r="AC527" s="215"/>
      <c r="AD527" s="215"/>
    </row>
    <row r="528" spans="29:30" x14ac:dyDescent="0.2">
      <c r="AC528" s="215"/>
      <c r="AD528" s="215"/>
    </row>
    <row r="529" spans="29:30" x14ac:dyDescent="0.2">
      <c r="AC529" s="215"/>
      <c r="AD529" s="215"/>
    </row>
    <row r="530" spans="29:30" x14ac:dyDescent="0.2">
      <c r="AC530" s="215"/>
      <c r="AD530" s="215"/>
    </row>
    <row r="531" spans="29:30" x14ac:dyDescent="0.2">
      <c r="AC531" s="215"/>
      <c r="AD531" s="215"/>
    </row>
    <row r="532" spans="29:30" x14ac:dyDescent="0.2">
      <c r="AC532" s="215"/>
      <c r="AD532" s="215"/>
    </row>
    <row r="533" spans="29:30" x14ac:dyDescent="0.2">
      <c r="AC533" s="215"/>
      <c r="AD533" s="215"/>
    </row>
    <row r="534" spans="29:30" x14ac:dyDescent="0.2">
      <c r="AC534" s="215"/>
      <c r="AD534" s="215"/>
    </row>
    <row r="535" spans="29:30" x14ac:dyDescent="0.2">
      <c r="AC535" s="215"/>
      <c r="AD535" s="215"/>
    </row>
    <row r="536" spans="29:30" x14ac:dyDescent="0.2">
      <c r="AC536" s="215"/>
      <c r="AD536" s="215"/>
    </row>
    <row r="537" spans="29:30" x14ac:dyDescent="0.2">
      <c r="AC537" s="215"/>
      <c r="AD537" s="215"/>
    </row>
    <row r="538" spans="29:30" x14ac:dyDescent="0.2">
      <c r="AC538" s="215"/>
      <c r="AD538" s="215"/>
    </row>
    <row r="539" spans="29:30" x14ac:dyDescent="0.2">
      <c r="AC539" s="215"/>
      <c r="AD539" s="215"/>
    </row>
    <row r="540" spans="29:30" x14ac:dyDescent="0.2">
      <c r="AC540" s="215"/>
      <c r="AD540" s="215"/>
    </row>
    <row r="541" spans="29:30" x14ac:dyDescent="0.2">
      <c r="AC541" s="215"/>
      <c r="AD541" s="215"/>
    </row>
    <row r="542" spans="29:30" x14ac:dyDescent="0.2">
      <c r="AC542" s="215"/>
      <c r="AD542" s="215"/>
    </row>
    <row r="543" spans="29:30" x14ac:dyDescent="0.2">
      <c r="AC543" s="215"/>
      <c r="AD543" s="215"/>
    </row>
    <row r="544" spans="29:30" x14ac:dyDescent="0.2">
      <c r="AC544" s="215"/>
      <c r="AD544" s="215"/>
    </row>
    <row r="545" spans="29:30" x14ac:dyDescent="0.2">
      <c r="AC545" s="215"/>
      <c r="AD545" s="215"/>
    </row>
    <row r="546" spans="29:30" x14ac:dyDescent="0.2">
      <c r="AC546" s="215"/>
      <c r="AD546" s="215"/>
    </row>
    <row r="547" spans="29:30" x14ac:dyDescent="0.2">
      <c r="AC547" s="215"/>
      <c r="AD547" s="215"/>
    </row>
    <row r="548" spans="29:30" x14ac:dyDescent="0.2">
      <c r="AC548" s="215"/>
      <c r="AD548" s="215"/>
    </row>
    <row r="549" spans="29:30" x14ac:dyDescent="0.2">
      <c r="AC549" s="215"/>
      <c r="AD549" s="215"/>
    </row>
    <row r="550" spans="29:30" x14ac:dyDescent="0.2">
      <c r="AC550" s="215"/>
      <c r="AD550" s="215"/>
    </row>
    <row r="551" spans="29:30" x14ac:dyDescent="0.2">
      <c r="AC551" s="215"/>
      <c r="AD551" s="215"/>
    </row>
    <row r="552" spans="29:30" x14ac:dyDescent="0.2">
      <c r="AC552" s="215"/>
      <c r="AD552" s="215"/>
    </row>
    <row r="553" spans="29:30" x14ac:dyDescent="0.2">
      <c r="AC553" s="215"/>
      <c r="AD553" s="215"/>
    </row>
    <row r="554" spans="29:30" x14ac:dyDescent="0.2">
      <c r="AC554" s="215"/>
      <c r="AD554" s="215"/>
    </row>
    <row r="555" spans="29:30" x14ac:dyDescent="0.2">
      <c r="AC555" s="215"/>
      <c r="AD555" s="215"/>
    </row>
    <row r="556" spans="29:30" x14ac:dyDescent="0.2">
      <c r="AC556" s="215"/>
      <c r="AD556" s="215"/>
    </row>
    <row r="557" spans="29:30" x14ac:dyDescent="0.2">
      <c r="AC557" s="215"/>
      <c r="AD557" s="215"/>
    </row>
    <row r="558" spans="29:30" x14ac:dyDescent="0.2">
      <c r="AC558" s="215"/>
      <c r="AD558" s="215"/>
    </row>
    <row r="559" spans="29:30" x14ac:dyDescent="0.2">
      <c r="AC559" s="215"/>
      <c r="AD559" s="215"/>
    </row>
    <row r="560" spans="29:30" x14ac:dyDescent="0.2">
      <c r="AC560" s="215"/>
      <c r="AD560" s="215"/>
    </row>
    <row r="561" spans="29:30" x14ac:dyDescent="0.2">
      <c r="AC561" s="215"/>
      <c r="AD561" s="215"/>
    </row>
    <row r="562" spans="29:30" x14ac:dyDescent="0.2">
      <c r="AC562" s="215"/>
      <c r="AD562" s="215"/>
    </row>
    <row r="563" spans="29:30" x14ac:dyDescent="0.2">
      <c r="AC563" s="215"/>
      <c r="AD563" s="215"/>
    </row>
    <row r="564" spans="29:30" x14ac:dyDescent="0.2">
      <c r="AC564" s="215"/>
      <c r="AD564" s="215"/>
    </row>
    <row r="565" spans="29:30" x14ac:dyDescent="0.2">
      <c r="AC565" s="215"/>
      <c r="AD565" s="215"/>
    </row>
    <row r="566" spans="29:30" x14ac:dyDescent="0.2">
      <c r="AC566" s="215"/>
      <c r="AD566" s="215"/>
    </row>
    <row r="567" spans="29:30" x14ac:dyDescent="0.2">
      <c r="AC567" s="215"/>
      <c r="AD567" s="215"/>
    </row>
    <row r="568" spans="29:30" x14ac:dyDescent="0.2">
      <c r="AC568" s="215"/>
      <c r="AD568" s="215"/>
    </row>
    <row r="569" spans="29:30" x14ac:dyDescent="0.2">
      <c r="AC569" s="215"/>
      <c r="AD569" s="215"/>
    </row>
    <row r="570" spans="29:30" x14ac:dyDescent="0.2">
      <c r="AC570" s="215"/>
      <c r="AD570" s="215"/>
    </row>
    <row r="571" spans="29:30" x14ac:dyDescent="0.2">
      <c r="AC571" s="215"/>
      <c r="AD571" s="215"/>
    </row>
    <row r="572" spans="29:30" x14ac:dyDescent="0.2">
      <c r="AC572" s="215"/>
      <c r="AD572" s="215"/>
    </row>
    <row r="573" spans="29:30" x14ac:dyDescent="0.2">
      <c r="AC573" s="215"/>
      <c r="AD573" s="215"/>
    </row>
    <row r="574" spans="29:30" x14ac:dyDescent="0.2">
      <c r="AC574" s="215"/>
      <c r="AD574" s="215"/>
    </row>
    <row r="575" spans="29:30" x14ac:dyDescent="0.2">
      <c r="AC575" s="215"/>
      <c r="AD575" s="215"/>
    </row>
    <row r="576" spans="29:30" x14ac:dyDescent="0.2">
      <c r="AC576" s="215"/>
      <c r="AD576" s="215"/>
    </row>
    <row r="577" spans="29:30" x14ac:dyDescent="0.2">
      <c r="AC577" s="215"/>
      <c r="AD577" s="215"/>
    </row>
    <row r="578" spans="29:30" x14ac:dyDescent="0.2">
      <c r="AC578" s="215"/>
      <c r="AD578" s="215"/>
    </row>
    <row r="579" spans="29:30" x14ac:dyDescent="0.2">
      <c r="AC579" s="215"/>
      <c r="AD579" s="215"/>
    </row>
    <row r="580" spans="29:30" x14ac:dyDescent="0.2">
      <c r="AC580" s="215"/>
      <c r="AD580" s="215"/>
    </row>
    <row r="581" spans="29:30" x14ac:dyDescent="0.2">
      <c r="AC581" s="215"/>
      <c r="AD581" s="215"/>
    </row>
    <row r="582" spans="29:30" x14ac:dyDescent="0.2">
      <c r="AC582" s="215"/>
      <c r="AD582" s="215"/>
    </row>
    <row r="583" spans="29:30" x14ac:dyDescent="0.2">
      <c r="AC583" s="215"/>
      <c r="AD583" s="215"/>
    </row>
    <row r="584" spans="29:30" x14ac:dyDescent="0.2">
      <c r="AC584" s="215"/>
      <c r="AD584" s="215"/>
    </row>
    <row r="585" spans="29:30" x14ac:dyDescent="0.2">
      <c r="AC585" s="215"/>
      <c r="AD585" s="215"/>
    </row>
    <row r="586" spans="29:30" x14ac:dyDescent="0.2">
      <c r="AC586" s="215"/>
      <c r="AD586" s="215"/>
    </row>
    <row r="587" spans="29:30" x14ac:dyDescent="0.2">
      <c r="AC587" s="215"/>
      <c r="AD587" s="215"/>
    </row>
    <row r="588" spans="29:30" x14ac:dyDescent="0.2">
      <c r="AC588" s="215"/>
      <c r="AD588" s="215"/>
    </row>
    <row r="589" spans="29:30" x14ac:dyDescent="0.2">
      <c r="AC589" s="215"/>
      <c r="AD589" s="215"/>
    </row>
    <row r="590" spans="29:30" x14ac:dyDescent="0.2">
      <c r="AC590" s="215"/>
      <c r="AD590" s="215"/>
    </row>
    <row r="591" spans="29:30" x14ac:dyDescent="0.2">
      <c r="AC591" s="215"/>
      <c r="AD591" s="215"/>
    </row>
    <row r="592" spans="29:30" x14ac:dyDescent="0.2">
      <c r="AC592" s="215"/>
      <c r="AD592" s="215"/>
    </row>
    <row r="593" spans="29:30" x14ac:dyDescent="0.2">
      <c r="AC593" s="215"/>
      <c r="AD593" s="215"/>
    </row>
    <row r="594" spans="29:30" x14ac:dyDescent="0.2">
      <c r="AC594" s="215"/>
      <c r="AD594" s="215"/>
    </row>
    <row r="595" spans="29:30" x14ac:dyDescent="0.2">
      <c r="AC595" s="215"/>
      <c r="AD595" s="215"/>
    </row>
    <row r="596" spans="29:30" x14ac:dyDescent="0.2">
      <c r="AC596" s="215"/>
      <c r="AD596" s="215"/>
    </row>
    <row r="597" spans="29:30" x14ac:dyDescent="0.2">
      <c r="AC597" s="215"/>
      <c r="AD597" s="215"/>
    </row>
    <row r="598" spans="29:30" x14ac:dyDescent="0.2">
      <c r="AC598" s="215"/>
      <c r="AD598" s="215"/>
    </row>
    <row r="599" spans="29:30" x14ac:dyDescent="0.2">
      <c r="AC599" s="215"/>
      <c r="AD599" s="215"/>
    </row>
    <row r="600" spans="29:30" x14ac:dyDescent="0.2">
      <c r="AC600" s="215"/>
      <c r="AD600" s="215"/>
    </row>
    <row r="601" spans="29:30" x14ac:dyDescent="0.2">
      <c r="AC601" s="215"/>
      <c r="AD601" s="215"/>
    </row>
    <row r="602" spans="29:30" x14ac:dyDescent="0.2">
      <c r="AC602" s="215"/>
      <c r="AD602" s="215"/>
    </row>
    <row r="603" spans="29:30" x14ac:dyDescent="0.2">
      <c r="AC603" s="215"/>
      <c r="AD603" s="215"/>
    </row>
    <row r="604" spans="29:30" x14ac:dyDescent="0.2">
      <c r="AC604" s="215"/>
      <c r="AD604" s="215"/>
    </row>
    <row r="605" spans="29:30" x14ac:dyDescent="0.2">
      <c r="AC605" s="215"/>
      <c r="AD605" s="215"/>
    </row>
    <row r="606" spans="29:30" x14ac:dyDescent="0.2">
      <c r="AC606" s="215"/>
      <c r="AD606" s="215"/>
    </row>
    <row r="607" spans="29:30" x14ac:dyDescent="0.2">
      <c r="AC607" s="215"/>
      <c r="AD607" s="215"/>
    </row>
    <row r="608" spans="29:30" x14ac:dyDescent="0.2">
      <c r="AC608" s="215"/>
      <c r="AD608" s="215"/>
    </row>
    <row r="609" spans="29:30" x14ac:dyDescent="0.2">
      <c r="AC609" s="215"/>
      <c r="AD609" s="215"/>
    </row>
    <row r="610" spans="29:30" x14ac:dyDescent="0.2">
      <c r="AC610" s="215"/>
      <c r="AD610" s="215"/>
    </row>
    <row r="611" spans="29:30" x14ac:dyDescent="0.2">
      <c r="AC611" s="215"/>
      <c r="AD611" s="215"/>
    </row>
    <row r="612" spans="29:30" x14ac:dyDescent="0.2">
      <c r="AC612" s="215"/>
      <c r="AD612" s="215"/>
    </row>
    <row r="613" spans="29:30" x14ac:dyDescent="0.2">
      <c r="AC613" s="215"/>
      <c r="AD613" s="215"/>
    </row>
    <row r="614" spans="29:30" x14ac:dyDescent="0.2">
      <c r="AC614" s="215"/>
      <c r="AD614" s="215"/>
    </row>
    <row r="615" spans="29:30" x14ac:dyDescent="0.2">
      <c r="AC615" s="215"/>
      <c r="AD615" s="215"/>
    </row>
    <row r="616" spans="29:30" x14ac:dyDescent="0.2">
      <c r="AC616" s="215"/>
      <c r="AD616" s="215"/>
    </row>
    <row r="617" spans="29:30" x14ac:dyDescent="0.2">
      <c r="AC617" s="215"/>
      <c r="AD617" s="215"/>
    </row>
    <row r="618" spans="29:30" x14ac:dyDescent="0.2">
      <c r="AC618" s="215"/>
      <c r="AD618" s="215"/>
    </row>
    <row r="619" spans="29:30" x14ac:dyDescent="0.2">
      <c r="AC619" s="215"/>
      <c r="AD619" s="215"/>
    </row>
    <row r="620" spans="29:30" x14ac:dyDescent="0.2">
      <c r="AC620" s="215"/>
      <c r="AD620" s="215"/>
    </row>
    <row r="621" spans="29:30" x14ac:dyDescent="0.2">
      <c r="AC621" s="215"/>
      <c r="AD621" s="215"/>
    </row>
    <row r="622" spans="29:30" x14ac:dyDescent="0.2">
      <c r="AC622" s="215"/>
      <c r="AD622" s="215"/>
    </row>
    <row r="623" spans="29:30" x14ac:dyDescent="0.2">
      <c r="AC623" s="215"/>
      <c r="AD623" s="215"/>
    </row>
    <row r="624" spans="29:30" x14ac:dyDescent="0.2">
      <c r="AC624" s="215"/>
      <c r="AD624" s="215"/>
    </row>
    <row r="625" spans="29:30" x14ac:dyDescent="0.2">
      <c r="AC625" s="215"/>
      <c r="AD625" s="215"/>
    </row>
    <row r="626" spans="29:30" x14ac:dyDescent="0.2">
      <c r="AC626" s="215"/>
      <c r="AD626" s="215"/>
    </row>
    <row r="627" spans="29:30" x14ac:dyDescent="0.2">
      <c r="AC627" s="215"/>
      <c r="AD627" s="215"/>
    </row>
    <row r="628" spans="29:30" x14ac:dyDescent="0.2">
      <c r="AC628" s="215"/>
      <c r="AD628" s="215"/>
    </row>
    <row r="629" spans="29:30" x14ac:dyDescent="0.2">
      <c r="AC629" s="215"/>
      <c r="AD629" s="215"/>
    </row>
    <row r="630" spans="29:30" x14ac:dyDescent="0.2">
      <c r="AC630" s="215"/>
      <c r="AD630" s="215"/>
    </row>
    <row r="631" spans="29:30" x14ac:dyDescent="0.2">
      <c r="AC631" s="215"/>
      <c r="AD631" s="215"/>
    </row>
    <row r="632" spans="29:30" x14ac:dyDescent="0.2">
      <c r="AC632" s="215"/>
      <c r="AD632" s="215"/>
    </row>
    <row r="633" spans="29:30" x14ac:dyDescent="0.2">
      <c r="AC633" s="215"/>
      <c r="AD633" s="215"/>
    </row>
    <row r="634" spans="29:30" x14ac:dyDescent="0.2">
      <c r="AC634" s="215"/>
      <c r="AD634" s="215"/>
    </row>
    <row r="635" spans="29:30" x14ac:dyDescent="0.2">
      <c r="AC635" s="215"/>
      <c r="AD635" s="215"/>
    </row>
    <row r="636" spans="29:30" x14ac:dyDescent="0.2">
      <c r="AC636" s="215"/>
      <c r="AD636" s="215"/>
    </row>
    <row r="637" spans="29:30" x14ac:dyDescent="0.2">
      <c r="AC637" s="215"/>
      <c r="AD637" s="215"/>
    </row>
    <row r="638" spans="29:30" x14ac:dyDescent="0.2">
      <c r="AC638" s="215"/>
      <c r="AD638" s="215"/>
    </row>
    <row r="639" spans="29:30" x14ac:dyDescent="0.2">
      <c r="AC639" s="215"/>
      <c r="AD639" s="215"/>
    </row>
    <row r="640" spans="29:30" x14ac:dyDescent="0.2">
      <c r="AC640" s="215"/>
      <c r="AD640" s="215"/>
    </row>
    <row r="641" spans="29:30" x14ac:dyDescent="0.2">
      <c r="AC641" s="215"/>
      <c r="AD641" s="215"/>
    </row>
    <row r="642" spans="29:30" x14ac:dyDescent="0.2">
      <c r="AC642" s="215"/>
      <c r="AD642" s="215"/>
    </row>
    <row r="643" spans="29:30" x14ac:dyDescent="0.2">
      <c r="AC643" s="215"/>
      <c r="AD643" s="215"/>
    </row>
    <row r="644" spans="29:30" x14ac:dyDescent="0.2">
      <c r="AC644" s="215"/>
      <c r="AD644" s="215"/>
    </row>
    <row r="645" spans="29:30" x14ac:dyDescent="0.2">
      <c r="AC645" s="215"/>
      <c r="AD645" s="215"/>
    </row>
    <row r="646" spans="29:30" x14ac:dyDescent="0.2">
      <c r="AC646" s="215"/>
      <c r="AD646" s="215"/>
    </row>
    <row r="647" spans="29:30" x14ac:dyDescent="0.2">
      <c r="AC647" s="215"/>
      <c r="AD647" s="215"/>
    </row>
    <row r="648" spans="29:30" x14ac:dyDescent="0.2">
      <c r="AC648" s="215"/>
      <c r="AD648" s="215"/>
    </row>
    <row r="649" spans="29:30" x14ac:dyDescent="0.2">
      <c r="AC649" s="215"/>
      <c r="AD649" s="215"/>
    </row>
    <row r="650" spans="29:30" x14ac:dyDescent="0.2">
      <c r="AC650" s="215"/>
      <c r="AD650" s="215"/>
    </row>
    <row r="651" spans="29:30" x14ac:dyDescent="0.2">
      <c r="AC651" s="215"/>
      <c r="AD651" s="215"/>
    </row>
    <row r="652" spans="29:30" x14ac:dyDescent="0.2">
      <c r="AC652" s="215"/>
      <c r="AD652" s="215"/>
    </row>
    <row r="653" spans="29:30" x14ac:dyDescent="0.2">
      <c r="AC653" s="215"/>
      <c r="AD653" s="215"/>
    </row>
    <row r="654" spans="29:30" x14ac:dyDescent="0.2">
      <c r="AC654" s="215"/>
      <c r="AD654" s="215"/>
    </row>
    <row r="655" spans="29:30" x14ac:dyDescent="0.2">
      <c r="AC655" s="215"/>
      <c r="AD655" s="215"/>
    </row>
    <row r="656" spans="29:30" x14ac:dyDescent="0.2">
      <c r="AC656" s="215"/>
      <c r="AD656" s="215"/>
    </row>
    <row r="657" spans="29:30" x14ac:dyDescent="0.2">
      <c r="AC657" s="215"/>
      <c r="AD657" s="215"/>
    </row>
    <row r="658" spans="29:30" x14ac:dyDescent="0.2">
      <c r="AC658" s="215"/>
      <c r="AD658" s="215"/>
    </row>
    <row r="659" spans="29:30" x14ac:dyDescent="0.2">
      <c r="AC659" s="215"/>
      <c r="AD659" s="215"/>
    </row>
    <row r="660" spans="29:30" x14ac:dyDescent="0.2">
      <c r="AC660" s="215"/>
      <c r="AD660" s="215"/>
    </row>
    <row r="661" spans="29:30" x14ac:dyDescent="0.2">
      <c r="AC661" s="215"/>
      <c r="AD661" s="215"/>
    </row>
    <row r="662" spans="29:30" x14ac:dyDescent="0.2">
      <c r="AC662" s="215"/>
      <c r="AD662" s="215"/>
    </row>
    <row r="663" spans="29:30" x14ac:dyDescent="0.2">
      <c r="AC663" s="215"/>
      <c r="AD663" s="215"/>
    </row>
    <row r="664" spans="29:30" x14ac:dyDescent="0.2">
      <c r="AC664" s="215"/>
      <c r="AD664" s="215"/>
    </row>
    <row r="665" spans="29:30" x14ac:dyDescent="0.2">
      <c r="AC665" s="215"/>
      <c r="AD665" s="215"/>
    </row>
    <row r="666" spans="29:30" x14ac:dyDescent="0.2">
      <c r="AC666" s="215"/>
      <c r="AD666" s="215"/>
    </row>
    <row r="667" spans="29:30" x14ac:dyDescent="0.2">
      <c r="AC667" s="215"/>
      <c r="AD667" s="215"/>
    </row>
    <row r="668" spans="29:30" x14ac:dyDescent="0.2">
      <c r="AC668" s="215"/>
      <c r="AD668" s="215"/>
    </row>
    <row r="669" spans="29:30" x14ac:dyDescent="0.2">
      <c r="AC669" s="215"/>
      <c r="AD669" s="215"/>
    </row>
    <row r="670" spans="29:30" x14ac:dyDescent="0.2">
      <c r="AC670" s="215"/>
      <c r="AD670" s="215"/>
    </row>
    <row r="671" spans="29:30" x14ac:dyDescent="0.2">
      <c r="AC671" s="215"/>
      <c r="AD671" s="215"/>
    </row>
    <row r="672" spans="29:30" x14ac:dyDescent="0.2">
      <c r="AC672" s="215"/>
      <c r="AD672" s="215"/>
    </row>
    <row r="673" spans="29:30" x14ac:dyDescent="0.2">
      <c r="AC673" s="215"/>
      <c r="AD673" s="215"/>
    </row>
    <row r="674" spans="29:30" x14ac:dyDescent="0.2">
      <c r="AC674" s="215"/>
      <c r="AD674" s="215"/>
    </row>
    <row r="675" spans="29:30" x14ac:dyDescent="0.2">
      <c r="AC675" s="215"/>
      <c r="AD675" s="215"/>
    </row>
    <row r="676" spans="29:30" x14ac:dyDescent="0.2">
      <c r="AC676" s="215"/>
      <c r="AD676" s="215"/>
    </row>
    <row r="677" spans="29:30" x14ac:dyDescent="0.2">
      <c r="AC677" s="215"/>
      <c r="AD677" s="215"/>
    </row>
    <row r="678" spans="29:30" x14ac:dyDescent="0.2">
      <c r="AC678" s="215"/>
      <c r="AD678" s="215"/>
    </row>
    <row r="679" spans="29:30" x14ac:dyDescent="0.2">
      <c r="AC679" s="215"/>
      <c r="AD679" s="215"/>
    </row>
    <row r="680" spans="29:30" x14ac:dyDescent="0.2">
      <c r="AC680" s="215"/>
      <c r="AD680" s="215"/>
    </row>
    <row r="681" spans="29:30" x14ac:dyDescent="0.2">
      <c r="AC681" s="215"/>
      <c r="AD681" s="215"/>
    </row>
    <row r="682" spans="29:30" x14ac:dyDescent="0.2">
      <c r="AC682" s="215"/>
      <c r="AD682" s="215"/>
    </row>
    <row r="683" spans="29:30" x14ac:dyDescent="0.2">
      <c r="AC683" s="215"/>
      <c r="AD683" s="215"/>
    </row>
    <row r="684" spans="29:30" x14ac:dyDescent="0.2">
      <c r="AC684" s="215"/>
      <c r="AD684" s="215"/>
    </row>
    <row r="685" spans="29:30" x14ac:dyDescent="0.2">
      <c r="AC685" s="215"/>
      <c r="AD685" s="215"/>
    </row>
    <row r="686" spans="29:30" x14ac:dyDescent="0.2">
      <c r="AC686" s="215"/>
      <c r="AD686" s="215"/>
    </row>
    <row r="687" spans="29:30" x14ac:dyDescent="0.2">
      <c r="AC687" s="215"/>
      <c r="AD687" s="215"/>
    </row>
    <row r="688" spans="29:30" x14ac:dyDescent="0.2">
      <c r="AC688" s="215"/>
      <c r="AD688" s="215"/>
    </row>
    <row r="689" spans="29:30" x14ac:dyDescent="0.2">
      <c r="AC689" s="215"/>
      <c r="AD689" s="215"/>
    </row>
    <row r="690" spans="29:30" x14ac:dyDescent="0.2">
      <c r="AC690" s="215"/>
      <c r="AD690" s="215"/>
    </row>
    <row r="691" spans="29:30" x14ac:dyDescent="0.2">
      <c r="AC691" s="215"/>
      <c r="AD691" s="215"/>
    </row>
    <row r="692" spans="29:30" x14ac:dyDescent="0.2">
      <c r="AC692" s="215"/>
      <c r="AD692" s="215"/>
    </row>
    <row r="693" spans="29:30" x14ac:dyDescent="0.2">
      <c r="AC693" s="215"/>
      <c r="AD693" s="215"/>
    </row>
    <row r="694" spans="29:30" x14ac:dyDescent="0.2">
      <c r="AC694" s="215"/>
      <c r="AD694" s="215"/>
    </row>
    <row r="695" spans="29:30" x14ac:dyDescent="0.2">
      <c r="AC695" s="215"/>
      <c r="AD695" s="215"/>
    </row>
    <row r="696" spans="29:30" x14ac:dyDescent="0.2">
      <c r="AC696" s="215"/>
      <c r="AD696" s="215"/>
    </row>
    <row r="697" spans="29:30" x14ac:dyDescent="0.2">
      <c r="AC697" s="215"/>
      <c r="AD697" s="215"/>
    </row>
    <row r="698" spans="29:30" x14ac:dyDescent="0.2">
      <c r="AC698" s="215"/>
      <c r="AD698" s="215"/>
    </row>
    <row r="699" spans="29:30" x14ac:dyDescent="0.2">
      <c r="AC699" s="215"/>
      <c r="AD699" s="215"/>
    </row>
    <row r="700" spans="29:30" x14ac:dyDescent="0.2">
      <c r="AC700" s="215"/>
      <c r="AD700" s="215"/>
    </row>
    <row r="701" spans="29:30" x14ac:dyDescent="0.2">
      <c r="AC701" s="215"/>
      <c r="AD701" s="215"/>
    </row>
    <row r="702" spans="29:30" x14ac:dyDescent="0.2">
      <c r="AC702" s="215"/>
      <c r="AD702" s="215"/>
    </row>
    <row r="703" spans="29:30" x14ac:dyDescent="0.2">
      <c r="AC703" s="215"/>
      <c r="AD703" s="215"/>
    </row>
    <row r="704" spans="29:30" x14ac:dyDescent="0.2">
      <c r="AC704" s="215"/>
      <c r="AD704" s="215"/>
    </row>
    <row r="705" spans="29:30" x14ac:dyDescent="0.2">
      <c r="AC705" s="215"/>
      <c r="AD705" s="215"/>
    </row>
    <row r="706" spans="29:30" x14ac:dyDescent="0.2">
      <c r="AC706" s="215"/>
      <c r="AD706" s="215"/>
    </row>
    <row r="707" spans="29:30" x14ac:dyDescent="0.2">
      <c r="AC707" s="215"/>
      <c r="AD707" s="215"/>
    </row>
    <row r="708" spans="29:30" x14ac:dyDescent="0.2">
      <c r="AC708" s="215"/>
      <c r="AD708" s="215"/>
    </row>
    <row r="709" spans="29:30" x14ac:dyDescent="0.2">
      <c r="AC709" s="215"/>
      <c r="AD709" s="215"/>
    </row>
    <row r="710" spans="29:30" x14ac:dyDescent="0.2">
      <c r="AC710" s="215"/>
      <c r="AD710" s="215"/>
    </row>
    <row r="711" spans="29:30" x14ac:dyDescent="0.2">
      <c r="AC711" s="215"/>
      <c r="AD711" s="215"/>
    </row>
    <row r="712" spans="29:30" x14ac:dyDescent="0.2">
      <c r="AC712" s="215"/>
      <c r="AD712" s="215"/>
    </row>
    <row r="713" spans="29:30" x14ac:dyDescent="0.2">
      <c r="AC713" s="215"/>
      <c r="AD713" s="215"/>
    </row>
    <row r="714" spans="29:30" x14ac:dyDescent="0.2">
      <c r="AC714" s="215"/>
      <c r="AD714" s="215"/>
    </row>
    <row r="715" spans="29:30" x14ac:dyDescent="0.2">
      <c r="AC715" s="215"/>
      <c r="AD715" s="215"/>
    </row>
    <row r="716" spans="29:30" x14ac:dyDescent="0.2">
      <c r="AC716" s="215"/>
      <c r="AD716" s="215"/>
    </row>
    <row r="717" spans="29:30" x14ac:dyDescent="0.2">
      <c r="AC717" s="215"/>
      <c r="AD717" s="215"/>
    </row>
    <row r="718" spans="29:30" x14ac:dyDescent="0.2">
      <c r="AC718" s="215"/>
      <c r="AD718" s="215"/>
    </row>
    <row r="719" spans="29:30" x14ac:dyDescent="0.2">
      <c r="AC719" s="215"/>
      <c r="AD719" s="215"/>
    </row>
    <row r="720" spans="29:30" x14ac:dyDescent="0.2">
      <c r="AC720" s="215"/>
      <c r="AD720" s="215"/>
    </row>
    <row r="721" spans="29:30" x14ac:dyDescent="0.2">
      <c r="AC721" s="215"/>
      <c r="AD721" s="215"/>
    </row>
    <row r="722" spans="29:30" x14ac:dyDescent="0.2">
      <c r="AC722" s="215"/>
      <c r="AD722" s="215"/>
    </row>
    <row r="723" spans="29:30" x14ac:dyDescent="0.2">
      <c r="AC723" s="215"/>
      <c r="AD723" s="215"/>
    </row>
    <row r="724" spans="29:30" x14ac:dyDescent="0.2">
      <c r="AC724" s="215"/>
      <c r="AD724" s="215"/>
    </row>
    <row r="725" spans="29:30" x14ac:dyDescent="0.2">
      <c r="AC725" s="215"/>
      <c r="AD725" s="215"/>
    </row>
    <row r="726" spans="29:30" x14ac:dyDescent="0.2">
      <c r="AC726" s="215"/>
      <c r="AD726" s="215"/>
    </row>
    <row r="727" spans="29:30" x14ac:dyDescent="0.2">
      <c r="AC727" s="215"/>
      <c r="AD727" s="215"/>
    </row>
    <row r="728" spans="29:30" x14ac:dyDescent="0.2">
      <c r="AC728" s="215"/>
      <c r="AD728" s="215"/>
    </row>
    <row r="729" spans="29:30" x14ac:dyDescent="0.2">
      <c r="AC729" s="215"/>
      <c r="AD729" s="215"/>
    </row>
    <row r="730" spans="29:30" x14ac:dyDescent="0.2">
      <c r="AC730" s="215"/>
      <c r="AD730" s="215"/>
    </row>
    <row r="731" spans="29:30" x14ac:dyDescent="0.2">
      <c r="AC731" s="215"/>
      <c r="AD731" s="215"/>
    </row>
    <row r="732" spans="29:30" x14ac:dyDescent="0.2">
      <c r="AC732" s="215"/>
      <c r="AD732" s="215"/>
    </row>
    <row r="733" spans="29:30" x14ac:dyDescent="0.2">
      <c r="AC733" s="215"/>
      <c r="AD733" s="215"/>
    </row>
    <row r="734" spans="29:30" x14ac:dyDescent="0.2">
      <c r="AC734" s="215"/>
      <c r="AD734" s="215"/>
    </row>
    <row r="735" spans="29:30" x14ac:dyDescent="0.2">
      <c r="AC735" s="215"/>
      <c r="AD735" s="215"/>
    </row>
    <row r="736" spans="29:30" x14ac:dyDescent="0.2">
      <c r="AC736" s="215"/>
      <c r="AD736" s="215"/>
    </row>
    <row r="737" spans="29:30" x14ac:dyDescent="0.2">
      <c r="AC737" s="215"/>
      <c r="AD737" s="215"/>
    </row>
    <row r="738" spans="29:30" x14ac:dyDescent="0.2">
      <c r="AC738" s="215"/>
      <c r="AD738" s="215"/>
    </row>
    <row r="739" spans="29:30" x14ac:dyDescent="0.2">
      <c r="AC739" s="215"/>
      <c r="AD739" s="215"/>
    </row>
    <row r="740" spans="29:30" x14ac:dyDescent="0.2">
      <c r="AC740" s="215"/>
      <c r="AD740" s="215"/>
    </row>
    <row r="741" spans="29:30" x14ac:dyDescent="0.2">
      <c r="AC741" s="215"/>
      <c r="AD741" s="215"/>
    </row>
    <row r="742" spans="29:30" x14ac:dyDescent="0.2">
      <c r="AC742" s="215"/>
      <c r="AD742" s="215"/>
    </row>
    <row r="743" spans="29:30" x14ac:dyDescent="0.2">
      <c r="AC743" s="215"/>
      <c r="AD743" s="215"/>
    </row>
    <row r="744" spans="29:30" x14ac:dyDescent="0.2">
      <c r="AC744" s="215"/>
      <c r="AD744" s="215"/>
    </row>
    <row r="745" spans="29:30" x14ac:dyDescent="0.2">
      <c r="AC745" s="215"/>
      <c r="AD745" s="215"/>
    </row>
    <row r="746" spans="29:30" x14ac:dyDescent="0.2">
      <c r="AC746" s="215"/>
      <c r="AD746" s="215"/>
    </row>
    <row r="747" spans="29:30" x14ac:dyDescent="0.2">
      <c r="AC747" s="215"/>
      <c r="AD747" s="215"/>
    </row>
    <row r="748" spans="29:30" x14ac:dyDescent="0.2">
      <c r="AC748" s="215"/>
      <c r="AD748" s="215"/>
    </row>
    <row r="749" spans="29:30" x14ac:dyDescent="0.2">
      <c r="AC749" s="215"/>
      <c r="AD749" s="215"/>
    </row>
    <row r="750" spans="29:30" x14ac:dyDescent="0.2">
      <c r="AC750" s="215"/>
      <c r="AD750" s="215"/>
    </row>
    <row r="751" spans="29:30" x14ac:dyDescent="0.2">
      <c r="AC751" s="215"/>
      <c r="AD751" s="215"/>
    </row>
    <row r="752" spans="29:30" x14ac:dyDescent="0.2">
      <c r="AC752" s="215"/>
      <c r="AD752" s="215"/>
    </row>
    <row r="753" spans="29:30" x14ac:dyDescent="0.2">
      <c r="AC753" s="215"/>
      <c r="AD753" s="215"/>
    </row>
    <row r="754" spans="29:30" x14ac:dyDescent="0.2">
      <c r="AC754" s="215"/>
      <c r="AD754" s="215"/>
    </row>
    <row r="755" spans="29:30" x14ac:dyDescent="0.2">
      <c r="AC755" s="215"/>
      <c r="AD755" s="215"/>
    </row>
    <row r="756" spans="29:30" x14ac:dyDescent="0.2">
      <c r="AC756" s="215"/>
      <c r="AD756" s="215"/>
    </row>
    <row r="757" spans="29:30" x14ac:dyDescent="0.2">
      <c r="AC757" s="215"/>
      <c r="AD757" s="215"/>
    </row>
    <row r="758" spans="29:30" x14ac:dyDescent="0.2">
      <c r="AC758" s="215"/>
      <c r="AD758" s="215"/>
    </row>
    <row r="759" spans="29:30" x14ac:dyDescent="0.2">
      <c r="AC759" s="215"/>
      <c r="AD759" s="215"/>
    </row>
    <row r="760" spans="29:30" x14ac:dyDescent="0.2">
      <c r="AC760" s="215"/>
      <c r="AD760" s="215"/>
    </row>
    <row r="761" spans="29:30" x14ac:dyDescent="0.2">
      <c r="AC761" s="215"/>
      <c r="AD761" s="215"/>
    </row>
    <row r="762" spans="29:30" x14ac:dyDescent="0.2">
      <c r="AC762" s="215"/>
      <c r="AD762" s="215"/>
    </row>
    <row r="763" spans="29:30" x14ac:dyDescent="0.2">
      <c r="AC763" s="215"/>
      <c r="AD763" s="215"/>
    </row>
    <row r="764" spans="29:30" x14ac:dyDescent="0.2">
      <c r="AC764" s="215"/>
      <c r="AD764" s="215"/>
    </row>
    <row r="765" spans="29:30" x14ac:dyDescent="0.2">
      <c r="AC765" s="215"/>
      <c r="AD765" s="215"/>
    </row>
    <row r="766" spans="29:30" x14ac:dyDescent="0.2">
      <c r="AC766" s="215"/>
      <c r="AD766" s="215"/>
    </row>
    <row r="767" spans="29:30" x14ac:dyDescent="0.2">
      <c r="AC767" s="215"/>
      <c r="AD767" s="215"/>
    </row>
    <row r="768" spans="29:30" x14ac:dyDescent="0.2">
      <c r="AC768" s="215"/>
      <c r="AD768" s="215"/>
    </row>
    <row r="769" spans="29:30" x14ac:dyDescent="0.2">
      <c r="AC769" s="215"/>
      <c r="AD769" s="215"/>
    </row>
    <row r="770" spans="29:30" x14ac:dyDescent="0.2">
      <c r="AC770" s="215"/>
      <c r="AD770" s="215"/>
    </row>
    <row r="771" spans="29:30" x14ac:dyDescent="0.2">
      <c r="AC771" s="215"/>
      <c r="AD771" s="215"/>
    </row>
    <row r="772" spans="29:30" x14ac:dyDescent="0.2">
      <c r="AC772" s="215"/>
      <c r="AD772" s="215"/>
    </row>
    <row r="773" spans="29:30" x14ac:dyDescent="0.2">
      <c r="AC773" s="215"/>
      <c r="AD773" s="215"/>
    </row>
    <row r="774" spans="29:30" x14ac:dyDescent="0.2">
      <c r="AC774" s="215"/>
      <c r="AD774" s="215"/>
    </row>
    <row r="775" spans="29:30" x14ac:dyDescent="0.2">
      <c r="AC775" s="215"/>
      <c r="AD775" s="215"/>
    </row>
    <row r="776" spans="29:30" x14ac:dyDescent="0.2">
      <c r="AC776" s="215"/>
      <c r="AD776" s="215"/>
    </row>
    <row r="777" spans="29:30" x14ac:dyDescent="0.2">
      <c r="AC777" s="215"/>
      <c r="AD777" s="215"/>
    </row>
    <row r="778" spans="29:30" x14ac:dyDescent="0.2">
      <c r="AC778" s="215"/>
      <c r="AD778" s="215"/>
    </row>
    <row r="779" spans="29:30" x14ac:dyDescent="0.2">
      <c r="AC779" s="215"/>
      <c r="AD779" s="215"/>
    </row>
    <row r="780" spans="29:30" x14ac:dyDescent="0.2">
      <c r="AC780" s="215"/>
      <c r="AD780" s="215"/>
    </row>
    <row r="781" spans="29:30" x14ac:dyDescent="0.2">
      <c r="AC781" s="215"/>
      <c r="AD781" s="215"/>
    </row>
    <row r="782" spans="29:30" x14ac:dyDescent="0.2">
      <c r="AC782" s="215"/>
      <c r="AD782" s="215"/>
    </row>
    <row r="783" spans="29:30" x14ac:dyDescent="0.2">
      <c r="AC783" s="215"/>
      <c r="AD783" s="215"/>
    </row>
    <row r="784" spans="29:30" x14ac:dyDescent="0.2">
      <c r="AC784" s="215"/>
      <c r="AD784" s="215"/>
    </row>
    <row r="785" spans="29:30" x14ac:dyDescent="0.2">
      <c r="AC785" s="215"/>
      <c r="AD785" s="215"/>
    </row>
    <row r="786" spans="29:30" x14ac:dyDescent="0.2">
      <c r="AC786" s="215"/>
      <c r="AD786" s="215"/>
    </row>
    <row r="787" spans="29:30" x14ac:dyDescent="0.2">
      <c r="AC787" s="215"/>
      <c r="AD787" s="215"/>
    </row>
    <row r="788" spans="29:30" x14ac:dyDescent="0.2">
      <c r="AC788" s="215"/>
      <c r="AD788" s="215"/>
    </row>
    <row r="789" spans="29:30" x14ac:dyDescent="0.2">
      <c r="AC789" s="215"/>
      <c r="AD789" s="215"/>
    </row>
    <row r="790" spans="29:30" x14ac:dyDescent="0.2">
      <c r="AC790" s="215"/>
      <c r="AD790" s="215"/>
    </row>
    <row r="791" spans="29:30" x14ac:dyDescent="0.2">
      <c r="AC791" s="215"/>
      <c r="AD791" s="215"/>
    </row>
    <row r="792" spans="29:30" x14ac:dyDescent="0.2">
      <c r="AC792" s="215"/>
      <c r="AD792" s="215"/>
    </row>
    <row r="793" spans="29:30" x14ac:dyDescent="0.2">
      <c r="AC793" s="215"/>
      <c r="AD793" s="215"/>
    </row>
    <row r="794" spans="29:30" x14ac:dyDescent="0.2">
      <c r="AC794" s="215"/>
      <c r="AD794" s="215"/>
    </row>
    <row r="795" spans="29:30" x14ac:dyDescent="0.2">
      <c r="AC795" s="215"/>
      <c r="AD795" s="215"/>
    </row>
    <row r="796" spans="29:30" x14ac:dyDescent="0.2">
      <c r="AC796" s="215"/>
      <c r="AD796" s="215"/>
    </row>
    <row r="797" spans="29:30" x14ac:dyDescent="0.2">
      <c r="AC797" s="215"/>
      <c r="AD797" s="215"/>
    </row>
    <row r="798" spans="29:30" x14ac:dyDescent="0.2">
      <c r="AC798" s="215"/>
      <c r="AD798" s="215"/>
    </row>
    <row r="799" spans="29:30" x14ac:dyDescent="0.2">
      <c r="AC799" s="215"/>
      <c r="AD799" s="215"/>
    </row>
    <row r="800" spans="29:30" x14ac:dyDescent="0.2">
      <c r="AC800" s="215"/>
      <c r="AD800" s="215"/>
    </row>
    <row r="801" spans="29:30" x14ac:dyDescent="0.2">
      <c r="AC801" s="215"/>
      <c r="AD801" s="215"/>
    </row>
    <row r="802" spans="29:30" x14ac:dyDescent="0.2">
      <c r="AC802" s="215"/>
      <c r="AD802" s="215"/>
    </row>
    <row r="803" spans="29:30" x14ac:dyDescent="0.2">
      <c r="AC803" s="215"/>
      <c r="AD803" s="215"/>
    </row>
    <row r="804" spans="29:30" x14ac:dyDescent="0.2">
      <c r="AC804" s="215"/>
      <c r="AD804" s="215"/>
    </row>
    <row r="805" spans="29:30" x14ac:dyDescent="0.2">
      <c r="AC805" s="215"/>
      <c r="AD805" s="215"/>
    </row>
    <row r="806" spans="29:30" x14ac:dyDescent="0.2">
      <c r="AC806" s="215"/>
      <c r="AD806" s="215"/>
    </row>
    <row r="807" spans="29:30" x14ac:dyDescent="0.2">
      <c r="AC807" s="215"/>
      <c r="AD807" s="215"/>
    </row>
    <row r="808" spans="29:30" x14ac:dyDescent="0.2">
      <c r="AC808" s="215"/>
      <c r="AD808" s="215"/>
    </row>
    <row r="809" spans="29:30" x14ac:dyDescent="0.2">
      <c r="AC809" s="215"/>
      <c r="AD809" s="215"/>
    </row>
    <row r="810" spans="29:30" x14ac:dyDescent="0.2">
      <c r="AC810" s="215"/>
      <c r="AD810" s="215"/>
    </row>
    <row r="811" spans="29:30" x14ac:dyDescent="0.2">
      <c r="AC811" s="215"/>
      <c r="AD811" s="215"/>
    </row>
    <row r="812" spans="29:30" x14ac:dyDescent="0.2">
      <c r="AC812" s="215"/>
      <c r="AD812" s="215"/>
    </row>
    <row r="813" spans="29:30" x14ac:dyDescent="0.2">
      <c r="AC813" s="215"/>
      <c r="AD813" s="215"/>
    </row>
    <row r="814" spans="29:30" x14ac:dyDescent="0.2">
      <c r="AC814" s="215"/>
      <c r="AD814" s="215"/>
    </row>
    <row r="815" spans="29:30" x14ac:dyDescent="0.2">
      <c r="AC815" s="215"/>
      <c r="AD815" s="215"/>
    </row>
    <row r="816" spans="29:30" x14ac:dyDescent="0.2">
      <c r="AC816" s="215"/>
      <c r="AD816" s="215"/>
    </row>
    <row r="817" spans="29:30" x14ac:dyDescent="0.2">
      <c r="AC817" s="215"/>
      <c r="AD817" s="215"/>
    </row>
    <row r="818" spans="29:30" x14ac:dyDescent="0.2">
      <c r="AC818" s="215"/>
      <c r="AD818" s="215"/>
    </row>
    <row r="819" spans="29:30" x14ac:dyDescent="0.2">
      <c r="AC819" s="215"/>
      <c r="AD819" s="215"/>
    </row>
    <row r="820" spans="29:30" x14ac:dyDescent="0.2">
      <c r="AC820" s="215"/>
      <c r="AD820" s="215"/>
    </row>
    <row r="821" spans="29:30" x14ac:dyDescent="0.2">
      <c r="AC821" s="215"/>
      <c r="AD821" s="215"/>
    </row>
    <row r="822" spans="29:30" x14ac:dyDescent="0.2">
      <c r="AC822" s="215"/>
      <c r="AD822" s="215"/>
    </row>
    <row r="823" spans="29:30" x14ac:dyDescent="0.2">
      <c r="AC823" s="215"/>
      <c r="AD823" s="215"/>
    </row>
    <row r="824" spans="29:30" x14ac:dyDescent="0.2">
      <c r="AC824" s="215"/>
      <c r="AD824" s="215"/>
    </row>
    <row r="825" spans="29:30" x14ac:dyDescent="0.2">
      <c r="AC825" s="215"/>
      <c r="AD825" s="215"/>
    </row>
    <row r="826" spans="29:30" x14ac:dyDescent="0.2">
      <c r="AC826" s="215"/>
      <c r="AD826" s="215"/>
    </row>
    <row r="827" spans="29:30" x14ac:dyDescent="0.2">
      <c r="AC827" s="215"/>
      <c r="AD827" s="215"/>
    </row>
    <row r="828" spans="29:30" x14ac:dyDescent="0.2">
      <c r="AC828" s="215"/>
      <c r="AD828" s="215"/>
    </row>
    <row r="829" spans="29:30" x14ac:dyDescent="0.2">
      <c r="AC829" s="215"/>
      <c r="AD829" s="215"/>
    </row>
    <row r="830" spans="29:30" x14ac:dyDescent="0.2">
      <c r="AC830" s="215"/>
      <c r="AD830" s="215"/>
    </row>
    <row r="831" spans="29:30" x14ac:dyDescent="0.2">
      <c r="AC831" s="215"/>
      <c r="AD831" s="215"/>
    </row>
    <row r="832" spans="29:30" x14ac:dyDescent="0.2">
      <c r="AC832" s="215"/>
      <c r="AD832" s="215"/>
    </row>
    <row r="833" spans="29:30" x14ac:dyDescent="0.2">
      <c r="AC833" s="215"/>
      <c r="AD833" s="215"/>
    </row>
    <row r="834" spans="29:30" x14ac:dyDescent="0.2">
      <c r="AC834" s="215"/>
      <c r="AD834" s="215"/>
    </row>
    <row r="835" spans="29:30" x14ac:dyDescent="0.2">
      <c r="AC835" s="215"/>
      <c r="AD835" s="215"/>
    </row>
    <row r="836" spans="29:30" x14ac:dyDescent="0.2">
      <c r="AC836" s="215"/>
      <c r="AD836" s="215"/>
    </row>
    <row r="837" spans="29:30" x14ac:dyDescent="0.2">
      <c r="AC837" s="215"/>
      <c r="AD837" s="215"/>
    </row>
    <row r="838" spans="29:30" x14ac:dyDescent="0.2">
      <c r="AC838" s="215"/>
      <c r="AD838" s="215"/>
    </row>
    <row r="839" spans="29:30" x14ac:dyDescent="0.2">
      <c r="AC839" s="215"/>
      <c r="AD839" s="215"/>
    </row>
    <row r="840" spans="29:30" x14ac:dyDescent="0.2">
      <c r="AC840" s="215"/>
      <c r="AD840" s="215"/>
    </row>
    <row r="841" spans="29:30" x14ac:dyDescent="0.2">
      <c r="AC841" s="215"/>
      <c r="AD841" s="215"/>
    </row>
    <row r="842" spans="29:30" x14ac:dyDescent="0.2">
      <c r="AC842" s="215"/>
      <c r="AD842" s="215"/>
    </row>
    <row r="843" spans="29:30" x14ac:dyDescent="0.2">
      <c r="AC843" s="215"/>
      <c r="AD843" s="215"/>
    </row>
    <row r="844" spans="29:30" x14ac:dyDescent="0.2">
      <c r="AC844" s="215"/>
      <c r="AD844" s="215"/>
    </row>
    <row r="845" spans="29:30" x14ac:dyDescent="0.2">
      <c r="AC845" s="215"/>
      <c r="AD845" s="215"/>
    </row>
    <row r="846" spans="29:30" x14ac:dyDescent="0.2">
      <c r="AC846" s="215"/>
      <c r="AD846" s="215"/>
    </row>
    <row r="847" spans="29:30" x14ac:dyDescent="0.2">
      <c r="AC847" s="215"/>
      <c r="AD847" s="215"/>
    </row>
    <row r="848" spans="29:30" x14ac:dyDescent="0.2">
      <c r="AC848" s="215"/>
      <c r="AD848" s="215"/>
    </row>
    <row r="849" spans="29:30" x14ac:dyDescent="0.2">
      <c r="AC849" s="215"/>
      <c r="AD849" s="215"/>
    </row>
    <row r="850" spans="29:30" x14ac:dyDescent="0.2">
      <c r="AC850" s="215"/>
      <c r="AD850" s="215"/>
    </row>
    <row r="851" spans="29:30" x14ac:dyDescent="0.2">
      <c r="AC851" s="215"/>
      <c r="AD851" s="215"/>
    </row>
    <row r="852" spans="29:30" x14ac:dyDescent="0.2">
      <c r="AC852" s="215"/>
      <c r="AD852" s="215"/>
    </row>
    <row r="853" spans="29:30" x14ac:dyDescent="0.2">
      <c r="AC853" s="215"/>
      <c r="AD853" s="215"/>
    </row>
    <row r="854" spans="29:30" x14ac:dyDescent="0.2">
      <c r="AC854" s="215"/>
      <c r="AD854" s="215"/>
    </row>
    <row r="855" spans="29:30" x14ac:dyDescent="0.2">
      <c r="AC855" s="215"/>
      <c r="AD855" s="215"/>
    </row>
    <row r="856" spans="29:30" x14ac:dyDescent="0.2">
      <c r="AC856" s="215"/>
      <c r="AD856" s="215"/>
    </row>
    <row r="857" spans="29:30" x14ac:dyDescent="0.2">
      <c r="AC857" s="215"/>
      <c r="AD857" s="215"/>
    </row>
    <row r="858" spans="29:30" x14ac:dyDescent="0.2">
      <c r="AC858" s="215"/>
      <c r="AD858" s="215"/>
    </row>
    <row r="859" spans="29:30" x14ac:dyDescent="0.2">
      <c r="AC859" s="215"/>
      <c r="AD859" s="215"/>
    </row>
    <row r="860" spans="29:30" x14ac:dyDescent="0.2">
      <c r="AC860" s="215"/>
      <c r="AD860" s="215"/>
    </row>
    <row r="861" spans="29:30" x14ac:dyDescent="0.2">
      <c r="AC861" s="215"/>
      <c r="AD861" s="215"/>
    </row>
    <row r="862" spans="29:30" x14ac:dyDescent="0.2">
      <c r="AC862" s="215"/>
      <c r="AD862" s="215"/>
    </row>
    <row r="863" spans="29:30" x14ac:dyDescent="0.2">
      <c r="AC863" s="215"/>
      <c r="AD863" s="215"/>
    </row>
    <row r="864" spans="29:30" x14ac:dyDescent="0.2">
      <c r="AC864" s="215"/>
      <c r="AD864" s="215"/>
    </row>
    <row r="865" spans="29:30" x14ac:dyDescent="0.2">
      <c r="AC865" s="215"/>
      <c r="AD865" s="215"/>
    </row>
    <row r="866" spans="29:30" x14ac:dyDescent="0.2">
      <c r="AC866" s="215"/>
      <c r="AD866" s="215"/>
    </row>
    <row r="867" spans="29:30" x14ac:dyDescent="0.2">
      <c r="AC867" s="215"/>
      <c r="AD867" s="215"/>
    </row>
    <row r="868" spans="29:30" x14ac:dyDescent="0.2">
      <c r="AC868" s="215"/>
      <c r="AD868" s="215"/>
    </row>
    <row r="869" spans="29:30" x14ac:dyDescent="0.2">
      <c r="AC869" s="215"/>
      <c r="AD869" s="215"/>
    </row>
    <row r="870" spans="29:30" x14ac:dyDescent="0.2">
      <c r="AC870" s="215"/>
      <c r="AD870" s="215"/>
    </row>
    <row r="871" spans="29:30" x14ac:dyDescent="0.2">
      <c r="AC871" s="215"/>
      <c r="AD871" s="215"/>
    </row>
    <row r="872" spans="29:30" x14ac:dyDescent="0.2">
      <c r="AC872" s="215"/>
      <c r="AD872" s="215"/>
    </row>
    <row r="873" spans="29:30" x14ac:dyDescent="0.2">
      <c r="AC873" s="215"/>
      <c r="AD873" s="215"/>
    </row>
    <row r="874" spans="29:30" x14ac:dyDescent="0.2">
      <c r="AC874" s="215"/>
      <c r="AD874" s="215"/>
    </row>
    <row r="875" spans="29:30" x14ac:dyDescent="0.2">
      <c r="AC875" s="215"/>
      <c r="AD875" s="215"/>
    </row>
    <row r="876" spans="29:30" x14ac:dyDescent="0.2">
      <c r="AC876" s="215"/>
      <c r="AD876" s="215"/>
    </row>
    <row r="877" spans="29:30" x14ac:dyDescent="0.2">
      <c r="AC877" s="215"/>
      <c r="AD877" s="215"/>
    </row>
    <row r="878" spans="29:30" x14ac:dyDescent="0.2">
      <c r="AC878" s="215"/>
      <c r="AD878" s="215"/>
    </row>
    <row r="879" spans="29:30" x14ac:dyDescent="0.2">
      <c r="AC879" s="215"/>
      <c r="AD879" s="215"/>
    </row>
    <row r="880" spans="29:30" x14ac:dyDescent="0.2">
      <c r="AC880" s="215"/>
      <c r="AD880" s="215"/>
    </row>
    <row r="881" spans="29:30" x14ac:dyDescent="0.2">
      <c r="AC881" s="215"/>
      <c r="AD881" s="215"/>
    </row>
    <row r="882" spans="29:30" x14ac:dyDescent="0.2">
      <c r="AC882" s="215"/>
      <c r="AD882" s="215"/>
    </row>
    <row r="883" spans="29:30" x14ac:dyDescent="0.2">
      <c r="AC883" s="215"/>
      <c r="AD883" s="215"/>
    </row>
    <row r="884" spans="29:30" x14ac:dyDescent="0.2">
      <c r="AC884" s="215"/>
      <c r="AD884" s="215"/>
    </row>
    <row r="885" spans="29:30" x14ac:dyDescent="0.2">
      <c r="AC885" s="215"/>
      <c r="AD885" s="215"/>
    </row>
    <row r="886" spans="29:30" x14ac:dyDescent="0.2">
      <c r="AC886" s="215"/>
      <c r="AD886" s="215"/>
    </row>
    <row r="887" spans="29:30" x14ac:dyDescent="0.2">
      <c r="AC887" s="215"/>
      <c r="AD887" s="215"/>
    </row>
    <row r="888" spans="29:30" x14ac:dyDescent="0.2">
      <c r="AC888" s="215"/>
      <c r="AD888" s="215"/>
    </row>
    <row r="889" spans="29:30" x14ac:dyDescent="0.2">
      <c r="AC889" s="215"/>
      <c r="AD889" s="215"/>
    </row>
    <row r="890" spans="29:30" x14ac:dyDescent="0.2">
      <c r="AC890" s="215"/>
      <c r="AD890" s="215"/>
    </row>
    <row r="891" spans="29:30" x14ac:dyDescent="0.2">
      <c r="AC891" s="215"/>
      <c r="AD891" s="215"/>
    </row>
    <row r="892" spans="29:30" x14ac:dyDescent="0.2">
      <c r="AC892" s="215"/>
      <c r="AD892" s="215"/>
    </row>
    <row r="893" spans="29:30" x14ac:dyDescent="0.2">
      <c r="AC893" s="215"/>
      <c r="AD893" s="215"/>
    </row>
    <row r="894" spans="29:30" x14ac:dyDescent="0.2">
      <c r="AC894" s="215"/>
      <c r="AD894" s="215"/>
    </row>
    <row r="895" spans="29:30" x14ac:dyDescent="0.2">
      <c r="AC895" s="215"/>
      <c r="AD895" s="215"/>
    </row>
    <row r="896" spans="29:30" x14ac:dyDescent="0.2">
      <c r="AC896" s="215"/>
      <c r="AD896" s="215"/>
    </row>
    <row r="897" spans="29:30" x14ac:dyDescent="0.2">
      <c r="AC897" s="215"/>
      <c r="AD897" s="215"/>
    </row>
    <row r="898" spans="29:30" x14ac:dyDescent="0.2">
      <c r="AC898" s="215"/>
      <c r="AD898" s="215"/>
    </row>
    <row r="899" spans="29:30" x14ac:dyDescent="0.2">
      <c r="AC899" s="215"/>
      <c r="AD899" s="215"/>
    </row>
    <row r="900" spans="29:30" x14ac:dyDescent="0.2">
      <c r="AC900" s="215"/>
      <c r="AD900" s="215"/>
    </row>
    <row r="901" spans="29:30" x14ac:dyDescent="0.2">
      <c r="AC901" s="215"/>
      <c r="AD901" s="215"/>
    </row>
    <row r="902" spans="29:30" x14ac:dyDescent="0.2">
      <c r="AC902" s="215"/>
      <c r="AD902" s="215"/>
    </row>
    <row r="903" spans="29:30" x14ac:dyDescent="0.2">
      <c r="AC903" s="215"/>
      <c r="AD903" s="215"/>
    </row>
    <row r="904" spans="29:30" x14ac:dyDescent="0.2">
      <c r="AC904" s="215"/>
      <c r="AD904" s="215"/>
    </row>
    <row r="905" spans="29:30" x14ac:dyDescent="0.2">
      <c r="AC905" s="215"/>
      <c r="AD905" s="215"/>
    </row>
    <row r="906" spans="29:30" x14ac:dyDescent="0.2">
      <c r="AC906" s="215"/>
      <c r="AD906" s="215"/>
    </row>
    <row r="907" spans="29:30" x14ac:dyDescent="0.2">
      <c r="AC907" s="215"/>
      <c r="AD907" s="215"/>
    </row>
    <row r="908" spans="29:30" x14ac:dyDescent="0.2">
      <c r="AC908" s="215"/>
      <c r="AD908" s="215"/>
    </row>
    <row r="909" spans="29:30" x14ac:dyDescent="0.2">
      <c r="AC909" s="215"/>
      <c r="AD909" s="215"/>
    </row>
    <row r="910" spans="29:30" x14ac:dyDescent="0.2">
      <c r="AC910" s="215"/>
      <c r="AD910" s="215"/>
    </row>
    <row r="911" spans="29:30" x14ac:dyDescent="0.2">
      <c r="AC911" s="215"/>
      <c r="AD911" s="215"/>
    </row>
    <row r="912" spans="29:30" x14ac:dyDescent="0.2">
      <c r="AC912" s="215"/>
      <c r="AD912" s="215"/>
    </row>
    <row r="913" spans="29:30" x14ac:dyDescent="0.2">
      <c r="AC913" s="215"/>
      <c r="AD913" s="215"/>
    </row>
    <row r="914" spans="29:30" x14ac:dyDescent="0.2">
      <c r="AC914" s="215"/>
      <c r="AD914" s="215"/>
    </row>
    <row r="915" spans="29:30" x14ac:dyDescent="0.2">
      <c r="AC915" s="215"/>
      <c r="AD915" s="215"/>
    </row>
    <row r="916" spans="29:30" x14ac:dyDescent="0.2">
      <c r="AC916" s="215"/>
      <c r="AD916" s="215"/>
    </row>
    <row r="917" spans="29:30" x14ac:dyDescent="0.2">
      <c r="AC917" s="215"/>
      <c r="AD917" s="215"/>
    </row>
    <row r="918" spans="29:30" x14ac:dyDescent="0.2">
      <c r="AC918" s="215"/>
      <c r="AD918" s="215"/>
    </row>
    <row r="919" spans="29:30" x14ac:dyDescent="0.2">
      <c r="AC919" s="215"/>
      <c r="AD919" s="215"/>
    </row>
    <row r="920" spans="29:30" x14ac:dyDescent="0.2">
      <c r="AC920" s="215"/>
      <c r="AD920" s="215"/>
    </row>
    <row r="921" spans="29:30" x14ac:dyDescent="0.2">
      <c r="AC921" s="215"/>
      <c r="AD921" s="215"/>
    </row>
    <row r="922" spans="29:30" x14ac:dyDescent="0.2">
      <c r="AC922" s="215"/>
      <c r="AD922" s="215"/>
    </row>
    <row r="923" spans="29:30" x14ac:dyDescent="0.2">
      <c r="AC923" s="215"/>
      <c r="AD923" s="215"/>
    </row>
    <row r="924" spans="29:30" x14ac:dyDescent="0.2">
      <c r="AC924" s="215"/>
      <c r="AD924" s="215"/>
    </row>
    <row r="925" spans="29:30" x14ac:dyDescent="0.2">
      <c r="AC925" s="215"/>
      <c r="AD925" s="215"/>
    </row>
    <row r="926" spans="29:30" x14ac:dyDescent="0.2">
      <c r="AC926" s="215"/>
      <c r="AD926" s="215"/>
    </row>
    <row r="927" spans="29:30" x14ac:dyDescent="0.2">
      <c r="AC927" s="215"/>
      <c r="AD927" s="215"/>
    </row>
    <row r="928" spans="29:30" x14ac:dyDescent="0.2">
      <c r="AC928" s="215"/>
      <c r="AD928" s="215"/>
    </row>
    <row r="929" spans="29:30" x14ac:dyDescent="0.2">
      <c r="AC929" s="215"/>
      <c r="AD929" s="215"/>
    </row>
    <row r="930" spans="29:30" x14ac:dyDescent="0.2">
      <c r="AC930" s="215"/>
      <c r="AD930" s="215"/>
    </row>
    <row r="931" spans="29:30" x14ac:dyDescent="0.2">
      <c r="AC931" s="215"/>
      <c r="AD931" s="215"/>
    </row>
    <row r="932" spans="29:30" x14ac:dyDescent="0.2">
      <c r="AC932" s="215"/>
      <c r="AD932" s="215"/>
    </row>
    <row r="933" spans="29:30" x14ac:dyDescent="0.2">
      <c r="AC933" s="215"/>
      <c r="AD933" s="215"/>
    </row>
    <row r="934" spans="29:30" x14ac:dyDescent="0.2">
      <c r="AC934" s="215"/>
      <c r="AD934" s="215"/>
    </row>
    <row r="935" spans="29:30" x14ac:dyDescent="0.2">
      <c r="AC935" s="215"/>
      <c r="AD935" s="215"/>
    </row>
    <row r="936" spans="29:30" x14ac:dyDescent="0.2">
      <c r="AC936" s="215"/>
      <c r="AD936" s="215"/>
    </row>
    <row r="937" spans="29:30" x14ac:dyDescent="0.2">
      <c r="AC937" s="215"/>
      <c r="AD937" s="215"/>
    </row>
    <row r="938" spans="29:30" x14ac:dyDescent="0.2">
      <c r="AC938" s="215"/>
      <c r="AD938" s="215"/>
    </row>
    <row r="939" spans="29:30" x14ac:dyDescent="0.2">
      <c r="AC939" s="215"/>
      <c r="AD939" s="215"/>
    </row>
    <row r="940" spans="29:30" x14ac:dyDescent="0.2">
      <c r="AC940" s="215"/>
      <c r="AD940" s="215"/>
    </row>
    <row r="941" spans="29:30" x14ac:dyDescent="0.2">
      <c r="AC941" s="215"/>
      <c r="AD941" s="215"/>
    </row>
    <row r="942" spans="29:30" x14ac:dyDescent="0.2">
      <c r="AC942" s="215"/>
      <c r="AD942" s="215"/>
    </row>
    <row r="943" spans="29:30" x14ac:dyDescent="0.2">
      <c r="AC943" s="215"/>
      <c r="AD943" s="215"/>
    </row>
    <row r="944" spans="29:30" x14ac:dyDescent="0.2">
      <c r="AC944" s="215"/>
      <c r="AD944" s="215"/>
    </row>
    <row r="945" spans="29:30" x14ac:dyDescent="0.2">
      <c r="AC945" s="215"/>
      <c r="AD945" s="215"/>
    </row>
    <row r="946" spans="29:30" x14ac:dyDescent="0.2">
      <c r="AC946" s="215"/>
      <c r="AD946" s="215"/>
    </row>
    <row r="947" spans="29:30" x14ac:dyDescent="0.2">
      <c r="AC947" s="215"/>
      <c r="AD947" s="215"/>
    </row>
    <row r="948" spans="29:30" x14ac:dyDescent="0.2">
      <c r="AC948" s="215"/>
      <c r="AD948" s="215"/>
    </row>
    <row r="949" spans="29:30" x14ac:dyDescent="0.2">
      <c r="AC949" s="215"/>
      <c r="AD949" s="215"/>
    </row>
    <row r="950" spans="29:30" x14ac:dyDescent="0.2">
      <c r="AC950" s="215"/>
      <c r="AD950" s="215"/>
    </row>
    <row r="951" spans="29:30" x14ac:dyDescent="0.2">
      <c r="AC951" s="215"/>
      <c r="AD951" s="215"/>
    </row>
    <row r="952" spans="29:30" x14ac:dyDescent="0.2">
      <c r="AC952" s="215"/>
      <c r="AD952" s="215"/>
    </row>
    <row r="953" spans="29:30" x14ac:dyDescent="0.2">
      <c r="AC953" s="215"/>
      <c r="AD953" s="215"/>
    </row>
    <row r="954" spans="29:30" x14ac:dyDescent="0.2">
      <c r="AC954" s="215"/>
      <c r="AD954" s="215"/>
    </row>
    <row r="955" spans="29:30" x14ac:dyDescent="0.2">
      <c r="AC955" s="215"/>
      <c r="AD955" s="215"/>
    </row>
    <row r="956" spans="29:30" x14ac:dyDescent="0.2">
      <c r="AC956" s="215"/>
      <c r="AD956" s="215"/>
    </row>
    <row r="957" spans="29:30" x14ac:dyDescent="0.2">
      <c r="AC957" s="215"/>
      <c r="AD957" s="215"/>
    </row>
    <row r="958" spans="29:30" x14ac:dyDescent="0.2">
      <c r="AC958" s="215"/>
      <c r="AD958" s="215"/>
    </row>
    <row r="959" spans="29:30" x14ac:dyDescent="0.2">
      <c r="AC959" s="215"/>
      <c r="AD959" s="215"/>
    </row>
    <row r="960" spans="29:30" x14ac:dyDescent="0.2">
      <c r="AC960" s="215"/>
      <c r="AD960" s="215"/>
    </row>
    <row r="961" spans="29:30" x14ac:dyDescent="0.2">
      <c r="AC961" s="215"/>
      <c r="AD961" s="215"/>
    </row>
    <row r="962" spans="29:30" x14ac:dyDescent="0.2">
      <c r="AC962" s="215"/>
      <c r="AD962" s="215"/>
    </row>
    <row r="963" spans="29:30" x14ac:dyDescent="0.2">
      <c r="AC963" s="215"/>
      <c r="AD963" s="215"/>
    </row>
    <row r="964" spans="29:30" x14ac:dyDescent="0.2">
      <c r="AC964" s="215"/>
      <c r="AD964" s="215"/>
    </row>
    <row r="965" spans="29:30" x14ac:dyDescent="0.2">
      <c r="AC965" s="215"/>
      <c r="AD965" s="215"/>
    </row>
    <row r="966" spans="29:30" x14ac:dyDescent="0.2">
      <c r="AC966" s="215"/>
      <c r="AD966" s="215"/>
    </row>
    <row r="967" spans="29:30" x14ac:dyDescent="0.2">
      <c r="AC967" s="215"/>
      <c r="AD967" s="215"/>
    </row>
    <row r="968" spans="29:30" x14ac:dyDescent="0.2">
      <c r="AC968" s="215"/>
      <c r="AD968" s="215"/>
    </row>
    <row r="969" spans="29:30" x14ac:dyDescent="0.2">
      <c r="AC969" s="215"/>
      <c r="AD969" s="215"/>
    </row>
    <row r="970" spans="29:30" x14ac:dyDescent="0.2">
      <c r="AC970" s="215"/>
      <c r="AD970" s="215"/>
    </row>
    <row r="971" spans="29:30" x14ac:dyDescent="0.2">
      <c r="AC971" s="215"/>
      <c r="AD971" s="215"/>
    </row>
    <row r="972" spans="29:30" x14ac:dyDescent="0.2">
      <c r="AC972" s="215"/>
      <c r="AD972" s="215"/>
    </row>
    <row r="973" spans="29:30" x14ac:dyDescent="0.2">
      <c r="AC973" s="215"/>
      <c r="AD973" s="215"/>
    </row>
    <row r="974" spans="29:30" x14ac:dyDescent="0.2">
      <c r="AC974" s="215"/>
      <c r="AD974" s="215"/>
    </row>
    <row r="975" spans="29:30" x14ac:dyDescent="0.2">
      <c r="AC975" s="215"/>
      <c r="AD975" s="215"/>
    </row>
    <row r="976" spans="29:30" x14ac:dyDescent="0.2">
      <c r="AC976" s="215"/>
      <c r="AD976" s="215"/>
    </row>
    <row r="977" spans="29:30" x14ac:dyDescent="0.2">
      <c r="AC977" s="215"/>
      <c r="AD977" s="215"/>
    </row>
    <row r="978" spans="29:30" x14ac:dyDescent="0.2">
      <c r="AC978" s="215"/>
      <c r="AD978" s="215"/>
    </row>
    <row r="979" spans="29:30" x14ac:dyDescent="0.2">
      <c r="AC979" s="215"/>
      <c r="AD979" s="215"/>
    </row>
    <row r="980" spans="29:30" x14ac:dyDescent="0.2">
      <c r="AC980" s="215"/>
      <c r="AD980" s="215"/>
    </row>
    <row r="981" spans="29:30" x14ac:dyDescent="0.2">
      <c r="AC981" s="215"/>
      <c r="AD981" s="215"/>
    </row>
    <row r="982" spans="29:30" x14ac:dyDescent="0.2">
      <c r="AC982" s="215"/>
      <c r="AD982" s="215"/>
    </row>
    <row r="983" spans="29:30" x14ac:dyDescent="0.2">
      <c r="AC983" s="215"/>
      <c r="AD983" s="215"/>
    </row>
    <row r="984" spans="29:30" x14ac:dyDescent="0.2">
      <c r="AC984" s="215"/>
      <c r="AD984" s="215"/>
    </row>
    <row r="985" spans="29:30" x14ac:dyDescent="0.2">
      <c r="AC985" s="215"/>
      <c r="AD985" s="215"/>
    </row>
    <row r="986" spans="29:30" x14ac:dyDescent="0.2">
      <c r="AC986" s="215"/>
      <c r="AD986" s="215"/>
    </row>
    <row r="987" spans="29:30" x14ac:dyDescent="0.2">
      <c r="AC987" s="215"/>
      <c r="AD987" s="215"/>
    </row>
    <row r="988" spans="29:30" x14ac:dyDescent="0.2">
      <c r="AC988" s="215"/>
      <c r="AD988" s="215"/>
    </row>
    <row r="989" spans="29:30" x14ac:dyDescent="0.2">
      <c r="AC989" s="215"/>
      <c r="AD989" s="215"/>
    </row>
    <row r="990" spans="29:30" x14ac:dyDescent="0.2">
      <c r="AC990" s="215"/>
      <c r="AD990" s="215"/>
    </row>
    <row r="991" spans="29:30" x14ac:dyDescent="0.2">
      <c r="AC991" s="215"/>
      <c r="AD991" s="215"/>
    </row>
    <row r="992" spans="29:30" x14ac:dyDescent="0.2">
      <c r="AC992" s="215"/>
      <c r="AD992" s="215"/>
    </row>
    <row r="993" spans="29:30" x14ac:dyDescent="0.2">
      <c r="AC993" s="215"/>
      <c r="AD993" s="215"/>
    </row>
    <row r="994" spans="29:30" x14ac:dyDescent="0.2">
      <c r="AC994" s="215"/>
      <c r="AD994" s="215"/>
    </row>
    <row r="995" spans="29:30" x14ac:dyDescent="0.2">
      <c r="AC995" s="215"/>
      <c r="AD995" s="215"/>
    </row>
    <row r="996" spans="29:30" x14ac:dyDescent="0.2">
      <c r="AC996" s="215"/>
      <c r="AD996" s="215"/>
    </row>
    <row r="997" spans="29:30" x14ac:dyDescent="0.2">
      <c r="AC997" s="215"/>
      <c r="AD997" s="215"/>
    </row>
    <row r="998" spans="29:30" x14ac:dyDescent="0.2">
      <c r="AC998" s="215"/>
      <c r="AD998" s="215"/>
    </row>
    <row r="999" spans="29:30" x14ac:dyDescent="0.2">
      <c r="AC999" s="215"/>
      <c r="AD999" s="215"/>
    </row>
    <row r="1000" spans="29:30" x14ac:dyDescent="0.2">
      <c r="AC1000" s="215"/>
      <c r="AD1000" s="215"/>
    </row>
    <row r="1001" spans="29:30" x14ac:dyDescent="0.2">
      <c r="AC1001" s="215"/>
      <c r="AD1001" s="215"/>
    </row>
    <row r="1002" spans="29:30" x14ac:dyDescent="0.2">
      <c r="AC1002" s="215"/>
      <c r="AD1002" s="215"/>
    </row>
    <row r="1003" spans="29:30" x14ac:dyDescent="0.2">
      <c r="AC1003" s="215"/>
      <c r="AD1003" s="215"/>
    </row>
    <row r="1004" spans="29:30" x14ac:dyDescent="0.2">
      <c r="AC1004" s="215"/>
      <c r="AD1004" s="215"/>
    </row>
    <row r="1005" spans="29:30" x14ac:dyDescent="0.2">
      <c r="AC1005" s="215"/>
      <c r="AD1005" s="215"/>
    </row>
    <row r="1006" spans="29:30" x14ac:dyDescent="0.2">
      <c r="AC1006" s="215"/>
      <c r="AD1006" s="215"/>
    </row>
    <row r="1007" spans="29:30" x14ac:dyDescent="0.2">
      <c r="AC1007" s="215"/>
      <c r="AD1007" s="215"/>
    </row>
    <row r="1008" spans="29:30" x14ac:dyDescent="0.2">
      <c r="AC1008" s="215"/>
      <c r="AD1008" s="215"/>
    </row>
    <row r="1009" spans="29:30" x14ac:dyDescent="0.2">
      <c r="AC1009" s="215"/>
      <c r="AD1009" s="215"/>
    </row>
    <row r="1010" spans="29:30" x14ac:dyDescent="0.2">
      <c r="AC1010" s="215"/>
      <c r="AD1010" s="215"/>
    </row>
    <row r="1011" spans="29:30" x14ac:dyDescent="0.2">
      <c r="AC1011" s="215"/>
      <c r="AD1011" s="215"/>
    </row>
    <row r="1012" spans="29:30" x14ac:dyDescent="0.2">
      <c r="AC1012" s="215"/>
      <c r="AD1012" s="215"/>
    </row>
    <row r="1013" spans="29:30" x14ac:dyDescent="0.2">
      <c r="AC1013" s="215"/>
      <c r="AD1013" s="215"/>
    </row>
    <row r="1014" spans="29:30" x14ac:dyDescent="0.2">
      <c r="AC1014" s="215"/>
      <c r="AD1014" s="215"/>
    </row>
    <row r="1015" spans="29:30" x14ac:dyDescent="0.2">
      <c r="AC1015" s="215"/>
      <c r="AD1015" s="215"/>
    </row>
    <row r="1016" spans="29:30" x14ac:dyDescent="0.2">
      <c r="AC1016" s="215"/>
      <c r="AD1016" s="215"/>
    </row>
    <row r="1017" spans="29:30" x14ac:dyDescent="0.2">
      <c r="AC1017" s="215"/>
      <c r="AD1017" s="215"/>
    </row>
    <row r="1018" spans="29:30" x14ac:dyDescent="0.2">
      <c r="AC1018" s="215"/>
      <c r="AD1018" s="215"/>
    </row>
    <row r="1019" spans="29:30" x14ac:dyDescent="0.2">
      <c r="AC1019" s="215"/>
      <c r="AD1019" s="215"/>
    </row>
    <row r="1020" spans="29:30" x14ac:dyDescent="0.2">
      <c r="AC1020" s="215"/>
      <c r="AD1020" s="215"/>
    </row>
    <row r="1021" spans="29:30" x14ac:dyDescent="0.2">
      <c r="AC1021" s="215"/>
      <c r="AD1021" s="215"/>
    </row>
    <row r="1022" spans="29:30" x14ac:dyDescent="0.2">
      <c r="AC1022" s="215"/>
      <c r="AD1022" s="215"/>
    </row>
    <row r="1023" spans="29:30" x14ac:dyDescent="0.2">
      <c r="AC1023" s="215"/>
      <c r="AD1023" s="215"/>
    </row>
    <row r="1024" spans="29:30" x14ac:dyDescent="0.2">
      <c r="AC1024" s="215"/>
      <c r="AD1024" s="215"/>
    </row>
    <row r="1025" spans="29:30" x14ac:dyDescent="0.2">
      <c r="AC1025" s="215"/>
      <c r="AD1025" s="215"/>
    </row>
    <row r="1026" spans="29:30" x14ac:dyDescent="0.2">
      <c r="AC1026" s="215"/>
      <c r="AD1026" s="215"/>
    </row>
    <row r="1027" spans="29:30" x14ac:dyDescent="0.2">
      <c r="AC1027" s="215"/>
      <c r="AD1027" s="215"/>
    </row>
    <row r="1028" spans="29:30" x14ac:dyDescent="0.2">
      <c r="AC1028" s="215"/>
      <c r="AD1028" s="215"/>
    </row>
    <row r="1029" spans="29:30" x14ac:dyDescent="0.2">
      <c r="AC1029" s="215"/>
      <c r="AD1029" s="215"/>
    </row>
    <row r="1030" spans="29:30" x14ac:dyDescent="0.2">
      <c r="AC1030" s="215"/>
      <c r="AD1030" s="215"/>
    </row>
    <row r="1031" spans="29:30" x14ac:dyDescent="0.2">
      <c r="AC1031" s="215"/>
      <c r="AD1031" s="215"/>
    </row>
    <row r="1032" spans="29:30" x14ac:dyDescent="0.2">
      <c r="AC1032" s="215"/>
      <c r="AD1032" s="215"/>
    </row>
    <row r="1033" spans="29:30" x14ac:dyDescent="0.2">
      <c r="AC1033" s="215"/>
      <c r="AD1033" s="215"/>
    </row>
    <row r="1034" spans="29:30" x14ac:dyDescent="0.2">
      <c r="AC1034" s="215"/>
      <c r="AD1034" s="215"/>
    </row>
    <row r="1035" spans="29:30" x14ac:dyDescent="0.2">
      <c r="AC1035" s="215"/>
      <c r="AD1035" s="215"/>
    </row>
    <row r="1036" spans="29:30" x14ac:dyDescent="0.2">
      <c r="AC1036" s="215"/>
      <c r="AD1036" s="215"/>
    </row>
    <row r="1037" spans="29:30" x14ac:dyDescent="0.2">
      <c r="AC1037" s="215"/>
      <c r="AD1037" s="215"/>
    </row>
    <row r="1038" spans="29:30" x14ac:dyDescent="0.2">
      <c r="AC1038" s="215"/>
      <c r="AD1038" s="215"/>
    </row>
    <row r="1039" spans="29:30" x14ac:dyDescent="0.2">
      <c r="AC1039" s="215"/>
      <c r="AD1039" s="215"/>
    </row>
    <row r="1040" spans="29:30" x14ac:dyDescent="0.2">
      <c r="AC1040" s="215"/>
      <c r="AD1040" s="215"/>
    </row>
    <row r="1041" spans="29:30" x14ac:dyDescent="0.2">
      <c r="AC1041" s="215"/>
      <c r="AD1041" s="215"/>
    </row>
    <row r="1042" spans="29:30" x14ac:dyDescent="0.2">
      <c r="AC1042" s="215"/>
      <c r="AD1042" s="215"/>
    </row>
    <row r="1043" spans="29:30" x14ac:dyDescent="0.2">
      <c r="AC1043" s="215"/>
      <c r="AD1043" s="215"/>
    </row>
    <row r="1044" spans="29:30" x14ac:dyDescent="0.2">
      <c r="AC1044" s="215"/>
      <c r="AD1044" s="215"/>
    </row>
    <row r="1045" spans="29:30" x14ac:dyDescent="0.2">
      <c r="AC1045" s="215"/>
      <c r="AD1045" s="215"/>
    </row>
    <row r="1046" spans="29:30" x14ac:dyDescent="0.2">
      <c r="AC1046" s="215"/>
      <c r="AD1046" s="215"/>
    </row>
    <row r="1047" spans="29:30" x14ac:dyDescent="0.2">
      <c r="AC1047" s="215"/>
      <c r="AD1047" s="215"/>
    </row>
    <row r="1048" spans="29:30" x14ac:dyDescent="0.2">
      <c r="AC1048" s="215"/>
      <c r="AD1048" s="215"/>
    </row>
    <row r="1049" spans="29:30" x14ac:dyDescent="0.2">
      <c r="AC1049" s="215"/>
      <c r="AD1049" s="215"/>
    </row>
    <row r="1050" spans="29:30" x14ac:dyDescent="0.2">
      <c r="AC1050" s="215"/>
      <c r="AD1050" s="215"/>
    </row>
    <row r="1051" spans="29:30" x14ac:dyDescent="0.2">
      <c r="AC1051" s="215"/>
      <c r="AD1051" s="215"/>
    </row>
    <row r="1052" spans="29:30" x14ac:dyDescent="0.2">
      <c r="AC1052" s="215"/>
      <c r="AD1052" s="215"/>
    </row>
    <row r="1053" spans="29:30" x14ac:dyDescent="0.2">
      <c r="AC1053" s="215"/>
      <c r="AD1053" s="215"/>
    </row>
    <row r="1054" spans="29:30" x14ac:dyDescent="0.2">
      <c r="AC1054" s="215"/>
      <c r="AD1054" s="215"/>
    </row>
    <row r="1055" spans="29:30" x14ac:dyDescent="0.2">
      <c r="AC1055" s="215"/>
      <c r="AD1055" s="215"/>
    </row>
    <row r="1056" spans="29:30" x14ac:dyDescent="0.2">
      <c r="AC1056" s="215"/>
      <c r="AD1056" s="215"/>
    </row>
    <row r="1057" spans="29:30" x14ac:dyDescent="0.2">
      <c r="AC1057" s="215"/>
      <c r="AD1057" s="215"/>
    </row>
    <row r="1058" spans="29:30" x14ac:dyDescent="0.2">
      <c r="AC1058" s="215"/>
      <c r="AD1058" s="215"/>
    </row>
    <row r="1059" spans="29:30" x14ac:dyDescent="0.2">
      <c r="AC1059" s="215"/>
      <c r="AD1059" s="215"/>
    </row>
    <row r="1060" spans="29:30" x14ac:dyDescent="0.2">
      <c r="AC1060" s="215"/>
      <c r="AD1060" s="215"/>
    </row>
    <row r="1061" spans="29:30" x14ac:dyDescent="0.2">
      <c r="AC1061" s="215"/>
      <c r="AD1061" s="215"/>
    </row>
    <row r="1062" spans="29:30" x14ac:dyDescent="0.2">
      <c r="AC1062" s="215"/>
      <c r="AD1062" s="215"/>
    </row>
    <row r="1063" spans="29:30" x14ac:dyDescent="0.2">
      <c r="AC1063" s="215"/>
      <c r="AD1063" s="215"/>
    </row>
    <row r="1064" spans="29:30" x14ac:dyDescent="0.2">
      <c r="AC1064" s="215"/>
      <c r="AD1064" s="215"/>
    </row>
    <row r="1065" spans="29:30" x14ac:dyDescent="0.2">
      <c r="AC1065" s="215"/>
      <c r="AD1065" s="215"/>
    </row>
    <row r="1066" spans="29:30" x14ac:dyDescent="0.2">
      <c r="AC1066" s="215"/>
      <c r="AD1066" s="215"/>
    </row>
    <row r="1067" spans="29:30" x14ac:dyDescent="0.2">
      <c r="AC1067" s="215"/>
      <c r="AD1067" s="215"/>
    </row>
    <row r="1068" spans="29:30" x14ac:dyDescent="0.2">
      <c r="AC1068" s="215"/>
      <c r="AD1068" s="215"/>
    </row>
    <row r="1069" spans="29:30" x14ac:dyDescent="0.2">
      <c r="AC1069" s="215"/>
      <c r="AD1069" s="215"/>
    </row>
    <row r="1070" spans="29:30" x14ac:dyDescent="0.2">
      <c r="AC1070" s="215"/>
      <c r="AD1070" s="215"/>
    </row>
    <row r="1071" spans="29:30" x14ac:dyDescent="0.2">
      <c r="AC1071" s="215"/>
      <c r="AD1071" s="215"/>
    </row>
    <row r="1072" spans="29:30" x14ac:dyDescent="0.2">
      <c r="AC1072" s="215"/>
      <c r="AD1072" s="215"/>
    </row>
    <row r="1073" spans="29:30" x14ac:dyDescent="0.2">
      <c r="AC1073" s="215"/>
      <c r="AD1073" s="215"/>
    </row>
    <row r="1074" spans="29:30" x14ac:dyDescent="0.2">
      <c r="AC1074" s="215"/>
      <c r="AD1074" s="215"/>
    </row>
    <row r="1075" spans="29:30" x14ac:dyDescent="0.2">
      <c r="AC1075" s="215"/>
      <c r="AD1075" s="215"/>
    </row>
    <row r="1076" spans="29:30" x14ac:dyDescent="0.2">
      <c r="AC1076" s="215"/>
      <c r="AD1076" s="215"/>
    </row>
    <row r="1077" spans="29:30" x14ac:dyDescent="0.2">
      <c r="AC1077" s="215"/>
      <c r="AD1077" s="215"/>
    </row>
    <row r="1078" spans="29:30" x14ac:dyDescent="0.2">
      <c r="AC1078" s="215"/>
      <c r="AD1078" s="215"/>
    </row>
    <row r="1079" spans="29:30" x14ac:dyDescent="0.2">
      <c r="AC1079" s="215"/>
      <c r="AD1079" s="215"/>
    </row>
    <row r="1080" spans="29:30" x14ac:dyDescent="0.2">
      <c r="AC1080" s="215"/>
      <c r="AD1080" s="215"/>
    </row>
    <row r="1081" spans="29:30" x14ac:dyDescent="0.2">
      <c r="AC1081" s="215"/>
      <c r="AD1081" s="215"/>
    </row>
    <row r="1082" spans="29:30" x14ac:dyDescent="0.2">
      <c r="AC1082" s="215"/>
      <c r="AD1082" s="215"/>
    </row>
    <row r="1083" spans="29:30" x14ac:dyDescent="0.2">
      <c r="AC1083" s="215"/>
      <c r="AD1083" s="215"/>
    </row>
    <row r="1084" spans="29:30" x14ac:dyDescent="0.2">
      <c r="AC1084" s="215"/>
      <c r="AD1084" s="215"/>
    </row>
    <row r="1085" spans="29:30" x14ac:dyDescent="0.2">
      <c r="AC1085" s="215"/>
      <c r="AD1085" s="215"/>
    </row>
    <row r="1086" spans="29:30" x14ac:dyDescent="0.2">
      <c r="AC1086" s="215"/>
      <c r="AD1086" s="215"/>
    </row>
    <row r="1087" spans="29:30" x14ac:dyDescent="0.2">
      <c r="AC1087" s="215"/>
      <c r="AD1087" s="215"/>
    </row>
    <row r="1088" spans="29:30" x14ac:dyDescent="0.2">
      <c r="AC1088" s="215"/>
      <c r="AD1088" s="215"/>
    </row>
    <row r="1089" spans="29:30" x14ac:dyDescent="0.2">
      <c r="AC1089" s="215"/>
      <c r="AD1089" s="215"/>
    </row>
    <row r="1090" spans="29:30" x14ac:dyDescent="0.2">
      <c r="AC1090" s="215"/>
      <c r="AD1090" s="215"/>
    </row>
    <row r="1091" spans="29:30" x14ac:dyDescent="0.2">
      <c r="AC1091" s="215"/>
      <c r="AD1091" s="215"/>
    </row>
    <row r="1092" spans="29:30" x14ac:dyDescent="0.2">
      <c r="AC1092" s="215"/>
      <c r="AD1092" s="215"/>
    </row>
    <row r="1093" spans="29:30" x14ac:dyDescent="0.2">
      <c r="AC1093" s="215"/>
      <c r="AD1093" s="215"/>
    </row>
    <row r="1094" spans="29:30" x14ac:dyDescent="0.2">
      <c r="AC1094" s="215"/>
      <c r="AD1094" s="215"/>
    </row>
    <row r="1095" spans="29:30" x14ac:dyDescent="0.2">
      <c r="AC1095" s="215"/>
      <c r="AD1095" s="215"/>
    </row>
    <row r="1096" spans="29:30" x14ac:dyDescent="0.2">
      <c r="AC1096" s="215"/>
      <c r="AD1096" s="215"/>
    </row>
    <row r="1097" spans="29:30" x14ac:dyDescent="0.2">
      <c r="AC1097" s="215"/>
      <c r="AD1097" s="215"/>
    </row>
    <row r="1098" spans="29:30" x14ac:dyDescent="0.2">
      <c r="AC1098" s="215"/>
      <c r="AD1098" s="215"/>
    </row>
    <row r="1099" spans="29:30" x14ac:dyDescent="0.2">
      <c r="AC1099" s="215"/>
      <c r="AD1099" s="215"/>
    </row>
    <row r="1100" spans="29:30" x14ac:dyDescent="0.2">
      <c r="AC1100" s="215"/>
      <c r="AD1100" s="215"/>
    </row>
    <row r="1101" spans="29:30" x14ac:dyDescent="0.2">
      <c r="AC1101" s="215"/>
      <c r="AD1101" s="215"/>
    </row>
    <row r="1102" spans="29:30" x14ac:dyDescent="0.2">
      <c r="AC1102" s="215"/>
      <c r="AD1102" s="215"/>
    </row>
    <row r="1103" spans="29:30" x14ac:dyDescent="0.2">
      <c r="AC1103" s="215"/>
      <c r="AD1103" s="215"/>
    </row>
    <row r="1104" spans="29:30" x14ac:dyDescent="0.2">
      <c r="AC1104" s="215"/>
      <c r="AD1104" s="215"/>
    </row>
    <row r="1105" spans="29:30" x14ac:dyDescent="0.2">
      <c r="AC1105" s="215"/>
      <c r="AD1105" s="215"/>
    </row>
    <row r="1106" spans="29:30" x14ac:dyDescent="0.2">
      <c r="AC1106" s="215"/>
      <c r="AD1106" s="215"/>
    </row>
    <row r="1107" spans="29:30" x14ac:dyDescent="0.2">
      <c r="AC1107" s="215"/>
      <c r="AD1107" s="215"/>
    </row>
    <row r="1108" spans="29:30" x14ac:dyDescent="0.2">
      <c r="AC1108" s="215"/>
      <c r="AD1108" s="215"/>
    </row>
    <row r="1109" spans="29:30" x14ac:dyDescent="0.2">
      <c r="AC1109" s="215"/>
      <c r="AD1109" s="215"/>
    </row>
    <row r="1110" spans="29:30" x14ac:dyDescent="0.2">
      <c r="AC1110" s="215"/>
      <c r="AD1110" s="215"/>
    </row>
    <row r="1111" spans="29:30" x14ac:dyDescent="0.2">
      <c r="AC1111" s="215"/>
      <c r="AD1111" s="215"/>
    </row>
    <row r="1112" spans="29:30" x14ac:dyDescent="0.2">
      <c r="AC1112" s="215"/>
      <c r="AD1112" s="215"/>
    </row>
    <row r="1113" spans="29:30" x14ac:dyDescent="0.2">
      <c r="AC1113" s="215"/>
      <c r="AD1113" s="215"/>
    </row>
    <row r="1114" spans="29:30" x14ac:dyDescent="0.2">
      <c r="AC1114" s="215"/>
      <c r="AD1114" s="215"/>
    </row>
    <row r="1115" spans="29:30" x14ac:dyDescent="0.2">
      <c r="AC1115" s="215"/>
      <c r="AD1115" s="215"/>
    </row>
    <row r="1116" spans="29:30" x14ac:dyDescent="0.2">
      <c r="AC1116" s="215"/>
      <c r="AD1116" s="215"/>
    </row>
    <row r="1117" spans="29:30" x14ac:dyDescent="0.2">
      <c r="AC1117" s="215"/>
      <c r="AD1117" s="215"/>
    </row>
    <row r="1118" spans="29:30" x14ac:dyDescent="0.2">
      <c r="AC1118" s="215"/>
      <c r="AD1118" s="215"/>
    </row>
    <row r="1119" spans="29:30" x14ac:dyDescent="0.2">
      <c r="AC1119" s="215"/>
      <c r="AD1119" s="215"/>
    </row>
    <row r="1120" spans="29:30" x14ac:dyDescent="0.2">
      <c r="AC1120" s="215"/>
      <c r="AD1120" s="215"/>
    </row>
    <row r="1121" spans="29:30" x14ac:dyDescent="0.2">
      <c r="AC1121" s="215"/>
      <c r="AD1121" s="215"/>
    </row>
    <row r="1122" spans="29:30" x14ac:dyDescent="0.2">
      <c r="AC1122" s="215"/>
      <c r="AD1122" s="215"/>
    </row>
    <row r="1123" spans="29:30" x14ac:dyDescent="0.2">
      <c r="AC1123" s="215"/>
      <c r="AD1123" s="215"/>
    </row>
    <row r="1124" spans="29:30" x14ac:dyDescent="0.2">
      <c r="AC1124" s="215"/>
      <c r="AD1124" s="215"/>
    </row>
    <row r="1125" spans="29:30" x14ac:dyDescent="0.2">
      <c r="AC1125" s="215"/>
      <c r="AD1125" s="215"/>
    </row>
    <row r="1126" spans="29:30" x14ac:dyDescent="0.2">
      <c r="AC1126" s="215"/>
      <c r="AD1126" s="215"/>
    </row>
    <row r="1127" spans="29:30" x14ac:dyDescent="0.2">
      <c r="AC1127" s="215"/>
      <c r="AD1127" s="215"/>
    </row>
    <row r="1128" spans="29:30" x14ac:dyDescent="0.2">
      <c r="AC1128" s="215"/>
      <c r="AD1128" s="215"/>
    </row>
    <row r="1129" spans="29:30" x14ac:dyDescent="0.2">
      <c r="AC1129" s="215"/>
      <c r="AD1129" s="215"/>
    </row>
    <row r="1130" spans="29:30" x14ac:dyDescent="0.2">
      <c r="AC1130" s="215"/>
      <c r="AD1130" s="215"/>
    </row>
    <row r="1131" spans="29:30" x14ac:dyDescent="0.2">
      <c r="AC1131" s="215"/>
      <c r="AD1131" s="215"/>
    </row>
    <row r="1132" spans="29:30" x14ac:dyDescent="0.2">
      <c r="AC1132" s="215"/>
      <c r="AD1132" s="215"/>
    </row>
    <row r="1133" spans="29:30" x14ac:dyDescent="0.2">
      <c r="AC1133" s="215"/>
      <c r="AD1133" s="215"/>
    </row>
    <row r="1134" spans="29:30" x14ac:dyDescent="0.2">
      <c r="AC1134" s="215"/>
      <c r="AD1134" s="215"/>
    </row>
    <row r="1135" spans="29:30" x14ac:dyDescent="0.2">
      <c r="AC1135" s="215"/>
      <c r="AD1135" s="215"/>
    </row>
    <row r="1136" spans="29:30" x14ac:dyDescent="0.2">
      <c r="AC1136" s="215"/>
      <c r="AD1136" s="215"/>
    </row>
    <row r="1137" spans="29:30" x14ac:dyDescent="0.2">
      <c r="AC1137" s="215"/>
      <c r="AD1137" s="215"/>
    </row>
    <row r="1138" spans="29:30" x14ac:dyDescent="0.2">
      <c r="AC1138" s="215"/>
      <c r="AD1138" s="215"/>
    </row>
    <row r="1139" spans="29:30" x14ac:dyDescent="0.2">
      <c r="AC1139" s="215"/>
      <c r="AD1139" s="215"/>
    </row>
    <row r="1140" spans="29:30" x14ac:dyDescent="0.2">
      <c r="AC1140" s="215"/>
      <c r="AD1140" s="215"/>
    </row>
    <row r="1141" spans="29:30" x14ac:dyDescent="0.2">
      <c r="AC1141" s="215"/>
      <c r="AD1141" s="215"/>
    </row>
    <row r="1142" spans="29:30" x14ac:dyDescent="0.2">
      <c r="AC1142" s="215"/>
      <c r="AD1142" s="215"/>
    </row>
    <row r="1143" spans="29:30" x14ac:dyDescent="0.2">
      <c r="AC1143" s="215"/>
      <c r="AD1143" s="215"/>
    </row>
    <row r="1144" spans="29:30" x14ac:dyDescent="0.2">
      <c r="AC1144" s="215"/>
      <c r="AD1144" s="215"/>
    </row>
    <row r="1145" spans="29:30" x14ac:dyDescent="0.2">
      <c r="AC1145" s="215"/>
      <c r="AD1145" s="215"/>
    </row>
    <row r="1146" spans="29:30" x14ac:dyDescent="0.2">
      <c r="AC1146" s="215"/>
      <c r="AD1146" s="215"/>
    </row>
    <row r="1147" spans="29:30" x14ac:dyDescent="0.2">
      <c r="AC1147" s="215"/>
      <c r="AD1147" s="215"/>
    </row>
    <row r="1148" spans="29:30" x14ac:dyDescent="0.2">
      <c r="AC1148" s="215"/>
      <c r="AD1148" s="215"/>
    </row>
    <row r="1149" spans="29:30" x14ac:dyDescent="0.2">
      <c r="AC1149" s="215"/>
      <c r="AD1149" s="215"/>
    </row>
    <row r="1150" spans="29:30" x14ac:dyDescent="0.2">
      <c r="AC1150" s="215"/>
      <c r="AD1150" s="215"/>
    </row>
    <row r="1151" spans="29:30" x14ac:dyDescent="0.2">
      <c r="AC1151" s="215"/>
      <c r="AD1151" s="215"/>
    </row>
    <row r="1152" spans="29:30" x14ac:dyDescent="0.2">
      <c r="AC1152" s="215"/>
      <c r="AD1152" s="215"/>
    </row>
    <row r="1153" spans="29:30" x14ac:dyDescent="0.2">
      <c r="AC1153" s="215"/>
      <c r="AD1153" s="215"/>
    </row>
    <row r="1154" spans="29:30" x14ac:dyDescent="0.2">
      <c r="AC1154" s="215"/>
      <c r="AD1154" s="215"/>
    </row>
    <row r="1155" spans="29:30" x14ac:dyDescent="0.2">
      <c r="AC1155" s="215"/>
      <c r="AD1155" s="215"/>
    </row>
    <row r="1156" spans="29:30" x14ac:dyDescent="0.2">
      <c r="AC1156" s="215"/>
      <c r="AD1156" s="215"/>
    </row>
    <row r="1157" spans="29:30" x14ac:dyDescent="0.2">
      <c r="AC1157" s="215"/>
      <c r="AD1157" s="215"/>
    </row>
    <row r="1158" spans="29:30" x14ac:dyDescent="0.2">
      <c r="AC1158" s="215"/>
      <c r="AD1158" s="215"/>
    </row>
    <row r="1159" spans="29:30" x14ac:dyDescent="0.2">
      <c r="AC1159" s="215"/>
      <c r="AD1159" s="215"/>
    </row>
    <row r="1160" spans="29:30" x14ac:dyDescent="0.2">
      <c r="AC1160" s="215"/>
      <c r="AD1160" s="215"/>
    </row>
    <row r="1161" spans="29:30" x14ac:dyDescent="0.2">
      <c r="AC1161" s="215"/>
      <c r="AD1161" s="215"/>
    </row>
    <row r="1162" spans="29:30" x14ac:dyDescent="0.2">
      <c r="AC1162" s="215"/>
      <c r="AD1162" s="215"/>
    </row>
    <row r="1163" spans="29:30" x14ac:dyDescent="0.2">
      <c r="AC1163" s="215"/>
      <c r="AD1163" s="215"/>
    </row>
    <row r="1164" spans="29:30" x14ac:dyDescent="0.2">
      <c r="AC1164" s="215"/>
      <c r="AD1164" s="215"/>
    </row>
    <row r="1165" spans="29:30" x14ac:dyDescent="0.2">
      <c r="AC1165" s="215"/>
      <c r="AD1165" s="215"/>
    </row>
    <row r="1166" spans="29:30" x14ac:dyDescent="0.2">
      <c r="AC1166" s="215"/>
      <c r="AD1166" s="215"/>
    </row>
    <row r="1167" spans="29:30" x14ac:dyDescent="0.2">
      <c r="AC1167" s="215"/>
      <c r="AD1167" s="215"/>
    </row>
    <row r="1168" spans="29:30" x14ac:dyDescent="0.2">
      <c r="AC1168" s="215"/>
      <c r="AD1168" s="215"/>
    </row>
    <row r="1169" spans="29:30" x14ac:dyDescent="0.2">
      <c r="AC1169" s="215"/>
      <c r="AD1169" s="215"/>
    </row>
    <row r="1170" spans="29:30" x14ac:dyDescent="0.2">
      <c r="AC1170" s="215"/>
      <c r="AD1170" s="215"/>
    </row>
    <row r="1171" spans="29:30" x14ac:dyDescent="0.2">
      <c r="AC1171" s="215"/>
      <c r="AD1171" s="215"/>
    </row>
    <row r="1172" spans="29:30" x14ac:dyDescent="0.2">
      <c r="AC1172" s="215"/>
      <c r="AD1172" s="215"/>
    </row>
    <row r="1173" spans="29:30" x14ac:dyDescent="0.2">
      <c r="AC1173" s="215"/>
      <c r="AD1173" s="215"/>
    </row>
    <row r="1174" spans="29:30" x14ac:dyDescent="0.2">
      <c r="AC1174" s="215"/>
      <c r="AD1174" s="215"/>
    </row>
    <row r="1175" spans="29:30" x14ac:dyDescent="0.2">
      <c r="AC1175" s="215"/>
      <c r="AD1175" s="215"/>
    </row>
    <row r="1176" spans="29:30" x14ac:dyDescent="0.2">
      <c r="AC1176" s="215"/>
      <c r="AD1176" s="215"/>
    </row>
    <row r="1177" spans="29:30" x14ac:dyDescent="0.2">
      <c r="AC1177" s="215"/>
      <c r="AD1177" s="215"/>
    </row>
    <row r="1178" spans="29:30" x14ac:dyDescent="0.2">
      <c r="AC1178" s="215"/>
      <c r="AD1178" s="215"/>
    </row>
    <row r="1179" spans="29:30" x14ac:dyDescent="0.2">
      <c r="AC1179" s="215"/>
      <c r="AD1179" s="215"/>
    </row>
    <row r="1180" spans="29:30" x14ac:dyDescent="0.2">
      <c r="AC1180" s="215"/>
      <c r="AD1180" s="215"/>
    </row>
    <row r="1181" spans="29:30" x14ac:dyDescent="0.2">
      <c r="AC1181" s="215"/>
      <c r="AD1181" s="215"/>
    </row>
    <row r="1182" spans="29:30" x14ac:dyDescent="0.2">
      <c r="AC1182" s="215"/>
      <c r="AD1182" s="215"/>
    </row>
    <row r="1183" spans="29:30" x14ac:dyDescent="0.2">
      <c r="AC1183" s="215"/>
      <c r="AD1183" s="215"/>
    </row>
    <row r="1184" spans="29:30" x14ac:dyDescent="0.2">
      <c r="AC1184" s="215"/>
      <c r="AD1184" s="215"/>
    </row>
    <row r="1185" spans="29:30" x14ac:dyDescent="0.2">
      <c r="AC1185" s="215"/>
      <c r="AD1185" s="215"/>
    </row>
    <row r="1186" spans="29:30" x14ac:dyDescent="0.2">
      <c r="AC1186" s="215"/>
      <c r="AD1186" s="215"/>
    </row>
    <row r="1187" spans="29:30" x14ac:dyDescent="0.2">
      <c r="AC1187" s="215"/>
      <c r="AD1187" s="215"/>
    </row>
    <row r="1188" spans="29:30" x14ac:dyDescent="0.2">
      <c r="AC1188" s="215"/>
      <c r="AD1188" s="215"/>
    </row>
    <row r="1189" spans="29:30" x14ac:dyDescent="0.2">
      <c r="AC1189" s="215"/>
      <c r="AD1189" s="215"/>
    </row>
    <row r="1190" spans="29:30" x14ac:dyDescent="0.2">
      <c r="AC1190" s="215"/>
      <c r="AD1190" s="215"/>
    </row>
    <row r="1191" spans="29:30" x14ac:dyDescent="0.2">
      <c r="AC1191" s="215"/>
      <c r="AD1191" s="215"/>
    </row>
    <row r="1192" spans="29:30" x14ac:dyDescent="0.2">
      <c r="AC1192" s="215"/>
      <c r="AD1192" s="215"/>
    </row>
    <row r="1193" spans="29:30" x14ac:dyDescent="0.2">
      <c r="AC1193" s="215"/>
      <c r="AD1193" s="215"/>
    </row>
    <row r="1194" spans="29:30" x14ac:dyDescent="0.2">
      <c r="AC1194" s="215"/>
      <c r="AD1194" s="215"/>
    </row>
    <row r="1195" spans="29:30" x14ac:dyDescent="0.2">
      <c r="AC1195" s="215"/>
      <c r="AD1195" s="215"/>
    </row>
    <row r="1196" spans="29:30" x14ac:dyDescent="0.2">
      <c r="AC1196" s="215"/>
      <c r="AD1196" s="215"/>
    </row>
    <row r="1197" spans="29:30" x14ac:dyDescent="0.2">
      <c r="AC1197" s="215"/>
      <c r="AD1197" s="215"/>
    </row>
    <row r="1198" spans="29:30" x14ac:dyDescent="0.2">
      <c r="AC1198" s="215"/>
      <c r="AD1198" s="215"/>
    </row>
    <row r="1199" spans="29:30" x14ac:dyDescent="0.2">
      <c r="AC1199" s="215"/>
      <c r="AD1199" s="215"/>
    </row>
    <row r="1200" spans="29:30" x14ac:dyDescent="0.2">
      <c r="AC1200" s="215"/>
      <c r="AD1200" s="215"/>
    </row>
    <row r="1201" spans="29:30" x14ac:dyDescent="0.2">
      <c r="AC1201" s="215"/>
      <c r="AD1201" s="215"/>
    </row>
    <row r="1202" spans="29:30" x14ac:dyDescent="0.2">
      <c r="AC1202" s="215"/>
      <c r="AD1202" s="215"/>
    </row>
    <row r="1203" spans="29:30" x14ac:dyDescent="0.2">
      <c r="AC1203" s="215"/>
      <c r="AD1203" s="215"/>
    </row>
    <row r="1204" spans="29:30" x14ac:dyDescent="0.2">
      <c r="AC1204" s="215"/>
      <c r="AD1204" s="215"/>
    </row>
    <row r="1205" spans="29:30" x14ac:dyDescent="0.2">
      <c r="AC1205" s="215"/>
      <c r="AD1205" s="215"/>
    </row>
    <row r="1206" spans="29:30" x14ac:dyDescent="0.2">
      <c r="AC1206" s="215"/>
      <c r="AD1206" s="215"/>
    </row>
    <row r="1207" spans="29:30" x14ac:dyDescent="0.2">
      <c r="AC1207" s="215"/>
      <c r="AD1207" s="215"/>
    </row>
    <row r="1208" spans="29:30" x14ac:dyDescent="0.2">
      <c r="AC1208" s="215"/>
      <c r="AD1208" s="215"/>
    </row>
    <row r="1209" spans="29:30" x14ac:dyDescent="0.2">
      <c r="AC1209" s="215"/>
      <c r="AD1209" s="215"/>
    </row>
    <row r="1210" spans="29:30" x14ac:dyDescent="0.2">
      <c r="AC1210" s="215"/>
      <c r="AD1210" s="215"/>
    </row>
    <row r="1211" spans="29:30" x14ac:dyDescent="0.2">
      <c r="AC1211" s="215"/>
      <c r="AD1211" s="215"/>
    </row>
    <row r="1212" spans="29:30" x14ac:dyDescent="0.2">
      <c r="AC1212" s="215"/>
      <c r="AD1212" s="215"/>
    </row>
    <row r="1213" spans="29:30" x14ac:dyDescent="0.2">
      <c r="AC1213" s="215"/>
      <c r="AD1213" s="215"/>
    </row>
    <row r="1214" spans="29:30" x14ac:dyDescent="0.2">
      <c r="AC1214" s="215"/>
      <c r="AD1214" s="215"/>
    </row>
    <row r="1215" spans="29:30" x14ac:dyDescent="0.2">
      <c r="AC1215" s="215"/>
      <c r="AD1215" s="215"/>
    </row>
    <row r="1216" spans="29:30" x14ac:dyDescent="0.2">
      <c r="AC1216" s="215"/>
      <c r="AD1216" s="215"/>
    </row>
    <row r="1217" spans="29:30" x14ac:dyDescent="0.2">
      <c r="AC1217" s="215"/>
      <c r="AD1217" s="215"/>
    </row>
    <row r="1218" spans="29:30" x14ac:dyDescent="0.2">
      <c r="AC1218" s="215"/>
      <c r="AD1218" s="215"/>
    </row>
    <row r="1219" spans="29:30" x14ac:dyDescent="0.2">
      <c r="AC1219" s="215"/>
      <c r="AD1219" s="215"/>
    </row>
    <row r="1220" spans="29:30" x14ac:dyDescent="0.2">
      <c r="AC1220" s="215"/>
      <c r="AD1220" s="215"/>
    </row>
    <row r="1221" spans="29:30" x14ac:dyDescent="0.2">
      <c r="AC1221" s="215"/>
      <c r="AD1221" s="215"/>
    </row>
    <row r="1222" spans="29:30" x14ac:dyDescent="0.2">
      <c r="AC1222" s="215"/>
      <c r="AD1222" s="215"/>
    </row>
    <row r="1223" spans="29:30" x14ac:dyDescent="0.2">
      <c r="AC1223" s="215"/>
      <c r="AD1223" s="215"/>
    </row>
    <row r="1224" spans="29:30" x14ac:dyDescent="0.2">
      <c r="AC1224" s="215"/>
      <c r="AD1224" s="215"/>
    </row>
    <row r="1225" spans="29:30" x14ac:dyDescent="0.2">
      <c r="AC1225" s="215"/>
      <c r="AD1225" s="215"/>
    </row>
    <row r="1226" spans="29:30" x14ac:dyDescent="0.2">
      <c r="AC1226" s="215"/>
      <c r="AD1226" s="215"/>
    </row>
    <row r="1227" spans="29:30" x14ac:dyDescent="0.2">
      <c r="AC1227" s="215"/>
      <c r="AD1227" s="215"/>
    </row>
    <row r="1228" spans="29:30" x14ac:dyDescent="0.2">
      <c r="AC1228" s="215"/>
      <c r="AD1228" s="215"/>
    </row>
    <row r="1229" spans="29:30" x14ac:dyDescent="0.2">
      <c r="AC1229" s="215"/>
      <c r="AD1229" s="215"/>
    </row>
    <row r="1230" spans="29:30" x14ac:dyDescent="0.2">
      <c r="AC1230" s="215"/>
      <c r="AD1230" s="215"/>
    </row>
    <row r="1231" spans="29:30" x14ac:dyDescent="0.2">
      <c r="AC1231" s="215"/>
      <c r="AD1231" s="215"/>
    </row>
    <row r="1232" spans="29:30" x14ac:dyDescent="0.2">
      <c r="AC1232" s="215"/>
      <c r="AD1232" s="215"/>
    </row>
    <row r="1233" spans="29:30" x14ac:dyDescent="0.2">
      <c r="AC1233" s="215"/>
      <c r="AD1233" s="215"/>
    </row>
    <row r="1234" spans="29:30" x14ac:dyDescent="0.2">
      <c r="AC1234" s="215"/>
      <c r="AD1234" s="215"/>
    </row>
    <row r="1235" spans="29:30" x14ac:dyDescent="0.2">
      <c r="AC1235" s="215"/>
      <c r="AD1235" s="215"/>
    </row>
    <row r="1236" spans="29:30" x14ac:dyDescent="0.2">
      <c r="AC1236" s="215"/>
      <c r="AD1236" s="215"/>
    </row>
    <row r="1237" spans="29:30" x14ac:dyDescent="0.2">
      <c r="AC1237" s="215"/>
      <c r="AD1237" s="215"/>
    </row>
    <row r="1238" spans="29:30" x14ac:dyDescent="0.2">
      <c r="AC1238" s="215"/>
      <c r="AD1238" s="215"/>
    </row>
    <row r="1239" spans="29:30" x14ac:dyDescent="0.2">
      <c r="AC1239" s="215"/>
      <c r="AD1239" s="215"/>
    </row>
    <row r="1240" spans="29:30" x14ac:dyDescent="0.2">
      <c r="AC1240" s="215"/>
      <c r="AD1240" s="215"/>
    </row>
    <row r="1241" spans="29:30" x14ac:dyDescent="0.2">
      <c r="AC1241" s="215"/>
      <c r="AD1241" s="215"/>
    </row>
    <row r="1242" spans="29:30" x14ac:dyDescent="0.2">
      <c r="AC1242" s="215"/>
      <c r="AD1242" s="215"/>
    </row>
    <row r="1243" spans="29:30" x14ac:dyDescent="0.2">
      <c r="AC1243" s="215"/>
      <c r="AD1243" s="215"/>
    </row>
    <row r="1244" spans="29:30" x14ac:dyDescent="0.2">
      <c r="AC1244" s="215"/>
      <c r="AD1244" s="215"/>
    </row>
    <row r="1245" spans="29:30" x14ac:dyDescent="0.2">
      <c r="AC1245" s="215"/>
      <c r="AD1245" s="215"/>
    </row>
    <row r="1246" spans="29:30" x14ac:dyDescent="0.2">
      <c r="AC1246" s="215"/>
      <c r="AD1246" s="215"/>
    </row>
    <row r="1247" spans="29:30" x14ac:dyDescent="0.2">
      <c r="AC1247" s="215"/>
      <c r="AD1247" s="215"/>
    </row>
    <row r="1248" spans="29:30" x14ac:dyDescent="0.2">
      <c r="AC1248" s="215"/>
      <c r="AD1248" s="215"/>
    </row>
    <row r="1249" spans="29:30" x14ac:dyDescent="0.2">
      <c r="AC1249" s="215"/>
      <c r="AD1249" s="215"/>
    </row>
    <row r="1250" spans="29:30" x14ac:dyDescent="0.2">
      <c r="AC1250" s="215"/>
      <c r="AD1250" s="215"/>
    </row>
    <row r="1251" spans="29:30" x14ac:dyDescent="0.2">
      <c r="AC1251" s="215"/>
      <c r="AD1251" s="215"/>
    </row>
    <row r="1252" spans="29:30" x14ac:dyDescent="0.2">
      <c r="AC1252" s="215"/>
      <c r="AD1252" s="215"/>
    </row>
    <row r="1253" spans="29:30" x14ac:dyDescent="0.2">
      <c r="AC1253" s="215"/>
      <c r="AD1253" s="215"/>
    </row>
    <row r="1254" spans="29:30" x14ac:dyDescent="0.2">
      <c r="AC1254" s="215"/>
      <c r="AD1254" s="215"/>
    </row>
    <row r="1255" spans="29:30" x14ac:dyDescent="0.2">
      <c r="AC1255" s="215"/>
      <c r="AD1255" s="215"/>
    </row>
    <row r="1256" spans="29:30" x14ac:dyDescent="0.2">
      <c r="AC1256" s="215"/>
      <c r="AD1256" s="215"/>
    </row>
    <row r="1257" spans="29:30" x14ac:dyDescent="0.2">
      <c r="AC1257" s="215"/>
      <c r="AD1257" s="215"/>
    </row>
    <row r="1258" spans="29:30" x14ac:dyDescent="0.2">
      <c r="AC1258" s="215"/>
      <c r="AD1258" s="215"/>
    </row>
    <row r="1259" spans="29:30" x14ac:dyDescent="0.2">
      <c r="AC1259" s="215"/>
      <c r="AD1259" s="215"/>
    </row>
    <row r="1260" spans="29:30" x14ac:dyDescent="0.2">
      <c r="AC1260" s="215"/>
      <c r="AD1260" s="215"/>
    </row>
    <row r="1261" spans="29:30" x14ac:dyDescent="0.2">
      <c r="AC1261" s="215"/>
      <c r="AD1261" s="215"/>
    </row>
    <row r="1262" spans="29:30" x14ac:dyDescent="0.2">
      <c r="AC1262" s="215"/>
      <c r="AD1262" s="215"/>
    </row>
    <row r="1263" spans="29:30" x14ac:dyDescent="0.2">
      <c r="AC1263" s="215"/>
      <c r="AD1263" s="215"/>
    </row>
    <row r="1264" spans="29:30" x14ac:dyDescent="0.2">
      <c r="AC1264" s="215"/>
      <c r="AD1264" s="215"/>
    </row>
    <row r="1265" spans="29:30" x14ac:dyDescent="0.2">
      <c r="AC1265" s="215"/>
      <c r="AD1265" s="215"/>
    </row>
    <row r="1266" spans="29:30" x14ac:dyDescent="0.2">
      <c r="AC1266" s="215"/>
      <c r="AD1266" s="215"/>
    </row>
    <row r="1267" spans="29:30" x14ac:dyDescent="0.2">
      <c r="AC1267" s="215"/>
      <c r="AD1267" s="215"/>
    </row>
    <row r="1268" spans="29:30" x14ac:dyDescent="0.2">
      <c r="AC1268" s="215"/>
      <c r="AD1268" s="215"/>
    </row>
    <row r="1269" spans="29:30" x14ac:dyDescent="0.2">
      <c r="AC1269" s="215"/>
      <c r="AD1269" s="215"/>
    </row>
    <row r="1270" spans="29:30" x14ac:dyDescent="0.2">
      <c r="AC1270" s="215"/>
      <c r="AD1270" s="215"/>
    </row>
    <row r="1271" spans="29:30" x14ac:dyDescent="0.2">
      <c r="AC1271" s="215"/>
      <c r="AD1271" s="215"/>
    </row>
    <row r="1272" spans="29:30" x14ac:dyDescent="0.2">
      <c r="AC1272" s="215"/>
      <c r="AD1272" s="215"/>
    </row>
    <row r="1273" spans="29:30" x14ac:dyDescent="0.2">
      <c r="AC1273" s="215"/>
      <c r="AD1273" s="215"/>
    </row>
    <row r="1274" spans="29:30" x14ac:dyDescent="0.2">
      <c r="AC1274" s="215"/>
      <c r="AD1274" s="215"/>
    </row>
    <row r="1275" spans="29:30" x14ac:dyDescent="0.2">
      <c r="AC1275" s="215"/>
      <c r="AD1275" s="215"/>
    </row>
    <row r="1276" spans="29:30" x14ac:dyDescent="0.2">
      <c r="AC1276" s="215"/>
      <c r="AD1276" s="215"/>
    </row>
    <row r="1277" spans="29:30" x14ac:dyDescent="0.2">
      <c r="AC1277" s="215"/>
      <c r="AD1277" s="215"/>
    </row>
    <row r="1278" spans="29:30" x14ac:dyDescent="0.2">
      <c r="AC1278" s="215"/>
      <c r="AD1278" s="215"/>
    </row>
    <row r="1279" spans="29:30" x14ac:dyDescent="0.2">
      <c r="AC1279" s="215"/>
      <c r="AD1279" s="215"/>
    </row>
    <row r="1280" spans="29:30" x14ac:dyDescent="0.2">
      <c r="AC1280" s="215"/>
      <c r="AD1280" s="215"/>
    </row>
    <row r="1281" spans="29:30" x14ac:dyDescent="0.2">
      <c r="AC1281" s="215"/>
      <c r="AD1281" s="215"/>
    </row>
    <row r="1282" spans="29:30" x14ac:dyDescent="0.2">
      <c r="AC1282" s="215"/>
      <c r="AD1282" s="215"/>
    </row>
    <row r="1283" spans="29:30" x14ac:dyDescent="0.2">
      <c r="AC1283" s="215"/>
      <c r="AD1283" s="215"/>
    </row>
    <row r="1284" spans="29:30" x14ac:dyDescent="0.2">
      <c r="AC1284" s="215"/>
      <c r="AD1284" s="215"/>
    </row>
    <row r="1285" spans="29:30" x14ac:dyDescent="0.2">
      <c r="AC1285" s="215"/>
      <c r="AD1285" s="215"/>
    </row>
    <row r="1286" spans="29:30" x14ac:dyDescent="0.2">
      <c r="AC1286" s="215"/>
      <c r="AD1286" s="215"/>
    </row>
    <row r="1287" spans="29:30" x14ac:dyDescent="0.2">
      <c r="AC1287" s="215"/>
      <c r="AD1287" s="215"/>
    </row>
    <row r="1288" spans="29:30" x14ac:dyDescent="0.2">
      <c r="AC1288" s="215"/>
      <c r="AD1288" s="215"/>
    </row>
    <row r="1289" spans="29:30" x14ac:dyDescent="0.2">
      <c r="AC1289" s="215"/>
      <c r="AD1289" s="215"/>
    </row>
    <row r="1290" spans="29:30" x14ac:dyDescent="0.2">
      <c r="AC1290" s="215"/>
      <c r="AD1290" s="215"/>
    </row>
    <row r="1291" spans="29:30" x14ac:dyDescent="0.2">
      <c r="AC1291" s="215"/>
      <c r="AD1291" s="215"/>
    </row>
    <row r="1292" spans="29:30" x14ac:dyDescent="0.2">
      <c r="AC1292" s="215"/>
      <c r="AD1292" s="215"/>
    </row>
    <row r="1293" spans="29:30" x14ac:dyDescent="0.2">
      <c r="AC1293" s="215"/>
      <c r="AD1293" s="215"/>
    </row>
    <row r="1294" spans="29:30" x14ac:dyDescent="0.2">
      <c r="AC1294" s="215"/>
      <c r="AD1294" s="215"/>
    </row>
    <row r="1295" spans="29:30" x14ac:dyDescent="0.2">
      <c r="AC1295" s="215"/>
      <c r="AD1295" s="215"/>
    </row>
    <row r="1296" spans="29:30" x14ac:dyDescent="0.2">
      <c r="AC1296" s="215"/>
      <c r="AD1296" s="215"/>
    </row>
    <row r="1297" spans="29:30" x14ac:dyDescent="0.2">
      <c r="AC1297" s="215"/>
      <c r="AD1297" s="215"/>
    </row>
    <row r="1298" spans="29:30" x14ac:dyDescent="0.2">
      <c r="AC1298" s="215"/>
      <c r="AD1298" s="215"/>
    </row>
    <row r="1299" spans="29:30" x14ac:dyDescent="0.2">
      <c r="AC1299" s="215"/>
      <c r="AD1299" s="215"/>
    </row>
    <row r="1300" spans="29:30" x14ac:dyDescent="0.2">
      <c r="AC1300" s="215"/>
      <c r="AD1300" s="215"/>
    </row>
    <row r="1301" spans="29:30" x14ac:dyDescent="0.2">
      <c r="AC1301" s="215"/>
      <c r="AD1301" s="215"/>
    </row>
    <row r="1302" spans="29:30" x14ac:dyDescent="0.2">
      <c r="AC1302" s="215"/>
      <c r="AD1302" s="215"/>
    </row>
    <row r="1303" spans="29:30" x14ac:dyDescent="0.2">
      <c r="AC1303" s="215"/>
      <c r="AD1303" s="215"/>
    </row>
    <row r="1304" spans="29:30" x14ac:dyDescent="0.2">
      <c r="AC1304" s="215"/>
      <c r="AD1304" s="215"/>
    </row>
    <row r="1305" spans="29:30" x14ac:dyDescent="0.2">
      <c r="AC1305" s="215"/>
      <c r="AD1305" s="215"/>
    </row>
    <row r="1306" spans="29:30" x14ac:dyDescent="0.2">
      <c r="AC1306" s="215"/>
      <c r="AD1306" s="215"/>
    </row>
    <row r="1307" spans="29:30" x14ac:dyDescent="0.2">
      <c r="AC1307" s="215"/>
      <c r="AD1307" s="215"/>
    </row>
    <row r="1308" spans="29:30" x14ac:dyDescent="0.2">
      <c r="AC1308" s="215"/>
      <c r="AD1308" s="215"/>
    </row>
    <row r="1309" spans="29:30" x14ac:dyDescent="0.2">
      <c r="AC1309" s="215"/>
      <c r="AD1309" s="215"/>
    </row>
    <row r="1310" spans="29:30" x14ac:dyDescent="0.2">
      <c r="AC1310" s="215"/>
      <c r="AD1310" s="215"/>
    </row>
    <row r="1311" spans="29:30" x14ac:dyDescent="0.2">
      <c r="AC1311" s="215"/>
      <c r="AD1311" s="215"/>
    </row>
    <row r="1312" spans="29:30" x14ac:dyDescent="0.2">
      <c r="AC1312" s="215"/>
      <c r="AD1312" s="215"/>
    </row>
    <row r="1313" spans="29:30" x14ac:dyDescent="0.2">
      <c r="AC1313" s="215"/>
      <c r="AD1313" s="215"/>
    </row>
    <row r="1314" spans="29:30" x14ac:dyDescent="0.2">
      <c r="AC1314" s="215"/>
      <c r="AD1314" s="215"/>
    </row>
    <row r="1315" spans="29:30" x14ac:dyDescent="0.2">
      <c r="AC1315" s="215"/>
      <c r="AD1315" s="215"/>
    </row>
    <row r="1316" spans="29:30" x14ac:dyDescent="0.2">
      <c r="AC1316" s="215"/>
      <c r="AD1316" s="215"/>
    </row>
    <row r="1317" spans="29:30" x14ac:dyDescent="0.2">
      <c r="AC1317" s="215"/>
      <c r="AD1317" s="215"/>
    </row>
    <row r="1318" spans="29:30" x14ac:dyDescent="0.2">
      <c r="AC1318" s="215"/>
      <c r="AD1318" s="215"/>
    </row>
    <row r="1319" spans="29:30" x14ac:dyDescent="0.2">
      <c r="AC1319" s="215"/>
      <c r="AD1319" s="215"/>
    </row>
    <row r="1320" spans="29:30" x14ac:dyDescent="0.2">
      <c r="AC1320" s="215"/>
      <c r="AD1320" s="215"/>
    </row>
    <row r="1321" spans="29:30" x14ac:dyDescent="0.2">
      <c r="AC1321" s="215"/>
      <c r="AD1321" s="215"/>
    </row>
    <row r="1322" spans="29:30" x14ac:dyDescent="0.2">
      <c r="AC1322" s="215"/>
      <c r="AD1322" s="215"/>
    </row>
    <row r="1323" spans="29:30" x14ac:dyDescent="0.2">
      <c r="AC1323" s="215"/>
      <c r="AD1323" s="215"/>
    </row>
    <row r="1324" spans="29:30" x14ac:dyDescent="0.2">
      <c r="AC1324" s="215"/>
      <c r="AD1324" s="215"/>
    </row>
    <row r="1325" spans="29:30" x14ac:dyDescent="0.2">
      <c r="AC1325" s="215"/>
      <c r="AD1325" s="215"/>
    </row>
    <row r="1326" spans="29:30" x14ac:dyDescent="0.2">
      <c r="AC1326" s="215"/>
      <c r="AD1326" s="215"/>
    </row>
    <row r="1327" spans="29:30" x14ac:dyDescent="0.2">
      <c r="AC1327" s="215"/>
      <c r="AD1327" s="215"/>
    </row>
    <row r="1328" spans="29:30" x14ac:dyDescent="0.2">
      <c r="AC1328" s="215"/>
      <c r="AD1328" s="215"/>
    </row>
    <row r="1329" spans="29:30" x14ac:dyDescent="0.2">
      <c r="AC1329" s="215"/>
      <c r="AD1329" s="215"/>
    </row>
    <row r="1330" spans="29:30" x14ac:dyDescent="0.2">
      <c r="AC1330" s="215"/>
      <c r="AD1330" s="215"/>
    </row>
    <row r="1331" spans="29:30" x14ac:dyDescent="0.2">
      <c r="AC1331" s="215"/>
      <c r="AD1331" s="215"/>
    </row>
    <row r="1332" spans="29:30" x14ac:dyDescent="0.2">
      <c r="AC1332" s="215"/>
      <c r="AD1332" s="215"/>
    </row>
    <row r="1333" spans="29:30" x14ac:dyDescent="0.2">
      <c r="AC1333" s="215"/>
      <c r="AD1333" s="215"/>
    </row>
    <row r="1334" spans="29:30" x14ac:dyDescent="0.2">
      <c r="AC1334" s="215"/>
      <c r="AD1334" s="215"/>
    </row>
    <row r="1335" spans="29:30" x14ac:dyDescent="0.2">
      <c r="AC1335" s="215"/>
      <c r="AD1335" s="215"/>
    </row>
    <row r="1336" spans="29:30" x14ac:dyDescent="0.2">
      <c r="AC1336" s="215"/>
      <c r="AD1336" s="215"/>
    </row>
    <row r="1337" spans="29:30" x14ac:dyDescent="0.2">
      <c r="AC1337" s="215"/>
      <c r="AD1337" s="215"/>
    </row>
    <row r="1338" spans="29:30" x14ac:dyDescent="0.2">
      <c r="AC1338" s="215"/>
      <c r="AD1338" s="215"/>
    </row>
    <row r="1339" spans="29:30" x14ac:dyDescent="0.2">
      <c r="AC1339" s="215"/>
      <c r="AD1339" s="215"/>
    </row>
    <row r="1340" spans="29:30" x14ac:dyDescent="0.2">
      <c r="AC1340" s="215"/>
      <c r="AD1340" s="215"/>
    </row>
    <row r="1341" spans="29:30" x14ac:dyDescent="0.2">
      <c r="AC1341" s="215"/>
      <c r="AD1341" s="215"/>
    </row>
    <row r="1342" spans="29:30" x14ac:dyDescent="0.2">
      <c r="AC1342" s="215"/>
      <c r="AD1342" s="215"/>
    </row>
    <row r="1343" spans="29:30" x14ac:dyDescent="0.2">
      <c r="AC1343" s="215"/>
      <c r="AD1343" s="215"/>
    </row>
    <row r="1344" spans="29:30" x14ac:dyDescent="0.2">
      <c r="AC1344" s="215"/>
      <c r="AD1344" s="215"/>
    </row>
    <row r="1345" spans="29:30" x14ac:dyDescent="0.2">
      <c r="AC1345" s="215"/>
      <c r="AD1345" s="215"/>
    </row>
    <row r="1346" spans="29:30" x14ac:dyDescent="0.2">
      <c r="AC1346" s="215"/>
      <c r="AD1346" s="215"/>
    </row>
    <row r="1347" spans="29:30" x14ac:dyDescent="0.2">
      <c r="AC1347" s="215"/>
      <c r="AD1347" s="215"/>
    </row>
    <row r="1348" spans="29:30" x14ac:dyDescent="0.2">
      <c r="AC1348" s="215"/>
      <c r="AD1348" s="215"/>
    </row>
    <row r="1349" spans="29:30" x14ac:dyDescent="0.2">
      <c r="AC1349" s="215"/>
      <c r="AD1349" s="215"/>
    </row>
    <row r="1350" spans="29:30" x14ac:dyDescent="0.2">
      <c r="AC1350" s="215"/>
      <c r="AD1350" s="215"/>
    </row>
    <row r="1351" spans="29:30" x14ac:dyDescent="0.2">
      <c r="AC1351" s="215"/>
      <c r="AD1351" s="215"/>
    </row>
    <row r="1352" spans="29:30" x14ac:dyDescent="0.2">
      <c r="AC1352" s="215"/>
      <c r="AD1352" s="215"/>
    </row>
    <row r="1353" spans="29:30" x14ac:dyDescent="0.2">
      <c r="AC1353" s="215"/>
      <c r="AD1353" s="215"/>
    </row>
    <row r="1354" spans="29:30" x14ac:dyDescent="0.2">
      <c r="AC1354" s="215"/>
      <c r="AD1354" s="215"/>
    </row>
    <row r="1355" spans="29:30" x14ac:dyDescent="0.2">
      <c r="AC1355" s="215"/>
      <c r="AD1355" s="215"/>
    </row>
    <row r="1356" spans="29:30" x14ac:dyDescent="0.2">
      <c r="AC1356" s="215"/>
      <c r="AD1356" s="215"/>
    </row>
    <row r="1357" spans="29:30" x14ac:dyDescent="0.2">
      <c r="AC1357" s="215"/>
      <c r="AD1357" s="215"/>
    </row>
    <row r="1358" spans="29:30" x14ac:dyDescent="0.2">
      <c r="AC1358" s="215"/>
      <c r="AD1358" s="215"/>
    </row>
    <row r="1359" spans="29:30" x14ac:dyDescent="0.2">
      <c r="AC1359" s="215"/>
      <c r="AD1359" s="215"/>
    </row>
    <row r="1360" spans="29:30" x14ac:dyDescent="0.2">
      <c r="AC1360" s="215"/>
      <c r="AD1360" s="215"/>
    </row>
    <row r="1361" spans="29:30" x14ac:dyDescent="0.2">
      <c r="AC1361" s="215"/>
      <c r="AD1361" s="215"/>
    </row>
    <row r="1362" spans="29:30" x14ac:dyDescent="0.2">
      <c r="AC1362" s="215"/>
      <c r="AD1362" s="215"/>
    </row>
    <row r="1363" spans="29:30" x14ac:dyDescent="0.2">
      <c r="AC1363" s="215"/>
      <c r="AD1363" s="215"/>
    </row>
    <row r="1364" spans="29:30" x14ac:dyDescent="0.2">
      <c r="AC1364" s="215"/>
      <c r="AD1364" s="215"/>
    </row>
    <row r="1365" spans="29:30" x14ac:dyDescent="0.2">
      <c r="AC1365" s="215"/>
      <c r="AD1365" s="215"/>
    </row>
    <row r="1366" spans="29:30" x14ac:dyDescent="0.2">
      <c r="AC1366" s="215"/>
      <c r="AD1366" s="215"/>
    </row>
    <row r="1367" spans="29:30" x14ac:dyDescent="0.2">
      <c r="AC1367" s="215"/>
      <c r="AD1367" s="215"/>
    </row>
    <row r="1368" spans="29:30" x14ac:dyDescent="0.2">
      <c r="AC1368" s="215"/>
      <c r="AD1368" s="215"/>
    </row>
    <row r="1369" spans="29:30" x14ac:dyDescent="0.2">
      <c r="AC1369" s="215"/>
      <c r="AD1369" s="215"/>
    </row>
    <row r="1370" spans="29:30" x14ac:dyDescent="0.2">
      <c r="AC1370" s="215"/>
      <c r="AD1370" s="215"/>
    </row>
    <row r="1371" spans="29:30" x14ac:dyDescent="0.2">
      <c r="AC1371" s="215"/>
      <c r="AD1371" s="215"/>
    </row>
    <row r="1372" spans="29:30" x14ac:dyDescent="0.2">
      <c r="AC1372" s="215"/>
      <c r="AD1372" s="215"/>
    </row>
    <row r="1373" spans="29:30" x14ac:dyDescent="0.2">
      <c r="AC1373" s="215"/>
      <c r="AD1373" s="215"/>
    </row>
    <row r="1374" spans="29:30" x14ac:dyDescent="0.2">
      <c r="AC1374" s="215"/>
      <c r="AD1374" s="215"/>
    </row>
    <row r="1375" spans="29:30" x14ac:dyDescent="0.2">
      <c r="AC1375" s="215"/>
      <c r="AD1375" s="215"/>
    </row>
    <row r="1376" spans="29:30" x14ac:dyDescent="0.2">
      <c r="AC1376" s="215"/>
      <c r="AD1376" s="215"/>
    </row>
    <row r="1377" spans="29:30" x14ac:dyDescent="0.2">
      <c r="AC1377" s="215"/>
      <c r="AD1377" s="215"/>
    </row>
    <row r="1378" spans="29:30" x14ac:dyDescent="0.2">
      <c r="AC1378" s="215"/>
      <c r="AD1378" s="215"/>
    </row>
    <row r="1379" spans="29:30" x14ac:dyDescent="0.2">
      <c r="AC1379" s="215"/>
      <c r="AD1379" s="215"/>
    </row>
    <row r="1380" spans="29:30" x14ac:dyDescent="0.2">
      <c r="AC1380" s="215"/>
      <c r="AD1380" s="215"/>
    </row>
    <row r="1381" spans="29:30" x14ac:dyDescent="0.2">
      <c r="AC1381" s="215"/>
      <c r="AD1381" s="215"/>
    </row>
    <row r="1382" spans="29:30" x14ac:dyDescent="0.2">
      <c r="AC1382" s="215"/>
      <c r="AD1382" s="215"/>
    </row>
    <row r="1383" spans="29:30" x14ac:dyDescent="0.2">
      <c r="AC1383" s="215"/>
      <c r="AD1383" s="215"/>
    </row>
    <row r="1384" spans="29:30" x14ac:dyDescent="0.2">
      <c r="AC1384" s="215"/>
      <c r="AD1384" s="215"/>
    </row>
    <row r="1385" spans="29:30" x14ac:dyDescent="0.2">
      <c r="AC1385" s="215"/>
      <c r="AD1385" s="215"/>
    </row>
    <row r="1386" spans="29:30" x14ac:dyDescent="0.2">
      <c r="AC1386" s="215"/>
      <c r="AD1386" s="215"/>
    </row>
    <row r="1387" spans="29:30" x14ac:dyDescent="0.2">
      <c r="AC1387" s="215"/>
      <c r="AD1387" s="215"/>
    </row>
    <row r="1388" spans="29:30" x14ac:dyDescent="0.2">
      <c r="AC1388" s="215"/>
      <c r="AD1388" s="215"/>
    </row>
    <row r="1389" spans="29:30" x14ac:dyDescent="0.2">
      <c r="AC1389" s="215"/>
      <c r="AD1389" s="215"/>
    </row>
    <row r="1390" spans="29:30" x14ac:dyDescent="0.2">
      <c r="AC1390" s="215"/>
      <c r="AD1390" s="215"/>
    </row>
    <row r="1391" spans="29:30" x14ac:dyDescent="0.2">
      <c r="AC1391" s="215"/>
      <c r="AD1391" s="215"/>
    </row>
    <row r="1392" spans="29:30" x14ac:dyDescent="0.2">
      <c r="AC1392" s="215"/>
      <c r="AD1392" s="215"/>
    </row>
    <row r="1393" spans="29:30" x14ac:dyDescent="0.2">
      <c r="AC1393" s="215"/>
      <c r="AD1393" s="215"/>
    </row>
    <row r="1394" spans="29:30" x14ac:dyDescent="0.2">
      <c r="AC1394" s="215"/>
      <c r="AD1394" s="215"/>
    </row>
    <row r="1395" spans="29:30" x14ac:dyDescent="0.2">
      <c r="AC1395" s="215"/>
      <c r="AD1395" s="215"/>
    </row>
    <row r="1396" spans="29:30" x14ac:dyDescent="0.2">
      <c r="AC1396" s="215"/>
      <c r="AD1396" s="215"/>
    </row>
    <row r="1397" spans="29:30" x14ac:dyDescent="0.2">
      <c r="AC1397" s="215"/>
      <c r="AD1397" s="215"/>
    </row>
    <row r="1398" spans="29:30" x14ac:dyDescent="0.2">
      <c r="AC1398" s="215"/>
      <c r="AD1398" s="215"/>
    </row>
    <row r="1399" spans="29:30" x14ac:dyDescent="0.2">
      <c r="AC1399" s="215"/>
      <c r="AD1399" s="215"/>
    </row>
    <row r="1400" spans="29:30" x14ac:dyDescent="0.2">
      <c r="AC1400" s="215"/>
      <c r="AD1400" s="215"/>
    </row>
    <row r="1401" spans="29:30" x14ac:dyDescent="0.2">
      <c r="AC1401" s="215"/>
      <c r="AD1401" s="215"/>
    </row>
    <row r="1402" spans="29:30" x14ac:dyDescent="0.2">
      <c r="AC1402" s="215"/>
      <c r="AD1402" s="215"/>
    </row>
    <row r="1403" spans="29:30" x14ac:dyDescent="0.2">
      <c r="AC1403" s="215"/>
      <c r="AD1403" s="215"/>
    </row>
    <row r="1404" spans="29:30" x14ac:dyDescent="0.2">
      <c r="AC1404" s="215"/>
      <c r="AD1404" s="215"/>
    </row>
    <row r="1405" spans="29:30" x14ac:dyDescent="0.2">
      <c r="AC1405" s="215"/>
      <c r="AD1405" s="215"/>
    </row>
    <row r="1406" spans="29:30" x14ac:dyDescent="0.2">
      <c r="AC1406" s="215"/>
      <c r="AD1406" s="215"/>
    </row>
    <row r="1407" spans="29:30" x14ac:dyDescent="0.2">
      <c r="AC1407" s="215"/>
      <c r="AD1407" s="215"/>
    </row>
    <row r="1408" spans="29:30" x14ac:dyDescent="0.2">
      <c r="AC1408" s="215"/>
      <c r="AD1408" s="215"/>
    </row>
  </sheetData>
  <mergeCells count="3">
    <mergeCell ref="A1:F1"/>
    <mergeCell ref="H1:O1"/>
    <mergeCell ref="Q1:X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38</vt:i4>
      </vt:variant>
    </vt:vector>
  </HeadingPairs>
  <TitlesOfParts>
    <vt:vector size="45" baseType="lpstr">
      <vt:lpstr>General Settings</vt:lpstr>
      <vt:lpstr>RateHelpers</vt:lpstr>
      <vt:lpstr>Selected</vt:lpstr>
      <vt:lpstr>Deposits</vt:lpstr>
      <vt:lpstr>FRAs</vt:lpstr>
      <vt:lpstr>Swaps</vt:lpstr>
      <vt:lpstr>LCH Analysis</vt:lpstr>
      <vt:lpstr>Accuracy</vt:lpstr>
      <vt:lpstr>BondBasisDayCounter</vt:lpstr>
      <vt:lpstr>Calendar</vt:lpstr>
      <vt:lpstr>Currency</vt:lpstr>
      <vt:lpstr>DayCounter</vt:lpstr>
      <vt:lpstr>DepoInclusionCriteria</vt:lpstr>
      <vt:lpstr>Discounting1</vt:lpstr>
      <vt:lpstr>Discounting2</vt:lpstr>
      <vt:lpstr>FamilyName</vt:lpstr>
      <vt:lpstr>FileOverwrite</vt:lpstr>
      <vt:lpstr>FrontFuturesRollingDays</vt:lpstr>
      <vt:lpstr>IborType</vt:lpstr>
      <vt:lpstr>IndexTenor</vt:lpstr>
      <vt:lpstr>InterpolatorID</vt:lpstr>
      <vt:lpstr>LCHcubic</vt:lpstr>
      <vt:lpstr>LCHlinear</vt:lpstr>
      <vt:lpstr>LCHQuoteSuffix</vt:lpstr>
      <vt:lpstr>MinDistance</vt:lpstr>
      <vt:lpstr>MoneyMarketDayCounter</vt:lpstr>
      <vt:lpstr>Months</vt:lpstr>
      <vt:lpstr>NDays</vt:lpstr>
      <vt:lpstr>nIMMFutures</vt:lpstr>
      <vt:lpstr>nSerialFutures</vt:lpstr>
      <vt:lpstr>ObjectOverwrite</vt:lpstr>
      <vt:lpstr>Permanent</vt:lpstr>
      <vt:lpstr>QuoteSuffix</vt:lpstr>
      <vt:lpstr>RateHelperPrefix</vt:lpstr>
      <vt:lpstr>RateHelpers1</vt:lpstr>
      <vt:lpstr>RateHelpers2</vt:lpstr>
      <vt:lpstr>RateHelpersIncluded</vt:lpstr>
      <vt:lpstr>RateHelpersPriority</vt:lpstr>
      <vt:lpstr>SerializationPath</vt:lpstr>
      <vt:lpstr>Serialize</vt:lpstr>
      <vt:lpstr>SwapFixedFreq</vt:lpstr>
      <vt:lpstr>TraitsID</vt:lpstr>
      <vt:lpstr>Trigger</vt:lpstr>
      <vt:lpstr>YieldCurve1</vt:lpstr>
      <vt:lpstr>YieldCurve2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FONDI STEFANO</cp:lastModifiedBy>
  <dcterms:created xsi:type="dcterms:W3CDTF">2014-01-15T10:55:08Z</dcterms:created>
  <dcterms:modified xsi:type="dcterms:W3CDTF">2015-09-11T17:19:50Z</dcterms:modified>
</cp:coreProperties>
</file>