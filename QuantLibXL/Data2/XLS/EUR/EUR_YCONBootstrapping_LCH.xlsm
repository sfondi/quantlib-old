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215" yWindow="105" windowWidth="19260" windowHeight="11310"/>
  </bookViews>
  <sheets>
    <sheet name="General Settings" sheetId="3" r:id="rId1"/>
    <sheet name="RateHelpers" sheetId="2" r:id="rId2"/>
    <sheet name="Selected" sheetId="4" r:id="rId3"/>
    <sheet name="Deposits" sheetId="7" r:id="rId4"/>
    <sheet name="Swaps" sheetId="6" r:id="rId5"/>
    <sheet name="Swap EONIA 3E" sheetId="12" r:id="rId6"/>
    <sheet name="LCH Analysis" sheetId="11" r:id="rId7"/>
  </sheets>
  <externalReferences>
    <externalReference r:id="rId8"/>
  </externalReferences>
  <definedNames>
    <definedName name="Accuracy">'General Settings'!$D$20</definedName>
    <definedName name="Calendar">'General Settings'!$D$18</definedName>
    <definedName name="Currency">'General Settings'!$D$4</definedName>
    <definedName name="DayCounter">'General Settings'!$D$19</definedName>
    <definedName name="DepoInclusionCriteria">Selected!$B$5</definedName>
    <definedName name="Discounting1">'General Settings'!$J$17</definedName>
    <definedName name="Discounting2">'General Settings'!$J$18</definedName>
    <definedName name="DiscountingSTD">'General Settings'!$J$19</definedName>
    <definedName name="FamilyName">'General Settings'!$J$11</definedName>
    <definedName name="FileOverwrite">'General Settings'!$J$6</definedName>
    <definedName name="FrontFuturesRollingDays">Selected!$B$4</definedName>
    <definedName name="IborType">'General Settings'!$D$7</definedName>
    <definedName name="IndexTenor">'General Settings'!$D$6</definedName>
    <definedName name="InterpolatorID">'General Settings'!$D$22</definedName>
    <definedName name="LCHcubic">'General Settings'!$J$15</definedName>
    <definedName name="LCHlinear">'General Settings'!$J$14</definedName>
    <definedName name="LCHQuoteSuffix">'General Settings'!$J$13</definedName>
    <definedName name="MinDistance">RateHelpers!$F$2:$F$38</definedName>
    <definedName name="MoneyMarketDayCounter">'General Settings'!$J$16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Permanent">'General Settings'!$D$10</definedName>
    <definedName name="_xlnm.Print_Area" localSheetId="2">Selected!$D$1:$K$50</definedName>
    <definedName name="QuoteSuffix">'General Settings'!$J$12</definedName>
    <definedName name="RateHelperPrefix">'General Settings'!$D$9</definedName>
    <definedName name="RateHelpers">RateHelpers!$A$2:$A$38</definedName>
    <definedName name="RateHelpersIncluded">RateHelpers!$D$2:$D$38</definedName>
    <definedName name="RateHelpersPriority">RateHelpers!$E$2:$E$38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Settings'!$D$21</definedName>
    <definedName name="Trigger">'General Settings'!$D$11</definedName>
    <definedName name="YieldCurve1">'General Settings'!$D$14</definedName>
    <definedName name="YieldCurve2">'General Settings'!$E$14</definedName>
  </definedNames>
  <calcPr calcId="145621"/>
</workbook>
</file>

<file path=xl/calcChain.xml><?xml version="1.0" encoding="utf-8"?>
<calcChain xmlns="http://schemas.openxmlformats.org/spreadsheetml/2006/main">
  <c r="V3" i="11" l="1" a="1"/>
  <c r="S3" i="11" a="1"/>
  <c r="Q3" i="11" a="1"/>
  <c r="M3" i="11" a="1"/>
  <c r="J3" i="11" a="1"/>
  <c r="C3" i="11" a="1"/>
  <c r="B3" i="11" a="1"/>
  <c r="A3" i="11" a="1"/>
  <c r="H3" i="11" a="1"/>
  <c r="V3" i="11" l="1"/>
  <c r="V11" i="11"/>
  <c r="V19" i="11"/>
  <c r="V27" i="11"/>
  <c r="V35" i="11"/>
  <c r="V4" i="11"/>
  <c r="V12" i="11"/>
  <c r="V20" i="11"/>
  <c r="V28" i="11"/>
  <c r="V36" i="11"/>
  <c r="V5" i="11"/>
  <c r="V13" i="11"/>
  <c r="V21" i="11"/>
  <c r="V29" i="11"/>
  <c r="V37" i="11"/>
  <c r="V6" i="11"/>
  <c r="V14" i="11"/>
  <c r="V22" i="11"/>
  <c r="V30" i="11"/>
  <c r="V38" i="11"/>
  <c r="V7" i="11"/>
  <c r="V15" i="11"/>
  <c r="V23" i="11"/>
  <c r="V31" i="11"/>
  <c r="V39" i="11"/>
  <c r="V8" i="11"/>
  <c r="V16" i="11"/>
  <c r="V24" i="11"/>
  <c r="V32" i="11"/>
  <c r="V9" i="11"/>
  <c r="V17" i="11"/>
  <c r="V25" i="11"/>
  <c r="V33" i="11"/>
  <c r="V10" i="11"/>
  <c r="V18" i="11"/>
  <c r="V26" i="11"/>
  <c r="V34" i="11"/>
  <c r="S3" i="11"/>
  <c r="S11" i="11"/>
  <c r="S19" i="11"/>
  <c r="S27" i="11"/>
  <c r="S35" i="11"/>
  <c r="S4" i="11"/>
  <c r="S12" i="11"/>
  <c r="S20" i="11"/>
  <c r="S28" i="11"/>
  <c r="S36" i="11"/>
  <c r="S5" i="11"/>
  <c r="S13" i="11"/>
  <c r="S21" i="11"/>
  <c r="S29" i="11"/>
  <c r="S37" i="11"/>
  <c r="S6" i="11"/>
  <c r="S14" i="11"/>
  <c r="S22" i="11"/>
  <c r="S30" i="11"/>
  <c r="S38" i="11"/>
  <c r="S7" i="11"/>
  <c r="S15" i="11"/>
  <c r="S23" i="11"/>
  <c r="S31" i="11"/>
  <c r="S39" i="11"/>
  <c r="S8" i="11"/>
  <c r="S16" i="11"/>
  <c r="S24" i="11"/>
  <c r="S32" i="11"/>
  <c r="S9" i="11"/>
  <c r="S17" i="11"/>
  <c r="S25" i="11"/>
  <c r="S33" i="11"/>
  <c r="S10" i="11"/>
  <c r="S18" i="11"/>
  <c r="S26" i="11"/>
  <c r="S34" i="11"/>
  <c r="Q3" i="11"/>
  <c r="Q11" i="11"/>
  <c r="Q19" i="11"/>
  <c r="Q27" i="11"/>
  <c r="Q35" i="11"/>
  <c r="Q4" i="11"/>
  <c r="Q12" i="11"/>
  <c r="Q20" i="11"/>
  <c r="Q28" i="11"/>
  <c r="Q36" i="11"/>
  <c r="Q5" i="11"/>
  <c r="Q13" i="11"/>
  <c r="Q21" i="11"/>
  <c r="Q29" i="11"/>
  <c r="Q37" i="11"/>
  <c r="Q6" i="11"/>
  <c r="Q14" i="11"/>
  <c r="Q22" i="11"/>
  <c r="Q30" i="11"/>
  <c r="Q38" i="11"/>
  <c r="Q7" i="11"/>
  <c r="Q15" i="11"/>
  <c r="Q23" i="11"/>
  <c r="Q31" i="11"/>
  <c r="Q39" i="11"/>
  <c r="Q8" i="11"/>
  <c r="Q16" i="11"/>
  <c r="Q24" i="11"/>
  <c r="Q32" i="11"/>
  <c r="Q9" i="11"/>
  <c r="Q17" i="11"/>
  <c r="Q25" i="11"/>
  <c r="Q33" i="11"/>
  <c r="Q10" i="11"/>
  <c r="Q18" i="11"/>
  <c r="Q26" i="11"/>
  <c r="Q34" i="11"/>
  <c r="M3" i="11"/>
  <c r="M11" i="11"/>
  <c r="M19" i="11"/>
  <c r="M27" i="11"/>
  <c r="M35" i="11"/>
  <c r="M4" i="11"/>
  <c r="M12" i="11"/>
  <c r="M20" i="11"/>
  <c r="M28" i="11"/>
  <c r="M36" i="11"/>
  <c r="M5" i="11"/>
  <c r="M13" i="11"/>
  <c r="M21" i="11"/>
  <c r="M29" i="11"/>
  <c r="M37" i="11"/>
  <c r="M6" i="11"/>
  <c r="M14" i="11"/>
  <c r="M22" i="11"/>
  <c r="M30" i="11"/>
  <c r="M38" i="11"/>
  <c r="M7" i="11"/>
  <c r="M15" i="11"/>
  <c r="M23" i="11"/>
  <c r="M31" i="11"/>
  <c r="M39" i="11"/>
  <c r="M8" i="11"/>
  <c r="M16" i="11"/>
  <c r="M24" i="11"/>
  <c r="M32" i="11"/>
  <c r="M9" i="11"/>
  <c r="M17" i="11"/>
  <c r="M25" i="11"/>
  <c r="M33" i="11"/>
  <c r="M10" i="11"/>
  <c r="M18" i="11"/>
  <c r="M26" i="11"/>
  <c r="M34" i="11"/>
  <c r="J3" i="11"/>
  <c r="J11" i="11"/>
  <c r="J19" i="11"/>
  <c r="J27" i="11"/>
  <c r="J35" i="11"/>
  <c r="J4" i="11"/>
  <c r="J12" i="11"/>
  <c r="J20" i="11"/>
  <c r="J28" i="11"/>
  <c r="J36" i="11"/>
  <c r="J5" i="11"/>
  <c r="J13" i="11"/>
  <c r="J21" i="11"/>
  <c r="J29" i="11"/>
  <c r="J37" i="11"/>
  <c r="J6" i="11"/>
  <c r="J14" i="11"/>
  <c r="J22" i="11"/>
  <c r="J30" i="11"/>
  <c r="J38" i="11"/>
  <c r="J7" i="11"/>
  <c r="J15" i="11"/>
  <c r="J23" i="11"/>
  <c r="J31" i="11"/>
  <c r="J39" i="11"/>
  <c r="J8" i="11"/>
  <c r="J16" i="11"/>
  <c r="J24" i="11"/>
  <c r="J32" i="11"/>
  <c r="J9" i="11"/>
  <c r="J17" i="11"/>
  <c r="J25" i="11"/>
  <c r="J33" i="11"/>
  <c r="J10" i="11"/>
  <c r="J18" i="11"/>
  <c r="J26" i="11"/>
  <c r="J34" i="11"/>
  <c r="H3" i="11"/>
  <c r="H11" i="11"/>
  <c r="H19" i="11"/>
  <c r="H27" i="11"/>
  <c r="H35" i="11"/>
  <c r="H4" i="11"/>
  <c r="H12" i="11"/>
  <c r="H20" i="11"/>
  <c r="H28" i="11"/>
  <c r="H36" i="11"/>
  <c r="H5" i="11"/>
  <c r="H13" i="11"/>
  <c r="H21" i="11"/>
  <c r="H29" i="11"/>
  <c r="H37" i="11"/>
  <c r="H6" i="11"/>
  <c r="H14" i="11"/>
  <c r="H22" i="11"/>
  <c r="H30" i="11"/>
  <c r="H38" i="11"/>
  <c r="H7" i="11"/>
  <c r="H15" i="11"/>
  <c r="H23" i="11"/>
  <c r="H31" i="11"/>
  <c r="H39" i="11"/>
  <c r="H8" i="11"/>
  <c r="H16" i="11"/>
  <c r="H24" i="11"/>
  <c r="H32" i="11"/>
  <c r="H9" i="11"/>
  <c r="H17" i="11"/>
  <c r="H25" i="11"/>
  <c r="H33" i="11"/>
  <c r="H10" i="11"/>
  <c r="H18" i="11"/>
  <c r="H26" i="11"/>
  <c r="H34" i="11"/>
  <c r="K19" i="12"/>
  <c r="J19" i="12"/>
  <c r="K18" i="12"/>
  <c r="J18" i="12"/>
  <c r="K17" i="12"/>
  <c r="J17" i="12"/>
  <c r="K16" i="12"/>
  <c r="J16" i="12"/>
  <c r="K15" i="12"/>
  <c r="J15" i="12"/>
  <c r="K14" i="12"/>
  <c r="J14" i="12"/>
  <c r="K13" i="12"/>
  <c r="J13" i="12"/>
  <c r="K12" i="12"/>
  <c r="J12" i="12"/>
  <c r="K11" i="12"/>
  <c r="J11" i="12"/>
  <c r="K10" i="12"/>
  <c r="J10" i="12"/>
  <c r="K9" i="12"/>
  <c r="J9" i="12"/>
  <c r="K8" i="12"/>
  <c r="J8" i="12"/>
  <c r="K7" i="12"/>
  <c r="J7" i="12"/>
  <c r="K6" i="12"/>
  <c r="J6" i="12"/>
  <c r="K5" i="12"/>
  <c r="J5" i="12"/>
  <c r="J4" i="12"/>
  <c r="E23" i="6"/>
  <c r="F23" i="6"/>
  <c r="E5" i="7"/>
  <c r="D5" i="7"/>
  <c r="A15" i="11"/>
  <c r="A22" i="11"/>
  <c r="A36" i="11"/>
  <c r="A34" i="11"/>
  <c r="B9" i="11"/>
  <c r="B27" i="11"/>
  <c r="B29" i="11"/>
  <c r="B17" i="11"/>
  <c r="B13" i="11"/>
  <c r="C32" i="11"/>
  <c r="C11" i="11"/>
  <c r="C18" i="11"/>
  <c r="C16" i="11"/>
  <c r="A21" i="11"/>
  <c r="A32" i="11"/>
  <c r="B20" i="11"/>
  <c r="B14" i="11"/>
  <c r="C13" i="11"/>
  <c r="C19" i="11"/>
  <c r="C6" i="11"/>
  <c r="A38" i="11"/>
  <c r="A9" i="11"/>
  <c r="B15" i="11"/>
  <c r="B24" i="11"/>
  <c r="C27" i="11"/>
  <c r="A27" i="11"/>
  <c r="A31" i="11"/>
  <c r="B32" i="11"/>
  <c r="C29" i="11"/>
  <c r="C38" i="11"/>
  <c r="A7" i="11"/>
  <c r="A29" i="11"/>
  <c r="B12" i="11"/>
  <c r="C24" i="11"/>
  <c r="C17" i="11"/>
  <c r="A28" i="11"/>
  <c r="A33" i="11"/>
  <c r="B30" i="11"/>
  <c r="C9" i="11"/>
  <c r="A24" i="11"/>
  <c r="B19" i="11"/>
  <c r="B36" i="11"/>
  <c r="C30" i="11"/>
  <c r="A30" i="11"/>
  <c r="B31" i="11"/>
  <c r="B10" i="11"/>
  <c r="C8" i="11"/>
  <c r="A11" i="11"/>
  <c r="A17" i="11"/>
  <c r="A10" i="11"/>
  <c r="B6" i="11"/>
  <c r="B22" i="11"/>
  <c r="B28" i="11"/>
  <c r="C37" i="11"/>
  <c r="A37" i="11"/>
  <c r="A13" i="11"/>
  <c r="B23" i="11"/>
  <c r="B34" i="11"/>
  <c r="C20" i="11"/>
  <c r="C22" i="11"/>
  <c r="A19" i="11"/>
  <c r="B3" i="11"/>
  <c r="C35" i="11"/>
  <c r="C26" i="11"/>
  <c r="A14" i="11"/>
  <c r="B37" i="11"/>
  <c r="B33" i="11"/>
  <c r="C4" i="11"/>
  <c r="C15" i="11"/>
  <c r="A20" i="11"/>
  <c r="B39" i="11"/>
  <c r="C3" i="11"/>
  <c r="A39" i="11"/>
  <c r="B25" i="11"/>
  <c r="C33" i="11"/>
  <c r="A5" i="11"/>
  <c r="B18" i="11"/>
  <c r="C25" i="11"/>
  <c r="A18" i="11"/>
  <c r="B4" i="11"/>
  <c r="C14" i="11"/>
  <c r="A12" i="11"/>
  <c r="A3" i="11"/>
  <c r="B38" i="11"/>
  <c r="C10" i="11"/>
  <c r="A23" i="11"/>
  <c r="A25" i="11"/>
  <c r="B16" i="11"/>
  <c r="C12" i="11"/>
  <c r="A35" i="11"/>
  <c r="A26" i="11"/>
  <c r="B35" i="11"/>
  <c r="C23" i="11"/>
  <c r="A6" i="11"/>
  <c r="B8" i="11"/>
  <c r="C34" i="11"/>
  <c r="A4" i="11"/>
  <c r="B11" i="11"/>
  <c r="C36" i="11"/>
  <c r="B21" i="11"/>
  <c r="B7" i="11"/>
  <c r="C31" i="11"/>
  <c r="A8" i="11"/>
  <c r="C21" i="11"/>
  <c r="A16" i="11"/>
  <c r="C5" i="11"/>
  <c r="C7" i="11"/>
  <c r="B26" i="11"/>
  <c r="C39" i="11"/>
  <c r="B5" i="11"/>
  <c r="C28" i="11"/>
  <c r="L3" i="12"/>
  <c r="L17" i="12" s="1"/>
  <c r="L11" i="12"/>
  <c r="L10" i="12"/>
  <c r="L9" i="12"/>
  <c r="L16" i="12"/>
  <c r="L13" i="12"/>
  <c r="L4" i="12"/>
  <c r="R38" i="11"/>
  <c r="G4" i="6"/>
  <c r="F3" i="7"/>
  <c r="L14" i="12"/>
  <c r="L8" i="12"/>
  <c r="L19" i="12"/>
  <c r="L18" i="12"/>
  <c r="L12" i="12"/>
  <c r="L6" i="12"/>
  <c r="L15" i="12"/>
  <c r="G23" i="6"/>
  <c r="F5" i="7"/>
  <c r="L7" i="12"/>
  <c r="R39" i="11"/>
  <c r="L5" i="12"/>
  <c r="F4" i="7"/>
  <c r="G20" i="6"/>
  <c r="G19" i="6"/>
  <c r="A22" i="2" l="1"/>
  <c r="A3" i="2"/>
  <c r="C22" i="2"/>
  <c r="B22" i="2"/>
  <c r="G17" i="6"/>
  <c r="H22" i="2"/>
  <c r="G22" i="2"/>
  <c r="H3" i="2"/>
  <c r="G3" i="2"/>
  <c r="C3" i="2"/>
  <c r="B3" i="2"/>
  <c r="J19" i="3" l="1"/>
  <c r="E4" i="7" l="1"/>
  <c r="K4" i="12" l="1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E27" i="3"/>
  <c r="D27" i="3"/>
  <c r="E16" i="3" l="1"/>
  <c r="D16" i="3"/>
  <c r="J18" i="3" l="1"/>
  <c r="J17" i="3"/>
  <c r="E20" i="3" l="1"/>
  <c r="R16" i="11"/>
  <c r="R9" i="11"/>
  <c r="R34" i="11"/>
  <c r="R6" i="11"/>
  <c r="R5" i="11"/>
  <c r="R28" i="11"/>
  <c r="R22" i="11"/>
  <c r="R8" i="11"/>
  <c r="R4" i="11"/>
  <c r="R10" i="11"/>
  <c r="R19" i="11"/>
  <c r="R24" i="11"/>
  <c r="R18" i="11"/>
  <c r="R7" i="11"/>
  <c r="R12" i="11"/>
  <c r="R20" i="11"/>
  <c r="R32" i="11"/>
  <c r="R17" i="11"/>
  <c r="R27" i="11"/>
  <c r="R21" i="11"/>
  <c r="R31" i="11"/>
  <c r="R13" i="11"/>
  <c r="R11" i="11"/>
  <c r="R29" i="11"/>
  <c r="R26" i="11"/>
  <c r="R37" i="11"/>
  <c r="R30" i="11"/>
  <c r="R36" i="11"/>
  <c r="R33" i="11"/>
  <c r="R23" i="11"/>
  <c r="R25" i="11"/>
  <c r="R35" i="11"/>
  <c r="R3" i="11"/>
  <c r="R15" i="11"/>
  <c r="R14" i="11"/>
  <c r="I28" i="11"/>
  <c r="I29" i="11"/>
  <c r="I18" i="11"/>
  <c r="I25" i="11"/>
  <c r="I35" i="11"/>
  <c r="I7" i="11"/>
  <c r="I36" i="11"/>
  <c r="I15" i="11"/>
  <c r="I16" i="11"/>
  <c r="I5" i="11"/>
  <c r="I13" i="11"/>
  <c r="I26" i="11"/>
  <c r="I38" i="11"/>
  <c r="I8" i="11"/>
  <c r="I6" i="11"/>
  <c r="I3" i="11"/>
  <c r="I32" i="11"/>
  <c r="I17" i="11"/>
  <c r="I24" i="11"/>
  <c r="I33" i="11"/>
  <c r="I19" i="11"/>
  <c r="I21" i="11"/>
  <c r="I20" i="11"/>
  <c r="I30" i="11"/>
  <c r="I34" i="11"/>
  <c r="I39" i="11"/>
  <c r="I31" i="11"/>
  <c r="I37" i="11"/>
  <c r="I4" i="11"/>
  <c r="I27" i="11"/>
  <c r="I14" i="11"/>
  <c r="I23" i="11"/>
  <c r="I10" i="11"/>
  <c r="I9" i="11"/>
  <c r="I12" i="11"/>
  <c r="I11" i="11"/>
  <c r="I22" i="11"/>
  <c r="E22" i="6" l="1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A25" i="2" l="1"/>
  <c r="A34" i="2"/>
  <c r="A33" i="2"/>
  <c r="A32" i="2"/>
  <c r="A28" i="2"/>
  <c r="A30" i="2"/>
  <c r="A35" i="2"/>
  <c r="A23" i="2"/>
  <c r="A38" i="2"/>
  <c r="A27" i="2"/>
  <c r="A37" i="2"/>
  <c r="A36" i="2"/>
  <c r="A31" i="2"/>
  <c r="A29" i="2"/>
  <c r="A26" i="2"/>
  <c r="A24" i="2"/>
  <c r="D4" i="7"/>
  <c r="F2" i="7"/>
  <c r="D1" i="7"/>
  <c r="F1" i="7" s="1"/>
  <c r="B25" i="2"/>
  <c r="M8" i="12"/>
  <c r="G36" i="2"/>
  <c r="H23" i="2"/>
  <c r="B26" i="2"/>
  <c r="G29" i="2"/>
  <c r="H38" i="2"/>
  <c r="M16" i="12"/>
  <c r="H32" i="2"/>
  <c r="M9" i="12"/>
  <c r="C24" i="2"/>
  <c r="B27" i="2"/>
  <c r="G28" i="2"/>
  <c r="B29" i="2"/>
  <c r="M12" i="12"/>
  <c r="G6" i="6"/>
  <c r="M5" i="12"/>
  <c r="G5" i="6"/>
  <c r="C23" i="2"/>
  <c r="C26" i="2"/>
  <c r="B24" i="2"/>
  <c r="H30" i="2"/>
  <c r="G14" i="6"/>
  <c r="M19" i="12"/>
  <c r="H25" i="2"/>
  <c r="G32" i="2"/>
  <c r="G34" i="2"/>
  <c r="C32" i="2"/>
  <c r="M18" i="12"/>
  <c r="B23" i="2"/>
  <c r="H26" i="2"/>
  <c r="C29" i="2"/>
  <c r="C34" i="2"/>
  <c r="G13" i="6"/>
  <c r="G10" i="6"/>
  <c r="G22" i="6"/>
  <c r="G38" i="2"/>
  <c r="H33" i="2"/>
  <c r="G26" i="2"/>
  <c r="H36" i="2"/>
  <c r="C27" i="2"/>
  <c r="G24" i="2"/>
  <c r="B33" i="2"/>
  <c r="B31" i="2"/>
  <c r="B28" i="2"/>
  <c r="B37" i="2"/>
  <c r="M15" i="12"/>
  <c r="H35" i="2"/>
  <c r="G23" i="2"/>
  <c r="G30" i="2"/>
  <c r="M13" i="12"/>
  <c r="H34" i="2"/>
  <c r="G31" i="2"/>
  <c r="C30" i="2"/>
  <c r="M4" i="12"/>
  <c r="C25" i="2"/>
  <c r="M11" i="12"/>
  <c r="H29" i="2"/>
  <c r="H37" i="2"/>
  <c r="M7" i="12"/>
  <c r="C36" i="2"/>
  <c r="B36" i="2"/>
  <c r="G15" i="6"/>
  <c r="H31" i="2"/>
  <c r="M6" i="12"/>
  <c r="M10" i="12"/>
  <c r="H28" i="2"/>
  <c r="M17" i="12"/>
  <c r="G18" i="6"/>
  <c r="G37" i="2"/>
  <c r="B32" i="2"/>
  <c r="M14" i="12"/>
  <c r="G35" i="2"/>
  <c r="H24" i="2"/>
  <c r="B35" i="2"/>
  <c r="G27" i="2"/>
  <c r="G21" i="6"/>
  <c r="C37" i="2"/>
  <c r="G16" i="6"/>
  <c r="C31" i="2"/>
  <c r="B34" i="2"/>
  <c r="C35" i="2"/>
  <c r="C28" i="2"/>
  <c r="B38" i="2"/>
  <c r="G33" i="2"/>
  <c r="G11" i="6"/>
  <c r="C38" i="2"/>
  <c r="G9" i="6"/>
  <c r="B30" i="2"/>
  <c r="G25" i="2"/>
  <c r="C33" i="2"/>
  <c r="H27" i="2"/>
  <c r="G7" i="6"/>
  <c r="G8" i="6"/>
  <c r="A21" i="2" l="1"/>
  <c r="A2" i="2"/>
  <c r="H20" i="6"/>
  <c r="G21" i="2"/>
  <c r="H16" i="6"/>
  <c r="H10" i="6"/>
  <c r="H18" i="6"/>
  <c r="C21" i="2"/>
  <c r="H5" i="6"/>
  <c r="H15" i="6"/>
  <c r="B21" i="2"/>
  <c r="G12" i="6"/>
  <c r="H11" i="6"/>
  <c r="H22" i="6"/>
  <c r="H8" i="6"/>
  <c r="H13" i="6"/>
  <c r="H21" i="6"/>
  <c r="H14" i="6"/>
  <c r="H7" i="6"/>
  <c r="H6" i="6"/>
  <c r="H17" i="6"/>
  <c r="H21" i="2"/>
  <c r="H2" i="2"/>
  <c r="H9" i="6"/>
  <c r="H19" i="6"/>
  <c r="E2" i="6" l="1"/>
  <c r="G2" i="6" s="1"/>
  <c r="H12" i="6"/>
  <c r="A4" i="2" l="1"/>
  <c r="H4" i="2"/>
  <c r="B4" i="2"/>
  <c r="B2" i="2"/>
  <c r="H4" i="6"/>
  <c r="G4" i="7"/>
  <c r="A15" i="2" l="1"/>
  <c r="A17" i="2"/>
  <c r="A16" i="2"/>
  <c r="A7" i="2"/>
  <c r="A18" i="2"/>
  <c r="A9" i="2"/>
  <c r="A6" i="2"/>
  <c r="A5" i="2"/>
  <c r="A14" i="2"/>
  <c r="A11" i="2"/>
  <c r="A8" i="2"/>
  <c r="A20" i="2"/>
  <c r="A19" i="2"/>
  <c r="A13" i="2"/>
  <c r="A10" i="2"/>
  <c r="A12" i="2"/>
  <c r="H10" i="2"/>
  <c r="B9" i="2"/>
  <c r="H18" i="2"/>
  <c r="H5" i="2"/>
  <c r="H15" i="2"/>
  <c r="H11" i="2"/>
  <c r="H8" i="2"/>
  <c r="H16" i="2"/>
  <c r="B14" i="2"/>
  <c r="B18" i="2"/>
  <c r="B7" i="2"/>
  <c r="H13" i="2"/>
  <c r="H20" i="2"/>
  <c r="B17" i="2"/>
  <c r="H9" i="2"/>
  <c r="B11" i="2"/>
  <c r="H7" i="2"/>
  <c r="H14" i="2"/>
  <c r="H12" i="2"/>
  <c r="B6" i="2"/>
  <c r="B16" i="2"/>
  <c r="B15" i="2"/>
  <c r="B8" i="2"/>
  <c r="H6" i="2"/>
  <c r="H19" i="2"/>
  <c r="B5" i="2"/>
  <c r="H17" i="2"/>
  <c r="D9" i="3" l="1"/>
  <c r="G3" i="6"/>
  <c r="B19" i="2"/>
  <c r="D2" i="4" a="1"/>
  <c r="G6" i="2"/>
  <c r="G10" i="2"/>
  <c r="G12" i="2"/>
  <c r="C20" i="2"/>
  <c r="C13" i="2"/>
  <c r="C15" i="2"/>
  <c r="G11" i="2"/>
  <c r="H3" i="6"/>
  <c r="C17" i="2"/>
  <c r="B12" i="2"/>
  <c r="C6" i="2"/>
  <c r="C2" i="2"/>
  <c r="C10" i="2"/>
  <c r="C16" i="2"/>
  <c r="C19" i="2"/>
  <c r="G13" i="2"/>
  <c r="G9" i="2"/>
  <c r="C14" i="2"/>
  <c r="G8" i="2"/>
  <c r="G4" i="2"/>
  <c r="G5" i="2"/>
  <c r="B20" i="2"/>
  <c r="C8" i="2"/>
  <c r="G19" i="2"/>
  <c r="C4" i="2"/>
  <c r="B13" i="2"/>
  <c r="G15" i="2"/>
  <c r="C12" i="2"/>
  <c r="C5" i="2"/>
  <c r="C7" i="2"/>
  <c r="C11" i="2"/>
  <c r="B10" i="2"/>
  <c r="G17" i="2"/>
  <c r="G7" i="2"/>
  <c r="G18" i="2"/>
  <c r="C9" i="2"/>
  <c r="C18" i="2"/>
  <c r="G20" i="2"/>
  <c r="B1" i="3"/>
  <c r="G14" i="2"/>
  <c r="G2" i="2"/>
  <c r="G16" i="2"/>
  <c r="D61" i="4" l="1"/>
  <c r="D45" i="4"/>
  <c r="D72" i="4"/>
  <c r="D103" i="4"/>
  <c r="D101" i="4"/>
  <c r="D73" i="4"/>
  <c r="D84" i="4"/>
  <c r="D8" i="4"/>
  <c r="D3" i="4"/>
  <c r="D48" i="4"/>
  <c r="D108" i="4"/>
  <c r="D26" i="4"/>
  <c r="D31" i="4"/>
  <c r="D94" i="4"/>
  <c r="D58" i="4"/>
  <c r="D37" i="4"/>
  <c r="D105" i="4"/>
  <c r="D54" i="4"/>
  <c r="D30" i="4"/>
  <c r="D35" i="4"/>
  <c r="D46" i="4"/>
  <c r="D9" i="4"/>
  <c r="D98" i="4"/>
  <c r="D120" i="4"/>
  <c r="D113" i="4"/>
  <c r="D29" i="4"/>
  <c r="D27" i="4"/>
  <c r="D75" i="4"/>
  <c r="D126" i="4"/>
  <c r="D77" i="4"/>
  <c r="D116" i="4"/>
  <c r="D99" i="4"/>
  <c r="D11" i="4"/>
  <c r="D87" i="4"/>
  <c r="D88" i="4"/>
  <c r="D53" i="4"/>
  <c r="D49" i="4"/>
  <c r="D68" i="4"/>
  <c r="D117" i="4"/>
  <c r="D12" i="4"/>
  <c r="D13" i="4"/>
  <c r="D115" i="4"/>
  <c r="D44" i="4"/>
  <c r="D107" i="4"/>
  <c r="D109" i="4"/>
  <c r="D14" i="4"/>
  <c r="D57" i="4"/>
  <c r="D18" i="4"/>
  <c r="D32" i="4"/>
  <c r="D85" i="4"/>
  <c r="D43" i="4"/>
  <c r="D69" i="4"/>
  <c r="D36" i="4"/>
  <c r="D121" i="4"/>
  <c r="D22" i="4"/>
  <c r="D96" i="4"/>
  <c r="D100" i="4"/>
  <c r="D25" i="4"/>
  <c r="D83" i="4"/>
  <c r="D81" i="4"/>
  <c r="D17" i="4"/>
  <c r="D104" i="4"/>
  <c r="D19" i="4"/>
  <c r="D60" i="4"/>
  <c r="D33" i="4"/>
  <c r="D90" i="4"/>
  <c r="D106" i="4"/>
  <c r="D95" i="4"/>
  <c r="D34" i="4"/>
  <c r="D6" i="4"/>
  <c r="D47" i="4"/>
  <c r="D93" i="4"/>
  <c r="D97" i="4"/>
  <c r="D4" i="4"/>
  <c r="D124" i="4"/>
  <c r="D119" i="4"/>
  <c r="D112" i="4"/>
  <c r="D42" i="4"/>
  <c r="D64" i="4"/>
  <c r="D52" i="4"/>
  <c r="D62" i="4"/>
  <c r="D65" i="4"/>
  <c r="D59" i="4"/>
  <c r="D56" i="4"/>
  <c r="D21" i="4"/>
  <c r="D92" i="4"/>
  <c r="D89" i="4"/>
  <c r="D40" i="4"/>
  <c r="D125" i="4"/>
  <c r="D80" i="4"/>
  <c r="D2" i="4"/>
  <c r="D110" i="4"/>
  <c r="D86" i="4"/>
  <c r="D82" i="4"/>
  <c r="D41" i="4"/>
  <c r="D122" i="4"/>
  <c r="D7" i="4"/>
  <c r="D91" i="4"/>
  <c r="D5" i="4"/>
  <c r="D79" i="4"/>
  <c r="D71" i="4"/>
  <c r="D118" i="4"/>
  <c r="D111" i="4"/>
  <c r="D15" i="4"/>
  <c r="D78" i="4"/>
  <c r="D74" i="4"/>
  <c r="D102" i="4"/>
  <c r="D10" i="4"/>
  <c r="D38" i="4"/>
  <c r="D23" i="4"/>
  <c r="D66" i="4"/>
  <c r="D67" i="4"/>
  <c r="D16" i="4"/>
  <c r="D114" i="4"/>
  <c r="D50" i="4"/>
  <c r="D123" i="4"/>
  <c r="D20" i="4"/>
  <c r="D76" i="4"/>
  <c r="D28" i="4"/>
  <c r="D63" i="4"/>
  <c r="D39" i="4"/>
  <c r="D51" i="4"/>
  <c r="D55" i="4"/>
  <c r="D70" i="4"/>
  <c r="D24" i="4"/>
  <c r="J3" i="4"/>
  <c r="F29" i="4"/>
  <c r="I30" i="4"/>
  <c r="F32" i="4"/>
  <c r="I16" i="4"/>
  <c r="E101" i="4"/>
  <c r="E10" i="4"/>
  <c r="G96" i="4"/>
  <c r="H14" i="4"/>
  <c r="J48" i="4"/>
  <c r="H94" i="4"/>
  <c r="J114" i="4"/>
  <c r="H51" i="4"/>
  <c r="E63" i="4"/>
  <c r="G69" i="4"/>
  <c r="F104" i="4"/>
  <c r="F80" i="4"/>
  <c r="I34" i="4"/>
  <c r="E43" i="4"/>
  <c r="G98" i="4"/>
  <c r="G26" i="4"/>
  <c r="F94" i="4"/>
  <c r="J82" i="4"/>
  <c r="F28" i="4"/>
  <c r="E120" i="4"/>
  <c r="G118" i="4"/>
  <c r="H33" i="4"/>
  <c r="I33" i="4"/>
  <c r="F111" i="4"/>
  <c r="F108" i="4"/>
  <c r="J93" i="4"/>
  <c r="E9" i="4"/>
  <c r="H66" i="4"/>
  <c r="H4" i="4"/>
  <c r="I124" i="4"/>
  <c r="H97" i="4"/>
  <c r="J103" i="4"/>
  <c r="H11" i="4"/>
  <c r="E94" i="4"/>
  <c r="H52" i="4"/>
  <c r="G4" i="4"/>
  <c r="I20" i="4"/>
  <c r="J125" i="4"/>
  <c r="J24" i="4"/>
  <c r="F3" i="4"/>
  <c r="J83" i="4"/>
  <c r="H48" i="4"/>
  <c r="I107" i="4"/>
  <c r="H59" i="4"/>
  <c r="E110" i="4"/>
  <c r="E58" i="4"/>
  <c r="H84" i="4"/>
  <c r="H95" i="4"/>
  <c r="I59" i="4"/>
  <c r="G102" i="4"/>
  <c r="E116" i="4"/>
  <c r="G32" i="4"/>
  <c r="F83" i="4"/>
  <c r="J87" i="4"/>
  <c r="F71" i="4"/>
  <c r="J40" i="4"/>
  <c r="E38" i="4"/>
  <c r="G25" i="4"/>
  <c r="I29" i="4"/>
  <c r="J37" i="4"/>
  <c r="J47" i="4"/>
  <c r="H79" i="4"/>
  <c r="G44" i="4"/>
  <c r="H22" i="4"/>
  <c r="F58" i="4"/>
  <c r="J66" i="4"/>
  <c r="E83" i="4"/>
  <c r="I51" i="4"/>
  <c r="F31" i="4"/>
  <c r="E109" i="4"/>
  <c r="F95" i="4"/>
  <c r="G14" i="4"/>
  <c r="H91" i="4"/>
  <c r="I74" i="4"/>
  <c r="F42" i="4"/>
  <c r="J100" i="4"/>
  <c r="H57" i="4"/>
  <c r="E108" i="4"/>
  <c r="E3" i="4"/>
  <c r="I88" i="4"/>
  <c r="F126" i="4"/>
  <c r="F113" i="4"/>
  <c r="I3" i="4"/>
  <c r="F13" i="4"/>
  <c r="E66" i="4"/>
  <c r="E30" i="4"/>
  <c r="F87" i="4"/>
  <c r="G93" i="4"/>
  <c r="J76" i="4"/>
  <c r="J20" i="4"/>
  <c r="H123" i="4"/>
  <c r="I17" i="4"/>
  <c r="H106" i="4"/>
  <c r="J23" i="4"/>
  <c r="J126" i="4"/>
  <c r="G71" i="4"/>
  <c r="I31" i="4"/>
  <c r="J36" i="4"/>
  <c r="I32" i="4"/>
  <c r="J39" i="4"/>
  <c r="E55" i="4"/>
  <c r="E91" i="4"/>
  <c r="J50" i="4"/>
  <c r="J22" i="4"/>
  <c r="E45" i="4"/>
  <c r="G60" i="4"/>
  <c r="H53" i="4"/>
  <c r="H77" i="4"/>
  <c r="J94" i="4"/>
  <c r="J12" i="4"/>
  <c r="H36" i="4"/>
  <c r="H98" i="4"/>
  <c r="F123" i="4"/>
  <c r="E115" i="4"/>
  <c r="F76" i="4"/>
  <c r="J35" i="4"/>
  <c r="I4" i="4"/>
  <c r="F35" i="4"/>
  <c r="J52" i="4"/>
  <c r="E119" i="4"/>
  <c r="F44" i="4"/>
  <c r="F109" i="4"/>
  <c r="G65" i="4"/>
  <c r="J49" i="4"/>
  <c r="I92" i="4"/>
  <c r="I122" i="4"/>
  <c r="G28" i="4"/>
  <c r="F43" i="4"/>
  <c r="G50" i="4"/>
  <c r="G119" i="4"/>
  <c r="J15" i="4"/>
  <c r="J121" i="4"/>
  <c r="E42" i="4"/>
  <c r="G29" i="4"/>
  <c r="F17" i="4"/>
  <c r="E81" i="4"/>
  <c r="F15" i="4"/>
  <c r="E67" i="4"/>
  <c r="E52" i="4"/>
  <c r="I41" i="4"/>
  <c r="E73" i="4"/>
  <c r="I114" i="4"/>
  <c r="F72" i="4"/>
  <c r="G48" i="4"/>
  <c r="E78" i="4"/>
  <c r="H82" i="4"/>
  <c r="F77" i="4"/>
  <c r="E64" i="4"/>
  <c r="F121" i="4"/>
  <c r="E34" i="4"/>
  <c r="E70" i="4"/>
  <c r="J72" i="4"/>
  <c r="G12" i="4"/>
  <c r="E56" i="4"/>
  <c r="F54" i="4"/>
  <c r="E84" i="4"/>
  <c r="G116" i="4"/>
  <c r="H62" i="4"/>
  <c r="E72" i="4"/>
  <c r="E105" i="4"/>
  <c r="H115" i="4"/>
  <c r="F26" i="4"/>
  <c r="F101" i="4"/>
  <c r="F86" i="4"/>
  <c r="I75" i="4"/>
  <c r="J79" i="4"/>
  <c r="H96" i="4"/>
  <c r="E14" i="3"/>
  <c r="I62" i="4"/>
  <c r="E85" i="4"/>
  <c r="I69" i="4"/>
  <c r="I123" i="4"/>
  <c r="W17" i="11"/>
  <c r="J115" i="4"/>
  <c r="G86" i="4"/>
  <c r="W31" i="11"/>
  <c r="I39" i="4"/>
  <c r="G101" i="4"/>
  <c r="H44" i="4"/>
  <c r="G97" i="4"/>
  <c r="E121" i="4"/>
  <c r="J55" i="4"/>
  <c r="T7" i="11"/>
  <c r="G99" i="4"/>
  <c r="I102" i="4"/>
  <c r="J91" i="4"/>
  <c r="H60" i="4"/>
  <c r="J17" i="4"/>
  <c r="E99" i="4"/>
  <c r="I40" i="4"/>
  <c r="H35" i="4"/>
  <c r="I14" i="4"/>
  <c r="G94" i="4"/>
  <c r="E107" i="4"/>
  <c r="E49" i="4"/>
  <c r="F25" i="4"/>
  <c r="F2" i="4"/>
  <c r="I99" i="4"/>
  <c r="E33" i="4"/>
  <c r="G74" i="4"/>
  <c r="G123" i="4"/>
  <c r="W23" i="11"/>
  <c r="W14" i="11"/>
  <c r="E118" i="4"/>
  <c r="E8" i="4"/>
  <c r="F20" i="4"/>
  <c r="I117" i="4"/>
  <c r="H109" i="4"/>
  <c r="G40" i="4"/>
  <c r="J71" i="4"/>
  <c r="G125" i="4"/>
  <c r="I44" i="4"/>
  <c r="G24" i="4"/>
  <c r="F24" i="4"/>
  <c r="E50" i="4"/>
  <c r="I55" i="4"/>
  <c r="J62" i="4"/>
  <c r="F96" i="4"/>
  <c r="T17" i="11"/>
  <c r="I118" i="4"/>
  <c r="J64" i="4"/>
  <c r="E14" i="4"/>
  <c r="G81" i="4"/>
  <c r="I56" i="4"/>
  <c r="F75" i="4"/>
  <c r="H15" i="4"/>
  <c r="E117" i="4"/>
  <c r="I83" i="4"/>
  <c r="E82" i="4"/>
  <c r="E13" i="4"/>
  <c r="G90" i="4"/>
  <c r="G36" i="4"/>
  <c r="J124" i="4"/>
  <c r="E32" i="4"/>
  <c r="G79" i="4"/>
  <c r="H110" i="4"/>
  <c r="G56" i="4"/>
  <c r="J60" i="4"/>
  <c r="E51" i="4"/>
  <c r="G84" i="4"/>
  <c r="E77" i="4"/>
  <c r="I101" i="4"/>
  <c r="G38" i="4"/>
  <c r="F90" i="4"/>
  <c r="E104" i="4"/>
  <c r="E68" i="4"/>
  <c r="F66" i="4"/>
  <c r="E48" i="4"/>
  <c r="F112" i="4"/>
  <c r="H18" i="4"/>
  <c r="J2" i="4"/>
  <c r="J102" i="4"/>
  <c r="E106" i="4"/>
  <c r="G63" i="4"/>
  <c r="J104" i="4"/>
  <c r="I73" i="4"/>
  <c r="J74" i="4"/>
  <c r="H80" i="4"/>
  <c r="I19" i="4"/>
  <c r="I70" i="4"/>
  <c r="E40" i="4"/>
  <c r="I72" i="4"/>
  <c r="H76" i="4"/>
  <c r="E37" i="4"/>
  <c r="F120" i="4"/>
  <c r="J9" i="4"/>
  <c r="E92" i="4"/>
  <c r="H104" i="4"/>
  <c r="H32" i="4"/>
  <c r="F97" i="4"/>
  <c r="F50" i="4"/>
  <c r="H3" i="4"/>
  <c r="J69" i="4"/>
  <c r="F7" i="4"/>
  <c r="F21" i="4"/>
  <c r="E69" i="4"/>
  <c r="G68" i="4"/>
  <c r="G51" i="4"/>
  <c r="H89" i="4"/>
  <c r="J53" i="4"/>
  <c r="E6" i="4"/>
  <c r="G16" i="4"/>
  <c r="I89" i="4"/>
  <c r="I49" i="4"/>
  <c r="G46" i="4"/>
  <c r="G80" i="4"/>
  <c r="F106" i="4"/>
  <c r="F69" i="4"/>
  <c r="F117" i="4"/>
  <c r="J18" i="4"/>
  <c r="H108" i="4"/>
  <c r="J21" i="4"/>
  <c r="J99" i="4"/>
  <c r="H69" i="4"/>
  <c r="E75" i="4"/>
  <c r="H119" i="4"/>
  <c r="I52" i="4"/>
  <c r="I98" i="4"/>
  <c r="I104" i="4"/>
  <c r="F103" i="4"/>
  <c r="H55" i="4"/>
  <c r="I67" i="4"/>
  <c r="F64" i="4"/>
  <c r="I47" i="4"/>
  <c r="G53" i="4"/>
  <c r="H10" i="4"/>
  <c r="G75" i="4"/>
  <c r="H85" i="4"/>
  <c r="G107" i="4"/>
  <c r="E27" i="4"/>
  <c r="F60" i="4"/>
  <c r="F122" i="4"/>
  <c r="E124" i="4"/>
  <c r="F56" i="4"/>
  <c r="E76" i="4"/>
  <c r="G114" i="4"/>
  <c r="G112" i="4"/>
  <c r="E15" i="4"/>
  <c r="G117" i="4"/>
  <c r="I10" i="4"/>
  <c r="J54" i="4"/>
  <c r="J33" i="4"/>
  <c r="H26" i="4"/>
  <c r="I66" i="4"/>
  <c r="F115" i="4"/>
  <c r="I36" i="4"/>
  <c r="I97" i="4"/>
  <c r="J25" i="4"/>
  <c r="G23" i="4"/>
  <c r="W38" i="11"/>
  <c r="E39" i="4"/>
  <c r="F100" i="4"/>
  <c r="H90" i="4"/>
  <c r="T38" i="11"/>
  <c r="F34" i="4"/>
  <c r="E62" i="4"/>
  <c r="H2" i="4"/>
  <c r="F49" i="4"/>
  <c r="I71" i="4"/>
  <c r="W10" i="11"/>
  <c r="W4" i="11"/>
  <c r="T16" i="11"/>
  <c r="W32" i="11"/>
  <c r="I93" i="4"/>
  <c r="G91" i="4"/>
  <c r="F91" i="4"/>
  <c r="G58" i="4"/>
  <c r="T22" i="11"/>
  <c r="F41" i="4"/>
  <c r="W27" i="11"/>
  <c r="G13" i="4"/>
  <c r="F98" i="4"/>
  <c r="I42" i="4"/>
  <c r="G88" i="4"/>
  <c r="I85" i="4"/>
  <c r="G57" i="4"/>
  <c r="H64" i="4"/>
  <c r="T6" i="11"/>
  <c r="W36" i="11"/>
  <c r="J61" i="4"/>
  <c r="G37" i="4"/>
  <c r="E126" i="4"/>
  <c r="H46" i="4"/>
  <c r="F105" i="4"/>
  <c r="H114" i="4"/>
  <c r="F19" i="4"/>
  <c r="G41" i="4"/>
  <c r="E2" i="4"/>
  <c r="E47" i="4"/>
  <c r="G115" i="4"/>
  <c r="I80" i="4"/>
  <c r="H100" i="4"/>
  <c r="F48" i="4"/>
  <c r="E41" i="4"/>
  <c r="H124" i="4"/>
  <c r="G111" i="4"/>
  <c r="J73" i="4"/>
  <c r="J27" i="4"/>
  <c r="E79" i="4"/>
  <c r="H39" i="4"/>
  <c r="E86" i="4"/>
  <c r="H75" i="4"/>
  <c r="E11" i="4"/>
  <c r="J57" i="4"/>
  <c r="J92" i="4"/>
  <c r="H103" i="4"/>
  <c r="I115" i="4"/>
  <c r="H112" i="4"/>
  <c r="I81" i="4"/>
  <c r="H19" i="4"/>
  <c r="H29" i="4"/>
  <c r="E21" i="4"/>
  <c r="F114" i="4"/>
  <c r="F99" i="4"/>
  <c r="G55" i="4"/>
  <c r="F53" i="4"/>
  <c r="E88" i="4"/>
  <c r="I53" i="4"/>
  <c r="H54" i="4"/>
  <c r="E7" i="4"/>
  <c r="G3" i="4"/>
  <c r="G106" i="4"/>
  <c r="F16" i="4"/>
  <c r="G21" i="4"/>
  <c r="E23" i="4"/>
  <c r="G62" i="4"/>
  <c r="E96" i="4"/>
  <c r="T5" i="11"/>
  <c r="F4" i="4"/>
  <c r="G120" i="4"/>
  <c r="F65" i="4"/>
  <c r="H87" i="4"/>
  <c r="I87" i="4"/>
  <c r="H24" i="4"/>
  <c r="G27" i="4"/>
  <c r="E26" i="4"/>
  <c r="F22" i="4"/>
  <c r="H86" i="4"/>
  <c r="J105" i="4"/>
  <c r="J106" i="4"/>
  <c r="F107" i="4"/>
  <c r="J108" i="4"/>
  <c r="H6" i="4"/>
  <c r="E80" i="4"/>
  <c r="G11" i="4"/>
  <c r="I68" i="4"/>
  <c r="F45" i="4"/>
  <c r="I27" i="4"/>
  <c r="T15" i="11"/>
  <c r="H17" i="4"/>
  <c r="T8" i="11"/>
  <c r="W28" i="11"/>
  <c r="T14" i="11"/>
  <c r="T29" i="11"/>
  <c r="H43" i="4"/>
  <c r="J28" i="4"/>
  <c r="J78" i="4"/>
  <c r="H99" i="4"/>
  <c r="I100" i="4"/>
  <c r="F118" i="4"/>
  <c r="G52" i="4"/>
  <c r="E102" i="4"/>
  <c r="J95" i="4"/>
  <c r="J13" i="4"/>
  <c r="H83" i="4"/>
  <c r="J80" i="4"/>
  <c r="I76" i="4"/>
  <c r="H34" i="4"/>
  <c r="E89" i="4"/>
  <c r="I37" i="4"/>
  <c r="H37" i="4"/>
  <c r="I24" i="4"/>
  <c r="E113" i="4"/>
  <c r="I82" i="4"/>
  <c r="F8" i="4"/>
  <c r="H23" i="4"/>
  <c r="I11" i="4"/>
  <c r="E71" i="4"/>
  <c r="I96" i="4"/>
  <c r="G87" i="4"/>
  <c r="I15" i="4"/>
  <c r="J51" i="4"/>
  <c r="J75" i="4"/>
  <c r="H101" i="4"/>
  <c r="G6" i="4"/>
  <c r="F62" i="4"/>
  <c r="J97" i="4"/>
  <c r="E44" i="4"/>
  <c r="I38" i="4"/>
  <c r="G73" i="4"/>
  <c r="I91" i="4"/>
  <c r="W19" i="11"/>
  <c r="E53" i="4"/>
  <c r="J84" i="4"/>
  <c r="F55" i="4"/>
  <c r="G85" i="4"/>
  <c r="H117" i="4"/>
  <c r="E100" i="4"/>
  <c r="J56" i="4"/>
  <c r="E114" i="4"/>
  <c r="G15" i="4"/>
  <c r="G22" i="4"/>
  <c r="W6" i="11"/>
  <c r="T11" i="11"/>
  <c r="E28" i="3"/>
  <c r="J65" i="4"/>
  <c r="J77" i="4"/>
  <c r="E12" i="4"/>
  <c r="J113" i="4"/>
  <c r="I116" i="4"/>
  <c r="E19" i="4"/>
  <c r="I6" i="4"/>
  <c r="F39" i="4"/>
  <c r="E28" i="4"/>
  <c r="G78" i="4"/>
  <c r="I113" i="4"/>
  <c r="I26" i="4"/>
  <c r="H20" i="4"/>
  <c r="J58" i="4"/>
  <c r="J6" i="4"/>
  <c r="H81" i="4"/>
  <c r="J19" i="4"/>
  <c r="G5" i="4"/>
  <c r="I57" i="4"/>
  <c r="H67" i="4"/>
  <c r="H41" i="4"/>
  <c r="G82" i="4"/>
  <c r="G64" i="4"/>
  <c r="E98" i="4"/>
  <c r="G66" i="4"/>
  <c r="H105" i="4"/>
  <c r="H72" i="4"/>
  <c r="J89" i="4"/>
  <c r="I110" i="4"/>
  <c r="J46" i="4"/>
  <c r="H8" i="4"/>
  <c r="J112" i="4"/>
  <c r="I94" i="4"/>
  <c r="G95" i="4"/>
  <c r="G72" i="4"/>
  <c r="J38" i="4"/>
  <c r="J41" i="4"/>
  <c r="H93" i="4"/>
  <c r="G89" i="4"/>
  <c r="F116" i="4"/>
  <c r="T12" i="11"/>
  <c r="F70" i="4"/>
  <c r="J16" i="4"/>
  <c r="H116" i="4"/>
  <c r="D14" i="3"/>
  <c r="F36" i="4"/>
  <c r="T39" i="11"/>
  <c r="T19" i="11"/>
  <c r="T25" i="11"/>
  <c r="G42" i="4"/>
  <c r="I84" i="4"/>
  <c r="F110" i="4"/>
  <c r="E25" i="4"/>
  <c r="J109" i="4"/>
  <c r="F10" i="4"/>
  <c r="G31" i="4"/>
  <c r="G113" i="4"/>
  <c r="F46" i="4"/>
  <c r="G35" i="4"/>
  <c r="F23" i="4"/>
  <c r="H71" i="4"/>
  <c r="H50" i="4"/>
  <c r="F57" i="4"/>
  <c r="I78" i="4"/>
  <c r="E60" i="4"/>
  <c r="I79" i="4"/>
  <c r="H38" i="4"/>
  <c r="G47" i="4"/>
  <c r="E74" i="4"/>
  <c r="H107" i="4"/>
  <c r="I54" i="4"/>
  <c r="J8" i="4"/>
  <c r="I63" i="4"/>
  <c r="J110" i="4"/>
  <c r="E35" i="4"/>
  <c r="F119" i="4"/>
  <c r="W22" i="11"/>
  <c r="H102" i="4"/>
  <c r="J7" i="4"/>
  <c r="I121" i="4"/>
  <c r="I18" i="4"/>
  <c r="I28" i="4"/>
  <c r="H9" i="4"/>
  <c r="J86" i="4"/>
  <c r="F61" i="4"/>
  <c r="H49" i="4"/>
  <c r="T3" i="11"/>
  <c r="T18" i="11"/>
  <c r="W24" i="11"/>
  <c r="I86" i="4"/>
  <c r="F11" i="4"/>
  <c r="G10" i="4"/>
  <c r="J44" i="4"/>
  <c r="F27" i="4"/>
  <c r="J107" i="4"/>
  <c r="J14" i="4"/>
  <c r="H25" i="4"/>
  <c r="H12" i="4"/>
  <c r="G2" i="4"/>
  <c r="G49" i="4"/>
  <c r="G103" i="4"/>
  <c r="G100" i="4"/>
  <c r="I112" i="4"/>
  <c r="J26" i="4"/>
  <c r="J5" i="4"/>
  <c r="F84" i="4"/>
  <c r="H5" i="4"/>
  <c r="I111" i="4"/>
  <c r="I9" i="4"/>
  <c r="F47" i="4"/>
  <c r="F59" i="4"/>
  <c r="E54" i="4"/>
  <c r="T32" i="11"/>
  <c r="I5" i="4"/>
  <c r="G8" i="4"/>
  <c r="W20" i="11"/>
  <c r="T37" i="11"/>
  <c r="I46" i="4"/>
  <c r="F40" i="4"/>
  <c r="G30" i="4"/>
  <c r="G54" i="4"/>
  <c r="H58" i="4"/>
  <c r="F30" i="4"/>
  <c r="F74" i="4"/>
  <c r="H111" i="4"/>
  <c r="W8" i="11"/>
  <c r="T21" i="11"/>
  <c r="W18" i="11"/>
  <c r="H120" i="4"/>
  <c r="G105" i="4"/>
  <c r="G61" i="4"/>
  <c r="F6" i="4"/>
  <c r="I23" i="4"/>
  <c r="I21" i="4"/>
  <c r="I7" i="4"/>
  <c r="J116" i="4"/>
  <c r="H7" i="4"/>
  <c r="E24" i="4"/>
  <c r="E29" i="4"/>
  <c r="H73" i="4"/>
  <c r="H121" i="4"/>
  <c r="E111" i="4"/>
  <c r="I95" i="4"/>
  <c r="G34" i="4"/>
  <c r="E31" i="4"/>
  <c r="H13" i="4"/>
  <c r="J120" i="4"/>
  <c r="J90" i="4"/>
  <c r="H88" i="4"/>
  <c r="J10" i="4"/>
  <c r="I77" i="4"/>
  <c r="H65" i="4"/>
  <c r="T35" i="11"/>
  <c r="C24" i="3"/>
  <c r="J96" i="4"/>
  <c r="I60" i="4"/>
  <c r="E97" i="4"/>
  <c r="I120" i="4"/>
  <c r="J118" i="4"/>
  <c r="H47" i="4"/>
  <c r="H30" i="4"/>
  <c r="I65" i="4"/>
  <c r="F38" i="4"/>
  <c r="H74" i="4"/>
  <c r="G33" i="4"/>
  <c r="J68" i="4"/>
  <c r="F125" i="4"/>
  <c r="J31" i="4"/>
  <c r="W7" i="11"/>
  <c r="G77" i="4"/>
  <c r="T24" i="11"/>
  <c r="W15" i="11"/>
  <c r="F79" i="4"/>
  <c r="F102" i="4"/>
  <c r="F78" i="4"/>
  <c r="I50" i="4"/>
  <c r="G39" i="4"/>
  <c r="E93" i="4"/>
  <c r="J34" i="4"/>
  <c r="G45" i="4"/>
  <c r="G110" i="4"/>
  <c r="E16" i="4"/>
  <c r="I119" i="4"/>
  <c r="I90" i="4"/>
  <c r="E95" i="4"/>
  <c r="F14" i="4"/>
  <c r="I106" i="4"/>
  <c r="W12" i="11"/>
  <c r="D28" i="3"/>
  <c r="J117" i="4"/>
  <c r="J63" i="4"/>
  <c r="J11" i="4"/>
  <c r="F5" i="4"/>
  <c r="E22" i="4"/>
  <c r="E59" i="4"/>
  <c r="G108" i="4"/>
  <c r="I22" i="4"/>
  <c r="I43" i="4"/>
  <c r="H70" i="4"/>
  <c r="H126" i="4"/>
  <c r="F89" i="4"/>
  <c r="E4" i="4"/>
  <c r="T36" i="11"/>
  <c r="W25" i="11"/>
  <c r="H61" i="4"/>
  <c r="I13" i="4"/>
  <c r="J122" i="4"/>
  <c r="E123" i="4"/>
  <c r="G122" i="4"/>
  <c r="I61" i="4"/>
  <c r="H78" i="4"/>
  <c r="J29" i="4"/>
  <c r="I126" i="4"/>
  <c r="J101" i="4"/>
  <c r="I2" i="4"/>
  <c r="H21" i="4"/>
  <c r="G20" i="4"/>
  <c r="H40" i="4"/>
  <c r="G19" i="4"/>
  <c r="G126" i="4"/>
  <c r="F81" i="4"/>
  <c r="H113" i="4"/>
  <c r="T13" i="11"/>
  <c r="G92" i="4"/>
  <c r="E103" i="4"/>
  <c r="J123" i="4"/>
  <c r="I25" i="4"/>
  <c r="I8" i="4"/>
  <c r="H92" i="4"/>
  <c r="F93" i="4"/>
  <c r="J81" i="4"/>
  <c r="G9" i="4"/>
  <c r="J4" i="4"/>
  <c r="I45" i="4"/>
  <c r="G104" i="4"/>
  <c r="J98" i="4"/>
  <c r="T26" i="11"/>
  <c r="F85" i="4"/>
  <c r="F67" i="4"/>
  <c r="E36" i="4"/>
  <c r="F124" i="4"/>
  <c r="F33" i="4"/>
  <c r="E17" i="4"/>
  <c r="G7" i="4"/>
  <c r="J32" i="4"/>
  <c r="J45" i="4"/>
  <c r="F82" i="4"/>
  <c r="J42" i="4"/>
  <c r="H28" i="4"/>
  <c r="I58" i="4"/>
  <c r="I125" i="4"/>
  <c r="I108" i="4"/>
  <c r="W37" i="11"/>
  <c r="E57" i="4"/>
  <c r="G76" i="4"/>
  <c r="I12" i="4"/>
  <c r="H68" i="4"/>
  <c r="H42" i="4"/>
  <c r="E112" i="4"/>
  <c r="F92" i="4"/>
  <c r="G43" i="4"/>
  <c r="W33" i="11"/>
  <c r="F51" i="4"/>
  <c r="T33" i="11"/>
  <c r="E20" i="4"/>
  <c r="H16" i="4"/>
  <c r="J85" i="4"/>
  <c r="F52" i="4"/>
  <c r="E90" i="4"/>
  <c r="H122" i="4"/>
  <c r="F73" i="4"/>
  <c r="F12" i="4"/>
  <c r="G124" i="4"/>
  <c r="T28" i="11"/>
  <c r="L1" i="4" a="1"/>
  <c r="W11" i="11"/>
  <c r="H45" i="4"/>
  <c r="J70" i="4"/>
  <c r="I109" i="4"/>
  <c r="E125" i="4"/>
  <c r="E5" i="4"/>
  <c r="E61" i="4"/>
  <c r="H118" i="4"/>
  <c r="J59" i="4"/>
  <c r="H56" i="4"/>
  <c r="I103" i="4"/>
  <c r="T20" i="11"/>
  <c r="W29" i="11"/>
  <c r="G18" i="4"/>
  <c r="E46" i="4"/>
  <c r="F68" i="4"/>
  <c r="G59" i="4"/>
  <c r="F88" i="4"/>
  <c r="J111" i="4"/>
  <c r="J30" i="4"/>
  <c r="F9" i="4"/>
  <c r="G121" i="4"/>
  <c r="E18" i="4"/>
  <c r="I48" i="4"/>
  <c r="F63" i="4"/>
  <c r="J88" i="4"/>
  <c r="G17" i="4"/>
  <c r="H27" i="4"/>
  <c r="H63" i="4"/>
  <c r="W5" i="11"/>
  <c r="E87" i="4"/>
  <c r="I35" i="4"/>
  <c r="F37" i="4"/>
  <c r="I105" i="4"/>
  <c r="G83" i="4"/>
  <c r="I64" i="4"/>
  <c r="H125" i="4"/>
  <c r="E65" i="4"/>
  <c r="J43" i="4"/>
  <c r="J119" i="4"/>
  <c r="E122" i="4"/>
  <c r="T10" i="11"/>
  <c r="G109" i="4"/>
  <c r="J67" i="4"/>
  <c r="C25" i="3" s="1"/>
  <c r="D25" i="3" s="1"/>
  <c r="F18" i="4"/>
  <c r="H31" i="4"/>
  <c r="G67" i="4"/>
  <c r="G70" i="4"/>
  <c r="W26" i="11"/>
  <c r="T31" i="11"/>
  <c r="N17" i="11"/>
  <c r="K9" i="11"/>
  <c r="N23" i="11"/>
  <c r="N37" i="11"/>
  <c r="K16" i="11"/>
  <c r="N10" i="11"/>
  <c r="N38" i="11"/>
  <c r="K27" i="11"/>
  <c r="N20" i="11"/>
  <c r="N27" i="11"/>
  <c r="N30" i="11"/>
  <c r="N28" i="11"/>
  <c r="N32" i="11"/>
  <c r="N3" i="11"/>
  <c r="N5" i="11"/>
  <c r="K23" i="11"/>
  <c r="K25" i="11"/>
  <c r="N25" i="11"/>
  <c r="N4" i="11"/>
  <c r="K22" i="11"/>
  <c r="K3" i="11"/>
  <c r="N26" i="11"/>
  <c r="K14" i="11"/>
  <c r="K12" i="11"/>
  <c r="N12" i="11"/>
  <c r="K39" i="11"/>
  <c r="K8" i="11"/>
  <c r="K5" i="11"/>
  <c r="N35" i="11"/>
  <c r="K35" i="11"/>
  <c r="N9" i="11"/>
  <c r="N36" i="11"/>
  <c r="N33" i="11"/>
  <c r="K20" i="11"/>
  <c r="K24" i="11"/>
  <c r="K38" i="11"/>
  <c r="N24" i="11"/>
  <c r="N11" i="11"/>
  <c r="K31" i="11"/>
  <c r="K19" i="11"/>
  <c r="K15" i="11"/>
  <c r="K7" i="11"/>
  <c r="N21" i="11"/>
  <c r="K29" i="11"/>
  <c r="N29" i="11"/>
  <c r="K26" i="11"/>
  <c r="N31" i="11"/>
  <c r="K6" i="11"/>
  <c r="N39" i="11"/>
  <c r="K11" i="11"/>
  <c r="N8" i="11"/>
  <c r="K34" i="11"/>
  <c r="N13" i="11"/>
  <c r="K30" i="11"/>
  <c r="K32" i="11"/>
  <c r="K36" i="11"/>
  <c r="K18" i="11"/>
  <c r="K37" i="11"/>
  <c r="E15" i="3"/>
  <c r="N18" i="11"/>
  <c r="N15" i="11"/>
  <c r="N34" i="11"/>
  <c r="K4" i="11"/>
  <c r="N7" i="11"/>
  <c r="N19" i="11"/>
  <c r="K17" i="11"/>
  <c r="K13" i="11"/>
  <c r="N14" i="11"/>
  <c r="N22" i="11"/>
  <c r="K10" i="11"/>
  <c r="N6" i="11"/>
  <c r="D15" i="3"/>
  <c r="K33" i="11"/>
  <c r="K21" i="11"/>
  <c r="N16" i="11"/>
  <c r="K28" i="11"/>
  <c r="T30" i="11"/>
  <c r="T34" i="11"/>
  <c r="W34" i="11"/>
  <c r="W21" i="11"/>
  <c r="T23" i="11"/>
  <c r="W39" i="11"/>
  <c r="W13" i="11"/>
  <c r="W30" i="11"/>
  <c r="W9" i="11"/>
  <c r="T27" i="11"/>
  <c r="W16" i="11"/>
  <c r="T9" i="11"/>
  <c r="W35" i="11"/>
  <c r="T4" i="11"/>
  <c r="W3" i="11"/>
  <c r="D24" i="3"/>
  <c r="K1" i="4" a="1"/>
  <c r="L19" i="11" l="1"/>
  <c r="O3" i="11"/>
  <c r="L37" i="11"/>
  <c r="O33" i="11"/>
  <c r="O27" i="11"/>
  <c r="O16" i="11"/>
  <c r="K68" i="4"/>
  <c r="K36" i="4"/>
  <c r="K102" i="4"/>
  <c r="K60" i="4"/>
  <c r="K50" i="4"/>
  <c r="K5" i="4"/>
  <c r="K122" i="4"/>
  <c r="K125" i="4"/>
  <c r="K91" i="4"/>
  <c r="K73" i="4"/>
  <c r="K126" i="4"/>
  <c r="K84" i="4"/>
  <c r="K101" i="4"/>
  <c r="K88" i="4"/>
  <c r="K79" i="4"/>
  <c r="K89" i="4"/>
  <c r="K124" i="4"/>
  <c r="K38" i="4"/>
  <c r="K110" i="4"/>
  <c r="K82" i="4"/>
  <c r="K77" i="4"/>
  <c r="K11" i="4"/>
  <c r="K78" i="4"/>
  <c r="K47" i="4"/>
  <c r="K31" i="4"/>
  <c r="K105" i="4"/>
  <c r="K97" i="4"/>
  <c r="K74" i="4"/>
  <c r="K19" i="4"/>
  <c r="K108" i="4"/>
  <c r="K95" i="4"/>
  <c r="K58" i="4"/>
  <c r="K119" i="4"/>
  <c r="K118" i="4"/>
  <c r="K40" i="4"/>
  <c r="K39" i="4"/>
  <c r="K24" i="4"/>
  <c r="K29" i="4"/>
  <c r="K61" i="4"/>
  <c r="K65" i="4"/>
  <c r="K49" i="4"/>
  <c r="K2" i="4"/>
  <c r="K63" i="4"/>
  <c r="K7" i="4"/>
  <c r="K41" i="4"/>
  <c r="K3" i="4"/>
  <c r="K57" i="4"/>
  <c r="K32" i="4"/>
  <c r="K26" i="4"/>
  <c r="K51" i="4"/>
  <c r="K48" i="4"/>
  <c r="K16" i="4"/>
  <c r="K15" i="4"/>
  <c r="K113" i="4"/>
  <c r="K87" i="4"/>
  <c r="K6" i="4"/>
  <c r="K20" i="4"/>
  <c r="K96" i="4"/>
  <c r="K106" i="4"/>
  <c r="K23" i="4"/>
  <c r="K71" i="4"/>
  <c r="K34" i="4"/>
  <c r="K70" i="4"/>
  <c r="K53" i="4"/>
  <c r="K37" i="4"/>
  <c r="K8" i="4"/>
  <c r="K116" i="4"/>
  <c r="K12" i="4"/>
  <c r="K121" i="4"/>
  <c r="K99" i="4"/>
  <c r="K44" i="4"/>
  <c r="K94" i="4"/>
  <c r="K25" i="4"/>
  <c r="K103" i="4"/>
  <c r="K111" i="4"/>
  <c r="K45" i="4"/>
  <c r="K52" i="4"/>
  <c r="K90" i="4"/>
  <c r="K56" i="4"/>
  <c r="K55" i="4"/>
  <c r="K75" i="4"/>
  <c r="K114" i="4"/>
  <c r="K112" i="4"/>
  <c r="K27" i="4"/>
  <c r="K86" i="4"/>
  <c r="K107" i="4"/>
  <c r="K1" i="4"/>
  <c r="K9" i="4"/>
  <c r="K13" i="4"/>
  <c r="K72" i="4"/>
  <c r="K17" i="4"/>
  <c r="K22" i="4"/>
  <c r="K59" i="4"/>
  <c r="K30" i="4"/>
  <c r="K115" i="4"/>
  <c r="K104" i="4"/>
  <c r="K21" i="4"/>
  <c r="K83" i="4"/>
  <c r="K76" i="4"/>
  <c r="K123" i="4"/>
  <c r="K4" i="4"/>
  <c r="K81" i="4"/>
  <c r="K100" i="4"/>
  <c r="K117" i="4"/>
  <c r="K46" i="4"/>
  <c r="K42" i="4"/>
  <c r="K14" i="4"/>
  <c r="K85" i="4"/>
  <c r="K18" i="4"/>
  <c r="K98" i="4"/>
  <c r="K33" i="4"/>
  <c r="K43" i="4"/>
  <c r="K109" i="4"/>
  <c r="K69" i="4"/>
  <c r="K93" i="4"/>
  <c r="K80" i="4"/>
  <c r="K10" i="4"/>
  <c r="K54" i="4"/>
  <c r="K120" i="4"/>
  <c r="K66" i="4"/>
  <c r="K35" i="4"/>
  <c r="K92" i="4"/>
  <c r="K67" i="4"/>
  <c r="K28" i="4"/>
  <c r="K64" i="4"/>
  <c r="K62" i="4"/>
  <c r="L13" i="11"/>
  <c r="O7" i="11"/>
  <c r="L18" i="11"/>
  <c r="O36" i="11"/>
  <c r="O20" i="11"/>
  <c r="O6" i="11"/>
  <c r="O26" i="11"/>
  <c r="O21" i="11"/>
  <c r="L25" i="11"/>
  <c r="O15" i="11"/>
  <c r="L36" i="11"/>
  <c r="O9" i="11"/>
  <c r="L27" i="11"/>
  <c r="L12" i="11"/>
  <c r="O29" i="11"/>
  <c r="L22" i="11"/>
  <c r="L31" i="11"/>
  <c r="L38" i="11"/>
  <c r="L32" i="11"/>
  <c r="L35" i="11"/>
  <c r="O38" i="11"/>
  <c r="O31" i="11"/>
  <c r="O22" i="11"/>
  <c r="L17" i="11"/>
  <c r="L4" i="11"/>
  <c r="O32" i="11"/>
  <c r="L30" i="11"/>
  <c r="O35" i="11"/>
  <c r="O10" i="11"/>
  <c r="L28" i="11"/>
  <c r="L7" i="11"/>
  <c r="L23" i="11"/>
  <c r="L24" i="11"/>
  <c r="O13" i="11"/>
  <c r="L5" i="11"/>
  <c r="L16" i="11"/>
  <c r="L14" i="11"/>
  <c r="L3" i="11"/>
  <c r="O4" i="11"/>
  <c r="L33" i="11"/>
  <c r="O28" i="11"/>
  <c r="L34" i="11"/>
  <c r="L8" i="11"/>
  <c r="O37" i="11"/>
  <c r="L26" i="11"/>
  <c r="L29" i="11"/>
  <c r="O19" i="11"/>
  <c r="O11" i="11"/>
  <c r="O18" i="11"/>
  <c r="O8" i="11"/>
  <c r="L39" i="11"/>
  <c r="O23" i="11"/>
  <c r="L10" i="11"/>
  <c r="O14" i="11"/>
  <c r="L15" i="11"/>
  <c r="O34" i="11"/>
  <c r="O30" i="11"/>
  <c r="L11" i="11"/>
  <c r="L9" i="11"/>
  <c r="L21" i="11"/>
  <c r="O25" i="11"/>
  <c r="O5" i="11"/>
  <c r="L20" i="11"/>
  <c r="O39" i="11"/>
  <c r="X24" i="11"/>
  <c r="U34" i="11"/>
  <c r="X39" i="11"/>
  <c r="U29" i="11"/>
  <c r="X32" i="11"/>
  <c r="U25" i="11"/>
  <c r="X29" i="11"/>
  <c r="X11" i="11"/>
  <c r="U33" i="11"/>
  <c r="X34" i="11"/>
  <c r="X13" i="11"/>
  <c r="X15" i="11"/>
  <c r="X36" i="11"/>
  <c r="U14" i="11"/>
  <c r="U16" i="11"/>
  <c r="U35" i="11"/>
  <c r="X18" i="11"/>
  <c r="X14" i="11"/>
  <c r="X30" i="11"/>
  <c r="U18" i="11"/>
  <c r="U19" i="11"/>
  <c r="U13" i="11"/>
  <c r="U11" i="11"/>
  <c r="X28" i="11"/>
  <c r="X4" i="11"/>
  <c r="X21" i="11"/>
  <c r="X9" i="11"/>
  <c r="X25" i="11"/>
  <c r="X5" i="11"/>
  <c r="X37" i="11"/>
  <c r="U26" i="11"/>
  <c r="U21" i="11"/>
  <c r="U6" i="11"/>
  <c r="X23" i="11"/>
  <c r="U27" i="11"/>
  <c r="U8" i="11"/>
  <c r="X10" i="11"/>
  <c r="U3" i="11"/>
  <c r="U39" i="11"/>
  <c r="U31" i="11"/>
  <c r="U10" i="11"/>
  <c r="U23" i="11"/>
  <c r="X16" i="11"/>
  <c r="X12" i="11"/>
  <c r="X6" i="11"/>
  <c r="O24" i="11"/>
  <c r="L6" i="11"/>
  <c r="X8" i="11"/>
  <c r="D37" i="11"/>
  <c r="E37" i="11" s="1"/>
  <c r="U15" i="11"/>
  <c r="O17" i="11"/>
  <c r="L1" i="4"/>
  <c r="L122" i="4"/>
  <c r="L41" i="4"/>
  <c r="L118" i="4"/>
  <c r="L93" i="4"/>
  <c r="L101" i="4"/>
  <c r="L59" i="4"/>
  <c r="L87" i="4"/>
  <c r="L63" i="4"/>
  <c r="L77" i="4"/>
  <c r="L120" i="4"/>
  <c r="L14" i="4"/>
  <c r="L54" i="4"/>
  <c r="L30" i="4"/>
  <c r="L25" i="4"/>
  <c r="L100" i="4"/>
  <c r="L40" i="4"/>
  <c r="L121" i="4"/>
  <c r="L11" i="4"/>
  <c r="L12" i="4"/>
  <c r="L88" i="4"/>
  <c r="L90" i="4"/>
  <c r="L119" i="4"/>
  <c r="L47" i="4"/>
  <c r="L126" i="4"/>
  <c r="L71" i="4"/>
  <c r="L15" i="4"/>
  <c r="L102" i="4"/>
  <c r="L112" i="4"/>
  <c r="L52" i="4"/>
  <c r="L19" i="4"/>
  <c r="L67" i="4"/>
  <c r="L56" i="4"/>
  <c r="L83" i="4"/>
  <c r="L34" i="4"/>
  <c r="L76" i="4"/>
  <c r="L65" i="4"/>
  <c r="L4" i="4"/>
  <c r="L62" i="4"/>
  <c r="L69" i="4"/>
  <c r="L86" i="4"/>
  <c r="L80" i="4"/>
  <c r="L78" i="4"/>
  <c r="L16" i="4"/>
  <c r="L22" i="4"/>
  <c r="L97" i="4"/>
  <c r="L6" i="4"/>
  <c r="L123" i="4"/>
  <c r="L73" i="4"/>
  <c r="L45" i="4"/>
  <c r="L50" i="4"/>
  <c r="L113" i="4"/>
  <c r="L9" i="4"/>
  <c r="L106" i="4"/>
  <c r="L107" i="4"/>
  <c r="L38" i="4"/>
  <c r="L27" i="4"/>
  <c r="L29" i="4"/>
  <c r="L61" i="4"/>
  <c r="L111" i="4"/>
  <c r="L31" i="4"/>
  <c r="L44" i="4"/>
  <c r="L104" i="4"/>
  <c r="L85" i="4"/>
  <c r="L8" i="4"/>
  <c r="L60" i="4"/>
  <c r="L94" i="4"/>
  <c r="L13" i="4"/>
  <c r="L32" i="4"/>
  <c r="L115" i="4"/>
  <c r="L75" i="4"/>
  <c r="L53" i="4"/>
  <c r="L37" i="4"/>
  <c r="L68" i="4"/>
  <c r="L33" i="4"/>
  <c r="L49" i="4"/>
  <c r="L18" i="4"/>
  <c r="L36" i="4"/>
  <c r="L66" i="4"/>
  <c r="L57" i="4"/>
  <c r="L89" i="4"/>
  <c r="L99" i="4"/>
  <c r="L79" i="4"/>
  <c r="L116" i="4"/>
  <c r="L82" i="4"/>
  <c r="L55" i="4"/>
  <c r="L125" i="4"/>
  <c r="L5" i="4"/>
  <c r="L114" i="4"/>
  <c r="L39" i="4"/>
  <c r="L2" i="4"/>
  <c r="L23" i="4"/>
  <c r="L109" i="4"/>
  <c r="L20" i="4"/>
  <c r="L117" i="4"/>
  <c r="L51" i="4"/>
  <c r="L28" i="4"/>
  <c r="L103" i="4"/>
  <c r="L108" i="4"/>
  <c r="L26" i="4"/>
  <c r="L21" i="4"/>
  <c r="L64" i="4"/>
  <c r="L17" i="4"/>
  <c r="L24" i="4"/>
  <c r="L81" i="4"/>
  <c r="L96" i="4"/>
  <c r="L58" i="4"/>
  <c r="L72" i="4"/>
  <c r="L42" i="4"/>
  <c r="L110" i="4"/>
  <c r="L98" i="4"/>
  <c r="L46" i="4"/>
  <c r="L7" i="4"/>
  <c r="L74" i="4"/>
  <c r="L92" i="4"/>
  <c r="L48" i="4"/>
  <c r="L10" i="4"/>
  <c r="L3" i="4"/>
  <c r="L124" i="4"/>
  <c r="L70" i="4"/>
  <c r="L84" i="4"/>
  <c r="L43" i="4"/>
  <c r="L95" i="4"/>
  <c r="L35" i="4"/>
  <c r="L105" i="4"/>
  <c r="L91" i="4"/>
  <c r="O12" i="11"/>
  <c r="U20" i="11"/>
  <c r="U24" i="11"/>
  <c r="D35" i="11"/>
  <c r="E35" i="11" s="1"/>
  <c r="F21" i="11"/>
  <c r="D14" i="11"/>
  <c r="E14" i="11" s="1"/>
  <c r="U36" i="11"/>
  <c r="U38" i="11"/>
  <c r="F11" i="11"/>
  <c r="D31" i="11"/>
  <c r="E31" i="11" s="1"/>
  <c r="F17" i="11"/>
  <c r="D3" i="11"/>
  <c r="E3" i="11" s="1"/>
  <c r="D26" i="11"/>
  <c r="E26" i="11" s="1"/>
  <c r="X26" i="11"/>
  <c r="D15" i="11"/>
  <c r="E15" i="11" s="1"/>
  <c r="U9" i="11"/>
  <c r="U17" i="11"/>
  <c r="U12" i="11"/>
  <c r="X38" i="11"/>
  <c r="U28" i="11"/>
  <c r="D22" i="11"/>
  <c r="E22" i="11" s="1"/>
  <c r="X35" i="11"/>
  <c r="F26" i="11"/>
  <c r="F23" i="11"/>
  <c r="F18" i="11"/>
  <c r="F8" i="11"/>
  <c r="X33" i="11"/>
  <c r="D23" i="11"/>
  <c r="E23" i="11" s="1"/>
  <c r="F5" i="11"/>
  <c r="D8" i="11"/>
  <c r="E8" i="11" s="1"/>
  <c r="X7" i="11"/>
  <c r="U37" i="11"/>
  <c r="U7" i="11"/>
  <c r="X22" i="11"/>
  <c r="D32" i="11"/>
  <c r="E32" i="11" s="1"/>
  <c r="X20" i="11"/>
  <c r="F39" i="11"/>
  <c r="F34" i="11"/>
  <c r="D25" i="11"/>
  <c r="E25" i="11" s="1"/>
  <c r="F32" i="11"/>
  <c r="X27" i="11"/>
  <c r="X31" i="11"/>
  <c r="U4" i="11"/>
  <c r="X19" i="11"/>
  <c r="D5" i="11"/>
  <c r="E5" i="11" s="1"/>
  <c r="X17" i="11"/>
  <c r="X3" i="11"/>
  <c r="U32" i="11"/>
  <c r="U5" i="11"/>
  <c r="D13" i="11"/>
  <c r="E13" i="11" s="1"/>
  <c r="F38" i="11"/>
  <c r="U22" i="11"/>
  <c r="U30" i="11"/>
  <c r="F9" i="11"/>
  <c r="F37" i="11"/>
  <c r="D17" i="11"/>
  <c r="E17" i="11" s="1"/>
  <c r="F33" i="11"/>
  <c r="D27" i="11"/>
  <c r="E27" i="11" s="1"/>
  <c r="D19" i="11"/>
  <c r="E19" i="11" s="1"/>
  <c r="D21" i="11"/>
  <c r="E21" i="11" s="1"/>
  <c r="F24" i="11"/>
  <c r="F10" i="11"/>
  <c r="F6" i="11"/>
  <c r="D4" i="11"/>
  <c r="E4" i="11" s="1"/>
  <c r="D39" i="11"/>
  <c r="E39" i="11" s="1"/>
  <c r="F25" i="11"/>
  <c r="F27" i="11"/>
  <c r="F35" i="11"/>
  <c r="D34" i="11"/>
  <c r="E34" i="11" s="1"/>
  <c r="D38" i="11"/>
  <c r="E38" i="11" s="1"/>
  <c r="F30" i="11"/>
  <c r="D10" i="11"/>
  <c r="E10" i="11" s="1"/>
  <c r="D9" i="11"/>
  <c r="E9" i="11" s="1"/>
  <c r="D24" i="11"/>
  <c r="E24" i="11" s="1"/>
  <c r="F3" i="11"/>
  <c r="D16" i="11"/>
  <c r="E16" i="11" s="1"/>
  <c r="D18" i="11"/>
  <c r="E18" i="11" s="1"/>
  <c r="F31" i="11"/>
  <c r="F22" i="11"/>
  <c r="F16" i="11"/>
  <c r="F20" i="11"/>
  <c r="D20" i="11"/>
  <c r="E20" i="11" s="1"/>
  <c r="D29" i="11"/>
  <c r="E29" i="11" s="1"/>
  <c r="F19" i="11"/>
  <c r="F15" i="11"/>
  <c r="D6" i="11"/>
  <c r="E6" i="11" s="1"/>
  <c r="D11" i="11"/>
  <c r="E11" i="11" s="1"/>
  <c r="F7" i="11"/>
  <c r="F28" i="11"/>
  <c r="F12" i="11"/>
  <c r="F14" i="11"/>
  <c r="D7" i="11"/>
  <c r="E7" i="11" s="1"/>
  <c r="D28" i="11"/>
  <c r="E28" i="11" s="1"/>
  <c r="D36" i="11"/>
  <c r="E36" i="11" s="1"/>
  <c r="F36" i="11"/>
  <c r="D12" i="11"/>
  <c r="E12" i="11" s="1"/>
  <c r="F13" i="11"/>
  <c r="D33" i="11"/>
  <c r="E33" i="11" s="1"/>
  <c r="F29" i="11"/>
  <c r="D30" i="11"/>
  <c r="E30" i="11" s="1"/>
  <c r="F4" i="11"/>
  <c r="E25" i="3"/>
  <c r="E24" i="3"/>
  <c r="E26" i="3"/>
  <c r="D26" i="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E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<sst xmlns="http://schemas.openxmlformats.org/spreadsheetml/2006/main" count="267" uniqueCount="133">
  <si>
    <t>Earliest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</si>
  <si>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</si>
  <si>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</si>
  <si>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</si>
  <si>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</si>
  <si>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</si>
  <si>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</si>
  <si>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</si>
  <si>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</si>
  <si>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</si>
  <si>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</si>
  <si>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</si>
  <si>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</si>
  <si>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</si>
  <si>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</si>
  <si>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</si>
  <si>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</si>
  <si>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</si>
  <si>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</si>
  <si>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</si>
  <si>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</si>
  <si>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</si>
  <si>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</si>
  <si>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</si>
  <si>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</si>
  <si>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</si>
  <si>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</si>
  <si>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</si>
  <si>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</si>
  <si>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</si>
  <si>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</si>
  <si>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</si>
  <si>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</si>
  <si>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</si>
  <si>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</si>
  <si>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</si>
  <si>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</si>
  <si>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</si>
  <si>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</si>
  <si>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AllDepos</t>
  </si>
  <si>
    <t>12Y</t>
  </si>
  <si>
    <t>25Y</t>
  </si>
  <si>
    <t>ObjectOverwrite</t>
  </si>
  <si>
    <t>nIMMFutures</t>
  </si>
  <si>
    <t>nSerialFutures</t>
  </si>
  <si>
    <t>IndexTenor</t>
  </si>
  <si>
    <t>Months</t>
  </si>
  <si>
    <t>IborType</t>
  </si>
  <si>
    <t>SwapFixedFreq</t>
  </si>
  <si>
    <t>Min Distance</t>
  </si>
  <si>
    <t>Rate</t>
  </si>
  <si>
    <t>ON</t>
  </si>
  <si>
    <t/>
  </si>
  <si>
    <t>2W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</si>
  <si>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</si>
  <si>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</si>
  <si>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</si>
  <si>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</si>
  <si>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</si>
  <si>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</si>
  <si>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</si>
  <si>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</si>
  <si>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</si>
  <si>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</si>
  <si>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</si>
  <si>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OIS</t>
  </si>
  <si>
    <t>Discounting2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</si>
  <si>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</si>
  <si>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</si>
  <si>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</si>
  <si>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</si>
  <si>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</si>
  <si>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</si>
  <si>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</si>
  <si>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</si>
  <si>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1W</t>
  </si>
  <si>
    <t>Quote Object ID</t>
  </si>
  <si>
    <t>Length</t>
  </si>
  <si>
    <t>Extrapolation</t>
  </si>
  <si>
    <t>MoneyMarketDayCounter</t>
  </si>
  <si>
    <t>Actual/365 (Fixed)</t>
  </si>
  <si>
    <t>Index</t>
  </si>
  <si>
    <t>Instruemnts Selected</t>
  </si>
  <si>
    <t>Instruments</t>
  </si>
  <si>
    <t>40Y</t>
  </si>
  <si>
    <t>50Y</t>
  </si>
  <si>
    <t>60Y</t>
  </si>
  <si>
    <t>Settl Days</t>
  </si>
  <si>
    <t>LCH Quote Overwrite</t>
  </si>
  <si>
    <t>Fwd start</t>
  </si>
  <si>
    <t>Freq</t>
  </si>
  <si>
    <t>Business Day Convention</t>
  </si>
  <si>
    <t>Day Count Convention</t>
  </si>
  <si>
    <t>Spread</t>
  </si>
  <si>
    <t>0D</t>
  </si>
  <si>
    <t>Modified Following</t>
  </si>
  <si>
    <t>Linear</t>
  </si>
  <si>
    <t>ZeroYield</t>
  </si>
  <si>
    <t>Instruments = REP00078</t>
  </si>
  <si>
    <t>LCH Maturity Date</t>
  </si>
  <si>
    <t>LCH Quote</t>
  </si>
  <si>
    <t>QL Quote</t>
  </si>
  <si>
    <t>QL Maturity</t>
  </si>
  <si>
    <t>Maturity Date</t>
  </si>
  <si>
    <t>LCH Zero</t>
  </si>
  <si>
    <t>QL Zero</t>
  </si>
  <si>
    <t>LCH Discount</t>
  </si>
  <si>
    <t>QL Discount</t>
  </si>
  <si>
    <t>Curve (Linear on Zero) Analysis = REP00079</t>
  </si>
  <si>
    <t>Discount</t>
  </si>
  <si>
    <t>LogCubicNaturalSpline</t>
  </si>
  <si>
    <t>ReLink</t>
  </si>
  <si>
    <t>DiscountingSTD</t>
  </si>
  <si>
    <t>Discounting1</t>
  </si>
  <si>
    <t>LCHlinear</t>
  </si>
  <si>
    <t>LCHcubic</t>
  </si>
  <si>
    <t>_linearLCH</t>
  </si>
  <si>
    <t>_cubicLCH</t>
  </si>
  <si>
    <t>LCHQuoteSuffix</t>
  </si>
  <si>
    <t>_LCHQuote</t>
  </si>
  <si>
    <t>Pillar Date</t>
  </si>
  <si>
    <t>TARGET</t>
  </si>
  <si>
    <t>EUR</t>
  </si>
  <si>
    <t>EON</t>
  </si>
  <si>
    <t>ibor</t>
  </si>
  <si>
    <t>Actual/360</t>
  </si>
  <si>
    <t>eonia</t>
  </si>
  <si>
    <t>TN</t>
  </si>
  <si>
    <t>3W</t>
  </si>
  <si>
    <t>1EON</t>
  </si>
  <si>
    <t>3E</t>
  </si>
  <si>
    <t>Annual</t>
  </si>
  <si>
    <t>Curve (Cubic on LogDiscount) Analysis = REP00101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</si>
</sst>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409]d\-mmm\-yy;@"/>
    <numFmt numFmtId="175" formatCode="mm/dd/yy;@"/>
    <numFmt numFmtId="176" formatCode="_-* #,##0.00_-;\-* #,##0.00_-;_-* &quot;-&quot;??_-;_-@_-"/>
    <numFmt numFmtId="177" formatCode="0.E+00"/>
    <numFmt numFmtId="178" formatCode="0.0000"/>
    <numFmt numFmtId="179" formatCode="0.00000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u/>
      <sz val="8"/>
      <name val="Courier New"/>
      <family val="3"/>
    </font>
    <font>
      <sz val="8"/>
      <color indexed="10"/>
      <name val="Courier New"/>
      <family val="3"/>
    </font>
    <font>
      <i/>
      <sz val="8"/>
      <name val="Courier New"/>
      <family val="3"/>
    </font>
    <font>
      <sz val="7"/>
      <name val="Courier New"/>
      <family val="3"/>
    </font>
    <font>
      <sz val="10"/>
      <name val="Arial"/>
      <family val="2"/>
    </font>
    <font>
      <sz val="8"/>
      <color theme="1"/>
      <name val="Courier New"/>
      <family val="3"/>
    </font>
    <font>
      <sz val="8"/>
      <color rgb="FFFF0000"/>
      <name val="Courier New"/>
      <family val="3"/>
    </font>
    <font>
      <sz val="8"/>
      <name val="Microsoft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8"/>
      <color rgb="FFFF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gray0625">
        <fgColor indexed="22"/>
        <bgColor theme="8" tint="0.5999938962981048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gray0625">
        <fgColor indexed="22"/>
        <bgColor theme="8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2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71" fontId="13" fillId="0" borderId="0"/>
    <xf numFmtId="172" fontId="14" fillId="5" borderId="0">
      <alignment horizontal="center" vertical="center"/>
    </xf>
    <xf numFmtId="173" fontId="12" fillId="0" borderId="0" applyFont="0" applyFill="0" applyBorder="0" applyAlignment="0" applyProtection="0"/>
    <xf numFmtId="173" fontId="12" fillId="0" borderId="0" applyFont="0" applyFill="0" applyBorder="0" applyAlignment="0" applyProtection="0"/>
    <xf numFmtId="0" fontId="3" fillId="0" borderId="0"/>
    <xf numFmtId="0" fontId="19" fillId="0" borderId="0"/>
    <xf numFmtId="0" fontId="2" fillId="0" borderId="0"/>
    <xf numFmtId="9" fontId="2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" fillId="0" borderId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1" fillId="0" borderId="0" applyFont="0" applyFill="0" applyBorder="0" applyAlignment="0" applyProtection="0"/>
    <xf numFmtId="0" fontId="4" fillId="0" borderId="0"/>
  </cellStyleXfs>
  <cellXfs count="259">
    <xf numFmtId="0" fontId="0" fillId="0" borderId="0" xfId="0"/>
    <xf numFmtId="0" fontId="5" fillId="4" borderId="0" xfId="1" applyFont="1" applyFill="1" applyBorder="1"/>
    <xf numFmtId="0" fontId="10" fillId="4" borderId="0" xfId="0" applyFont="1" applyFill="1" applyBorder="1" applyAlignment="1">
      <alignment horizontal="center"/>
    </xf>
    <xf numFmtId="0" fontId="15" fillId="4" borderId="9" xfId="0" applyFont="1" applyFill="1" applyBorder="1"/>
    <xf numFmtId="0" fontId="10" fillId="4" borderId="8" xfId="0" applyFont="1" applyFill="1" applyBorder="1" applyAlignment="1">
      <alignment horizontal="center"/>
    </xf>
    <xf numFmtId="0" fontId="10" fillId="4" borderId="0" xfId="0" applyFont="1" applyFill="1" applyBorder="1"/>
    <xf numFmtId="0" fontId="10" fillId="4" borderId="8" xfId="0" applyFont="1" applyFill="1" applyBorder="1"/>
    <xf numFmtId="0" fontId="10" fillId="4" borderId="22" xfId="0" applyFont="1" applyFill="1" applyBorder="1"/>
    <xf numFmtId="0" fontId="17" fillId="4" borderId="22" xfId="0" applyFont="1" applyFill="1" applyBorder="1" applyAlignment="1">
      <alignment horizontal="left" vertical="center"/>
    </xf>
    <xf numFmtId="0" fontId="15" fillId="4" borderId="13" xfId="0" applyFont="1" applyFill="1" applyBorder="1"/>
    <xf numFmtId="0" fontId="10" fillId="4" borderId="31" xfId="0" applyFont="1" applyFill="1" applyBorder="1"/>
    <xf numFmtId="0" fontId="10" fillId="4" borderId="12" xfId="0" applyFont="1" applyFill="1" applyBorder="1" applyAlignment="1">
      <alignment horizontal="center"/>
    </xf>
    <xf numFmtId="0" fontId="10" fillId="4" borderId="0" xfId="9" applyFont="1" applyFill="1" applyBorder="1" applyAlignment="1">
      <alignment horizontal="center"/>
    </xf>
    <xf numFmtId="0" fontId="10" fillId="0" borderId="0" xfId="9" applyFont="1"/>
    <xf numFmtId="0" fontId="10" fillId="4" borderId="9" xfId="9" applyFont="1" applyFill="1" applyBorder="1"/>
    <xf numFmtId="0" fontId="10" fillId="4" borderId="8" xfId="9" applyFont="1" applyFill="1" applyBorder="1" applyAlignment="1">
      <alignment horizontal="center"/>
    </xf>
    <xf numFmtId="0" fontId="10" fillId="4" borderId="16" xfId="9" applyFont="1" applyFill="1" applyBorder="1"/>
    <xf numFmtId="0" fontId="10" fillId="4" borderId="21" xfId="9" applyFont="1" applyFill="1" applyBorder="1"/>
    <xf numFmtId="0" fontId="10" fillId="4" borderId="17" xfId="9" applyFont="1" applyFill="1" applyBorder="1"/>
    <xf numFmtId="0" fontId="10" fillId="4" borderId="10" xfId="0" applyNumberFormat="1" applyFont="1" applyFill="1" applyBorder="1" applyAlignment="1">
      <alignment horizontal="center"/>
    </xf>
    <xf numFmtId="0" fontId="10" fillId="4" borderId="10" xfId="0" applyNumberFormat="1" applyFont="1" applyFill="1" applyBorder="1" applyAlignment="1">
      <alignment horizontal="right"/>
    </xf>
    <xf numFmtId="0" fontId="10" fillId="4" borderId="14" xfId="0" applyNumberFormat="1" applyFont="1" applyFill="1" applyBorder="1" applyAlignment="1">
      <alignment horizontal="center"/>
    </xf>
    <xf numFmtId="0" fontId="10" fillId="4" borderId="14" xfId="0" applyNumberFormat="1" applyFont="1" applyFill="1" applyBorder="1" applyAlignment="1">
      <alignment horizontal="right"/>
    </xf>
    <xf numFmtId="0" fontId="10" fillId="4" borderId="18" xfId="0" applyNumberFormat="1" applyFont="1" applyFill="1" applyBorder="1" applyAlignment="1">
      <alignment horizontal="center"/>
    </xf>
    <xf numFmtId="0" fontId="10" fillId="4" borderId="18" xfId="0" applyNumberFormat="1" applyFont="1" applyFill="1" applyBorder="1" applyAlignment="1">
      <alignment horizontal="right"/>
    </xf>
    <xf numFmtId="0" fontId="20" fillId="0" borderId="0" xfId="0" applyFont="1" applyFill="1"/>
    <xf numFmtId="0" fontId="20" fillId="0" borderId="16" xfId="0" applyFont="1" applyBorder="1"/>
    <xf numFmtId="0" fontId="20" fillId="0" borderId="21" xfId="0" applyFont="1" applyBorder="1"/>
    <xf numFmtId="0" fontId="20" fillId="0" borderId="17" xfId="0" applyFont="1" applyBorder="1"/>
    <xf numFmtId="0" fontId="10" fillId="4" borderId="21" xfId="9" applyFont="1" applyFill="1" applyBorder="1" applyAlignment="1">
      <alignment horizontal="center" vertical="center"/>
    </xf>
    <xf numFmtId="0" fontId="10" fillId="4" borderId="34" xfId="0" applyFont="1" applyFill="1" applyBorder="1" applyAlignment="1"/>
    <xf numFmtId="0" fontId="10" fillId="4" borderId="20" xfId="0" applyFont="1" applyFill="1" applyBorder="1" applyAlignment="1"/>
    <xf numFmtId="0" fontId="10" fillId="4" borderId="33" xfId="0" applyFont="1" applyFill="1" applyBorder="1" applyAlignment="1"/>
    <xf numFmtId="0" fontId="10" fillId="4" borderId="11" xfId="0" applyNumberFormat="1" applyFont="1" applyFill="1" applyBorder="1" applyAlignment="1"/>
    <xf numFmtId="0" fontId="10" fillId="4" borderId="15" xfId="0" applyNumberFormat="1" applyFont="1" applyFill="1" applyBorder="1" applyAlignment="1"/>
    <xf numFmtId="0" fontId="10" fillId="4" borderId="19" xfId="0" applyNumberFormat="1" applyFont="1" applyFill="1" applyBorder="1" applyAlignment="1"/>
    <xf numFmtId="0" fontId="20" fillId="6" borderId="12" xfId="0" applyFont="1" applyFill="1" applyBorder="1"/>
    <xf numFmtId="0" fontId="20" fillId="6" borderId="31" xfId="0" applyFont="1" applyFill="1" applyBorder="1"/>
    <xf numFmtId="0" fontId="20" fillId="6" borderId="13" xfId="0" applyFont="1" applyFill="1" applyBorder="1"/>
    <xf numFmtId="0" fontId="20" fillId="6" borderId="8" xfId="0" applyFont="1" applyFill="1" applyBorder="1"/>
    <xf numFmtId="0" fontId="20" fillId="6" borderId="9" xfId="0" applyFont="1" applyFill="1" applyBorder="1"/>
    <xf numFmtId="0" fontId="20" fillId="6" borderId="0" xfId="0" applyFont="1" applyFill="1" applyBorder="1"/>
    <xf numFmtId="0" fontId="20" fillId="6" borderId="10" xfId="0" applyFont="1" applyFill="1" applyBorder="1"/>
    <xf numFmtId="164" fontId="20" fillId="6" borderId="10" xfId="2" applyNumberFormat="1" applyFont="1" applyFill="1" applyBorder="1"/>
    <xf numFmtId="0" fontId="20" fillId="6" borderId="11" xfId="0" applyFont="1" applyFill="1" applyBorder="1"/>
    <xf numFmtId="0" fontId="20" fillId="6" borderId="14" xfId="0" applyFont="1" applyFill="1" applyBorder="1"/>
    <xf numFmtId="164" fontId="20" fillId="6" borderId="14" xfId="2" applyNumberFormat="1" applyFont="1" applyFill="1" applyBorder="1"/>
    <xf numFmtId="0" fontId="20" fillId="6" borderId="15" xfId="0" applyFont="1" applyFill="1" applyBorder="1"/>
    <xf numFmtId="0" fontId="20" fillId="6" borderId="18" xfId="0" applyFont="1" applyFill="1" applyBorder="1"/>
    <xf numFmtId="164" fontId="20" fillId="6" borderId="18" xfId="2" applyNumberFormat="1" applyFont="1" applyFill="1" applyBorder="1"/>
    <xf numFmtId="0" fontId="20" fillId="6" borderId="19" xfId="0" applyFont="1" applyFill="1" applyBorder="1"/>
    <xf numFmtId="0" fontId="11" fillId="4" borderId="24" xfId="9" applyFont="1" applyFill="1" applyBorder="1" applyAlignment="1">
      <alignment horizontal="center" vertical="center" wrapText="1"/>
    </xf>
    <xf numFmtId="0" fontId="20" fillId="8" borderId="3" xfId="0" applyFont="1" applyFill="1" applyBorder="1"/>
    <xf numFmtId="0" fontId="20" fillId="8" borderId="22" xfId="0" applyFont="1" applyFill="1" applyBorder="1"/>
    <xf numFmtId="0" fontId="20" fillId="0" borderId="37" xfId="0" applyFont="1" applyFill="1" applyBorder="1"/>
    <xf numFmtId="166" fontId="10" fillId="0" borderId="14" xfId="9" applyNumberFormat="1" applyFont="1" applyFill="1" applyBorder="1" applyAlignment="1"/>
    <xf numFmtId="164" fontId="20" fillId="0" borderId="14" xfId="0" applyNumberFormat="1" applyFont="1" applyFill="1" applyBorder="1"/>
    <xf numFmtId="177" fontId="20" fillId="9" borderId="14" xfId="0" applyNumberFormat="1" applyFont="1" applyFill="1" applyBorder="1"/>
    <xf numFmtId="0" fontId="20" fillId="0" borderId="5" xfId="0" applyFont="1" applyFill="1" applyBorder="1"/>
    <xf numFmtId="166" fontId="10" fillId="0" borderId="18" xfId="9" applyNumberFormat="1" applyFont="1" applyFill="1" applyBorder="1" applyAlignment="1"/>
    <xf numFmtId="164" fontId="20" fillId="0" borderId="18" xfId="0" applyNumberFormat="1" applyFont="1" applyFill="1" applyBorder="1"/>
    <xf numFmtId="177" fontId="20" fillId="9" borderId="18" xfId="0" applyNumberFormat="1" applyFont="1" applyFill="1" applyBorder="1"/>
    <xf numFmtId="178" fontId="20" fillId="0" borderId="14" xfId="0" applyNumberFormat="1" applyFont="1" applyFill="1" applyBorder="1"/>
    <xf numFmtId="167" fontId="10" fillId="0" borderId="14" xfId="9" applyNumberFormat="1" applyFont="1" applyFill="1" applyBorder="1" applyAlignment="1"/>
    <xf numFmtId="170" fontId="10" fillId="6" borderId="0" xfId="9" applyNumberFormat="1" applyFont="1" applyFill="1" applyBorder="1" applyAlignment="1">
      <alignment horizontal="right"/>
    </xf>
    <xf numFmtId="11" fontId="20" fillId="6" borderId="0" xfId="0" applyNumberFormat="1" applyFont="1" applyFill="1" applyBorder="1"/>
    <xf numFmtId="0" fontId="20" fillId="6" borderId="16" xfId="0" applyFont="1" applyFill="1" applyBorder="1"/>
    <xf numFmtId="170" fontId="10" fillId="6" borderId="21" xfId="9" applyNumberFormat="1" applyFont="1" applyFill="1" applyBorder="1" applyAlignment="1">
      <alignment horizontal="right"/>
    </xf>
    <xf numFmtId="0" fontId="20" fillId="6" borderId="21" xfId="0" applyFont="1" applyFill="1" applyBorder="1"/>
    <xf numFmtId="0" fontId="20" fillId="6" borderId="17" xfId="0" applyFont="1" applyFill="1" applyBorder="1"/>
    <xf numFmtId="0" fontId="20" fillId="10" borderId="0" xfId="0" applyFont="1" applyFill="1"/>
    <xf numFmtId="170" fontId="10" fillId="10" borderId="0" xfId="9" applyNumberFormat="1" applyFont="1" applyFill="1" applyBorder="1" applyAlignment="1">
      <alignment horizontal="right"/>
    </xf>
    <xf numFmtId="0" fontId="0" fillId="10" borderId="0" xfId="0" applyFill="1" applyBorder="1"/>
    <xf numFmtId="0" fontId="20" fillId="10" borderId="0" xfId="0" applyFont="1" applyFill="1" applyBorder="1"/>
    <xf numFmtId="0" fontId="0" fillId="10" borderId="0" xfId="0" applyFill="1"/>
    <xf numFmtId="0" fontId="10" fillId="8" borderId="24" xfId="9" applyFont="1" applyFill="1" applyBorder="1" applyAlignment="1">
      <alignment horizontal="centerContinuous" vertical="center" wrapText="1"/>
    </xf>
    <xf numFmtId="0" fontId="16" fillId="11" borderId="22" xfId="9" applyNumberFormat="1" applyFont="1" applyFill="1" applyBorder="1" applyAlignment="1" applyProtection="1">
      <alignment horizontal="left" vertical="center"/>
    </xf>
    <xf numFmtId="0" fontId="16" fillId="11" borderId="10" xfId="9" applyNumberFormat="1" applyFont="1" applyFill="1" applyBorder="1" applyAlignment="1" applyProtection="1">
      <alignment horizontal="left" vertical="center"/>
    </xf>
    <xf numFmtId="0" fontId="16" fillId="11" borderId="14" xfId="9" applyNumberFormat="1" applyFont="1" applyFill="1" applyBorder="1" applyAlignment="1" applyProtection="1">
      <alignment horizontal="left" vertical="center"/>
    </xf>
    <xf numFmtId="0" fontId="16" fillId="11" borderId="18" xfId="9" applyNumberFormat="1" applyFont="1" applyFill="1" applyBorder="1" applyAlignment="1" applyProtection="1">
      <alignment horizontal="left" vertical="center"/>
    </xf>
    <xf numFmtId="0" fontId="10" fillId="6" borderId="0" xfId="9" applyNumberFormat="1" applyFont="1" applyFill="1" applyBorder="1" applyAlignment="1" applyProtection="1">
      <alignment horizontal="left" vertical="center"/>
    </xf>
    <xf numFmtId="0" fontId="21" fillId="6" borderId="0" xfId="0" applyFont="1" applyFill="1" applyBorder="1"/>
    <xf numFmtId="0" fontId="11" fillId="8" borderId="22" xfId="11" applyFont="1" applyFill="1" applyBorder="1" applyAlignment="1">
      <alignment horizontal="center" vertical="center" wrapText="1"/>
    </xf>
    <xf numFmtId="0" fontId="10" fillId="11" borderId="22" xfId="11" applyNumberFormat="1" applyFont="1" applyFill="1" applyBorder="1" applyAlignment="1" applyProtection="1">
      <alignment horizontal="center" vertical="center"/>
    </xf>
    <xf numFmtId="0" fontId="16" fillId="11" borderId="22" xfId="11" applyNumberFormat="1" applyFont="1" applyFill="1" applyBorder="1" applyAlignment="1" applyProtection="1">
      <alignment horizontal="left" vertical="center"/>
    </xf>
    <xf numFmtId="0" fontId="16" fillId="11" borderId="10" xfId="11" applyNumberFormat="1" applyFont="1" applyFill="1" applyBorder="1" applyAlignment="1" applyProtection="1">
      <alignment horizontal="left" vertical="center"/>
    </xf>
    <xf numFmtId="0" fontId="16" fillId="11" borderId="14" xfId="11" applyNumberFormat="1" applyFont="1" applyFill="1" applyBorder="1" applyAlignment="1" applyProtection="1">
      <alignment horizontal="left" vertical="center"/>
    </xf>
    <xf numFmtId="0" fontId="10" fillId="10" borderId="0" xfId="0" applyFont="1" applyFill="1"/>
    <xf numFmtId="0" fontId="10" fillId="10" borderId="0" xfId="0" applyFont="1" applyFill="1" applyAlignment="1">
      <alignment horizontal="left"/>
    </xf>
    <xf numFmtId="0" fontId="10" fillId="6" borderId="8" xfId="9" applyFont="1" applyFill="1" applyBorder="1" applyAlignment="1">
      <alignment horizontal="center"/>
    </xf>
    <xf numFmtId="0" fontId="10" fillId="6" borderId="9" xfId="9" applyFont="1" applyFill="1" applyBorder="1"/>
    <xf numFmtId="175" fontId="10" fillId="0" borderId="22" xfId="9" applyNumberFormat="1" applyFont="1" applyFill="1" applyBorder="1" applyAlignment="1">
      <alignment horizontal="left"/>
    </xf>
    <xf numFmtId="0" fontId="10" fillId="11" borderId="10" xfId="11" applyNumberFormat="1" applyFont="1" applyFill="1" applyBorder="1" applyAlignment="1" applyProtection="1">
      <alignment horizontal="center" vertical="center"/>
    </xf>
    <xf numFmtId="0" fontId="10" fillId="6" borderId="25" xfId="11" applyFont="1" applyFill="1" applyBorder="1" applyAlignment="1">
      <alignment vertical="center" wrapText="1"/>
    </xf>
    <xf numFmtId="0" fontId="10" fillId="4" borderId="22" xfId="11" applyNumberFormat="1" applyFont="1" applyFill="1" applyBorder="1" applyAlignment="1">
      <alignment horizontal="left"/>
    </xf>
    <xf numFmtId="174" fontId="16" fillId="11" borderId="22" xfId="11" applyNumberFormat="1" applyFont="1" applyFill="1" applyBorder="1" applyAlignment="1" applyProtection="1">
      <alignment horizontal="left"/>
    </xf>
    <xf numFmtId="0" fontId="10" fillId="8" borderId="34" xfId="9" applyFont="1" applyFill="1" applyBorder="1" applyAlignment="1">
      <alignment horizontal="centerContinuous" vertical="center" wrapText="1"/>
    </xf>
    <xf numFmtId="0" fontId="10" fillId="4" borderId="22" xfId="9" applyFont="1" applyFill="1" applyBorder="1" applyAlignment="1">
      <alignment horizontal="center" vertical="center" wrapText="1"/>
    </xf>
    <xf numFmtId="0" fontId="10" fillId="6" borderId="25" xfId="11" applyFont="1" applyFill="1" applyBorder="1"/>
    <xf numFmtId="0" fontId="10" fillId="12" borderId="0" xfId="9" applyFont="1" applyFill="1"/>
    <xf numFmtId="0" fontId="10" fillId="12" borderId="0" xfId="9" applyFont="1" applyFill="1" applyAlignment="1">
      <alignment horizontal="center" vertical="center"/>
    </xf>
    <xf numFmtId="0" fontId="10" fillId="12" borderId="0" xfId="0" applyFont="1" applyFill="1"/>
    <xf numFmtId="0" fontId="10" fillId="4" borderId="12" xfId="9" applyFont="1" applyFill="1" applyBorder="1"/>
    <xf numFmtId="0" fontId="10" fillId="4" borderId="31" xfId="9" applyFont="1" applyFill="1" applyBorder="1"/>
    <xf numFmtId="0" fontId="10" fillId="4" borderId="31" xfId="9" applyFont="1" applyFill="1" applyBorder="1" applyAlignment="1">
      <alignment horizontal="center"/>
    </xf>
    <xf numFmtId="0" fontId="10" fillId="0" borderId="31" xfId="9" applyFont="1" applyBorder="1" applyAlignment="1">
      <alignment horizontal="center"/>
    </xf>
    <xf numFmtId="0" fontId="10" fillId="0" borderId="31" xfId="9" applyFont="1" applyBorder="1" applyAlignment="1">
      <alignment horizontal="center" vertical="center"/>
    </xf>
    <xf numFmtId="0" fontId="17" fillId="4" borderId="38" xfId="9" applyFont="1" applyFill="1" applyBorder="1" applyAlignment="1">
      <alignment horizontal="center" vertical="center"/>
    </xf>
    <xf numFmtId="0" fontId="10" fillId="0" borderId="31" xfId="9" applyFont="1" applyBorder="1"/>
    <xf numFmtId="0" fontId="10" fillId="4" borderId="13" xfId="9" applyFont="1" applyFill="1" applyBorder="1"/>
    <xf numFmtId="0" fontId="11" fillId="8" borderId="27" xfId="9" applyFont="1" applyFill="1" applyBorder="1" applyAlignment="1">
      <alignment horizontal="center" vertical="center" wrapText="1"/>
    </xf>
    <xf numFmtId="0" fontId="11" fillId="8" borderId="7" xfId="9" applyFont="1" applyFill="1" applyBorder="1" applyAlignment="1">
      <alignment horizontal="center" vertical="center" wrapText="1"/>
    </xf>
    <xf numFmtId="0" fontId="11" fillId="8" borderId="1" xfId="9" applyFont="1" applyFill="1" applyBorder="1" applyAlignment="1">
      <alignment horizontal="center" vertical="center" wrapText="1"/>
    </xf>
    <xf numFmtId="0" fontId="11" fillId="8" borderId="2" xfId="9" applyFont="1" applyFill="1" applyBorder="1" applyAlignment="1">
      <alignment horizontal="center" vertical="center" wrapText="1"/>
    </xf>
    <xf numFmtId="167" fontId="10" fillId="0" borderId="0" xfId="19" applyNumberFormat="1" applyFont="1"/>
    <xf numFmtId="0" fontId="10" fillId="0" borderId="0" xfId="9" applyFont="1" applyFill="1"/>
    <xf numFmtId="0" fontId="11" fillId="2" borderId="5" xfId="9" applyFont="1" applyFill="1" applyBorder="1" applyAlignment="1">
      <alignment horizontal="right"/>
    </xf>
    <xf numFmtId="3" fontId="10" fillId="3" borderId="6" xfId="9" applyNumberFormat="1" applyFont="1" applyFill="1" applyBorder="1" applyAlignment="1">
      <alignment horizontal="center"/>
    </xf>
    <xf numFmtId="0" fontId="18" fillId="0" borderId="0" xfId="9" applyFont="1"/>
    <xf numFmtId="0" fontId="10" fillId="4" borderId="8" xfId="9" applyFont="1" applyFill="1" applyBorder="1" applyAlignment="1"/>
    <xf numFmtId="164" fontId="10" fillId="4" borderId="0" xfId="9" applyNumberFormat="1" applyFont="1" applyFill="1" applyBorder="1" applyAlignment="1"/>
    <xf numFmtId="166" fontId="10" fillId="4" borderId="0" xfId="9" applyNumberFormat="1" applyFont="1" applyFill="1" applyBorder="1" applyAlignment="1"/>
    <xf numFmtId="166" fontId="10" fillId="4" borderId="9" xfId="9" applyNumberFormat="1" applyFont="1" applyFill="1" applyBorder="1" applyAlignment="1"/>
    <xf numFmtId="179" fontId="20" fillId="0" borderId="0" xfId="0" applyNumberFormat="1" applyFont="1" applyFill="1"/>
    <xf numFmtId="11" fontId="10" fillId="0" borderId="0" xfId="9" applyNumberFormat="1" applyFont="1" applyFill="1"/>
    <xf numFmtId="14" fontId="20" fillId="0" borderId="0" xfId="0" applyNumberFormat="1" applyFont="1" applyFill="1"/>
    <xf numFmtId="0" fontId="11" fillId="2" borderId="3" xfId="9" applyFont="1" applyFill="1" applyBorder="1" applyAlignment="1">
      <alignment horizontal="right"/>
    </xf>
    <xf numFmtId="3" fontId="10" fillId="3" borderId="4" xfId="9" applyNumberFormat="1" applyFont="1" applyFill="1" applyBorder="1" applyAlignment="1">
      <alignment horizontal="center"/>
    </xf>
    <xf numFmtId="0" fontId="11" fillId="2" borderId="39" xfId="9" applyFont="1" applyFill="1" applyBorder="1" applyAlignment="1">
      <alignment horizontal="right"/>
    </xf>
    <xf numFmtId="0" fontId="10" fillId="3" borderId="40" xfId="9" applyFont="1" applyFill="1" applyBorder="1" applyAlignment="1">
      <alignment horizontal="center"/>
    </xf>
    <xf numFmtId="164" fontId="10" fillId="0" borderId="0" xfId="9" applyNumberFormat="1" applyFont="1"/>
    <xf numFmtId="11" fontId="10" fillId="0" borderId="0" xfId="9" applyNumberFormat="1" applyFont="1"/>
    <xf numFmtId="0" fontId="10" fillId="4" borderId="16" xfId="9" applyFont="1" applyFill="1" applyBorder="1" applyAlignment="1"/>
    <xf numFmtId="164" fontId="10" fillId="4" borderId="21" xfId="9" applyNumberFormat="1" applyFont="1" applyFill="1" applyBorder="1" applyAlignment="1"/>
    <xf numFmtId="166" fontId="10" fillId="4" borderId="21" xfId="9" applyNumberFormat="1" applyFont="1" applyFill="1" applyBorder="1" applyAlignment="1"/>
    <xf numFmtId="166" fontId="10" fillId="4" borderId="17" xfId="9" applyNumberFormat="1" applyFont="1" applyFill="1" applyBorder="1" applyAlignment="1"/>
    <xf numFmtId="0" fontId="10" fillId="0" borderId="0" xfId="9" applyFont="1" applyAlignment="1">
      <alignment horizontal="left"/>
    </xf>
    <xf numFmtId="0" fontId="11" fillId="8" borderId="41" xfId="9" applyFont="1" applyFill="1" applyBorder="1" applyAlignment="1">
      <alignment horizontal="center" vertical="center" wrapText="1"/>
    </xf>
    <xf numFmtId="0" fontId="11" fillId="8" borderId="38" xfId="9" applyFont="1" applyFill="1" applyBorder="1" applyAlignment="1">
      <alignment horizontal="center" vertical="center" wrapText="1"/>
    </xf>
    <xf numFmtId="0" fontId="10" fillId="6" borderId="13" xfId="9" applyFont="1" applyFill="1" applyBorder="1"/>
    <xf numFmtId="0" fontId="10" fillId="10" borderId="0" xfId="9" applyFont="1" applyFill="1"/>
    <xf numFmtId="0" fontId="10" fillId="4" borderId="0" xfId="9" applyFont="1" applyFill="1" applyBorder="1" applyAlignment="1">
      <alignment horizontal="left"/>
    </xf>
    <xf numFmtId="164" fontId="10" fillId="4" borderId="0" xfId="19" applyNumberFormat="1" applyFont="1" applyFill="1" applyBorder="1" applyAlignment="1">
      <alignment horizontal="right"/>
    </xf>
    <xf numFmtId="166" fontId="10" fillId="4" borderId="0" xfId="9" applyNumberFormat="1" applyFont="1" applyFill="1" applyBorder="1" applyAlignment="1">
      <alignment horizontal="right"/>
    </xf>
    <xf numFmtId="166" fontId="10" fillId="4" borderId="15" xfId="9" applyNumberFormat="1" applyFont="1" applyFill="1" applyBorder="1" applyAlignment="1">
      <alignment horizontal="right"/>
    </xf>
    <xf numFmtId="0" fontId="10" fillId="4" borderId="23" xfId="9" applyFont="1" applyFill="1" applyBorder="1" applyAlignment="1">
      <alignment horizontal="left"/>
    </xf>
    <xf numFmtId="164" fontId="10" fillId="4" borderId="23" xfId="19" applyNumberFormat="1" applyFont="1" applyFill="1" applyBorder="1" applyAlignment="1">
      <alignment horizontal="right"/>
    </xf>
    <xf numFmtId="0" fontId="10" fillId="4" borderId="23" xfId="9" applyFont="1" applyFill="1" applyBorder="1" applyAlignment="1">
      <alignment horizontal="center"/>
    </xf>
    <xf numFmtId="166" fontId="10" fillId="4" borderId="23" xfId="9" applyNumberFormat="1" applyFont="1" applyFill="1" applyBorder="1" applyAlignment="1">
      <alignment horizontal="right"/>
    </xf>
    <xf numFmtId="166" fontId="10" fillId="4" borderId="11" xfId="9" applyNumberFormat="1" applyFont="1" applyFill="1" applyBorder="1" applyAlignment="1">
      <alignment horizontal="right"/>
    </xf>
    <xf numFmtId="0" fontId="10" fillId="4" borderId="35" xfId="9" applyFont="1" applyFill="1" applyBorder="1" applyAlignment="1">
      <alignment horizontal="left"/>
    </xf>
    <xf numFmtId="164" fontId="10" fillId="4" borderId="35" xfId="19" applyNumberFormat="1" applyFont="1" applyFill="1" applyBorder="1" applyAlignment="1">
      <alignment horizontal="right"/>
    </xf>
    <xf numFmtId="0" fontId="10" fillId="4" borderId="35" xfId="9" applyFont="1" applyFill="1" applyBorder="1" applyAlignment="1">
      <alignment horizontal="center"/>
    </xf>
    <xf numFmtId="166" fontId="10" fillId="4" borderId="35" xfId="9" applyNumberFormat="1" applyFont="1" applyFill="1" applyBorder="1" applyAlignment="1">
      <alignment horizontal="right"/>
    </xf>
    <xf numFmtId="166" fontId="10" fillId="4" borderId="19" xfId="9" applyNumberFormat="1" applyFont="1" applyFill="1" applyBorder="1" applyAlignment="1">
      <alignment horizontal="right"/>
    </xf>
    <xf numFmtId="0" fontId="10" fillId="6" borderId="16" xfId="9" applyFont="1" applyFill="1" applyBorder="1"/>
    <xf numFmtId="0" fontId="10" fillId="6" borderId="21" xfId="9" applyFont="1" applyFill="1" applyBorder="1" applyAlignment="1">
      <alignment horizontal="left"/>
    </xf>
    <xf numFmtId="0" fontId="10" fillId="6" borderId="17" xfId="9" applyFont="1" applyFill="1" applyBorder="1"/>
    <xf numFmtId="0" fontId="10" fillId="10" borderId="0" xfId="9" applyFont="1" applyFill="1" applyBorder="1"/>
    <xf numFmtId="0" fontId="10" fillId="10" borderId="0" xfId="9" applyFont="1" applyFill="1" applyAlignment="1">
      <alignment horizontal="left"/>
    </xf>
    <xf numFmtId="0" fontId="10" fillId="4" borderId="34" xfId="9" applyFont="1" applyFill="1" applyBorder="1" applyAlignment="1">
      <alignment horizontal="left"/>
    </xf>
    <xf numFmtId="0" fontId="10" fillId="4" borderId="20" xfId="9" applyFont="1" applyFill="1" applyBorder="1" applyAlignment="1">
      <alignment horizontal="left"/>
    </xf>
    <xf numFmtId="0" fontId="10" fillId="6" borderId="20" xfId="9" applyFont="1" applyFill="1" applyBorder="1"/>
    <xf numFmtId="0" fontId="10" fillId="6" borderId="33" xfId="9" applyFont="1" applyFill="1" applyBorder="1"/>
    <xf numFmtId="0" fontId="4" fillId="13" borderId="0" xfId="1" applyFont="1" applyFill="1"/>
    <xf numFmtId="0" fontId="4" fillId="4" borderId="8" xfId="1" applyFont="1" applyFill="1" applyBorder="1"/>
    <xf numFmtId="0" fontId="4" fillId="4" borderId="0" xfId="1" applyFont="1" applyFill="1" applyBorder="1"/>
    <xf numFmtId="0" fontId="4" fillId="4" borderId="9" xfId="1" applyFont="1" applyFill="1" applyBorder="1"/>
    <xf numFmtId="0" fontId="22" fillId="4" borderId="8" xfId="11" applyFont="1" applyFill="1" applyBorder="1"/>
    <xf numFmtId="0" fontId="22" fillId="4" borderId="0" xfId="11" applyFont="1" applyFill="1" applyBorder="1"/>
    <xf numFmtId="0" fontId="22" fillId="4" borderId="9" xfId="11" applyFont="1" applyFill="1" applyBorder="1"/>
    <xf numFmtId="0" fontId="4" fillId="2" borderId="10" xfId="1" applyFont="1" applyFill="1" applyBorder="1"/>
    <xf numFmtId="0" fontId="4" fillId="4" borderId="11" xfId="1" applyFont="1" applyFill="1" applyBorder="1" applyAlignment="1">
      <alignment horizontal="center"/>
    </xf>
    <xf numFmtId="0" fontId="22" fillId="2" borderId="22" xfId="11" applyNumberFormat="1" applyFont="1" applyFill="1" applyBorder="1"/>
    <xf numFmtId="169" fontId="22" fillId="11" borderId="26" xfId="11" applyNumberFormat="1" applyFont="1" applyFill="1" applyBorder="1" applyAlignment="1" applyProtection="1">
      <alignment horizontal="center"/>
    </xf>
    <xf numFmtId="15" fontId="22" fillId="4" borderId="9" xfId="11" applyNumberFormat="1" applyFont="1" applyFill="1" applyBorder="1"/>
    <xf numFmtId="0" fontId="4" fillId="2" borderId="14" xfId="1" applyFont="1" applyFill="1" applyBorder="1"/>
    <xf numFmtId="0" fontId="4" fillId="4" borderId="15" xfId="9" applyFont="1" applyFill="1" applyBorder="1" applyAlignment="1">
      <alignment horizontal="center"/>
    </xf>
    <xf numFmtId="169" fontId="22" fillId="11" borderId="26" xfId="11" quotePrefix="1" applyNumberFormat="1" applyFont="1" applyFill="1" applyBorder="1" applyAlignment="1" applyProtection="1">
      <alignment horizontal="left"/>
    </xf>
    <xf numFmtId="169" fontId="22" fillId="11" borderId="26" xfId="11" quotePrefix="1" applyNumberFormat="1" applyFont="1" applyFill="1" applyBorder="1" applyAlignment="1" applyProtection="1">
      <alignment horizontal="center"/>
    </xf>
    <xf numFmtId="0" fontId="22" fillId="4" borderId="16" xfId="11" applyFont="1" applyFill="1" applyBorder="1"/>
    <xf numFmtId="0" fontId="22" fillId="4" borderId="21" xfId="11" applyFont="1" applyFill="1" applyBorder="1"/>
    <xf numFmtId="0" fontId="22" fillId="4" borderId="17" xfId="11" applyFont="1" applyFill="1" applyBorder="1"/>
    <xf numFmtId="0" fontId="4" fillId="4" borderId="15" xfId="9" quotePrefix="1" applyFont="1" applyFill="1" applyBorder="1" applyAlignment="1">
      <alignment horizontal="center"/>
    </xf>
    <xf numFmtId="0" fontId="4" fillId="13" borderId="0" xfId="21" applyFill="1"/>
    <xf numFmtId="0" fontId="4" fillId="2" borderId="14" xfId="9" applyFont="1" applyFill="1" applyBorder="1"/>
    <xf numFmtId="0" fontId="23" fillId="4" borderId="8" xfId="11" applyFont="1" applyFill="1" applyBorder="1"/>
    <xf numFmtId="0" fontId="23" fillId="4" borderId="0" xfId="11" applyFont="1" applyFill="1" applyBorder="1"/>
    <xf numFmtId="0" fontId="23" fillId="4" borderId="9" xfId="11" applyFont="1" applyFill="1" applyBorder="1"/>
    <xf numFmtId="169" fontId="4" fillId="4" borderId="15" xfId="9" applyNumberFormat="1" applyFont="1" applyFill="1" applyBorder="1" applyAlignment="1">
      <alignment horizontal="center"/>
    </xf>
    <xf numFmtId="0" fontId="24" fillId="2" borderId="22" xfId="11" applyFont="1" applyFill="1" applyBorder="1"/>
    <xf numFmtId="0" fontId="4" fillId="2" borderId="18" xfId="9" applyFont="1" applyFill="1" applyBorder="1"/>
    <xf numFmtId="0" fontId="4" fillId="4" borderId="19" xfId="9" applyFont="1" applyFill="1" applyBorder="1" applyAlignment="1">
      <alignment horizontal="center"/>
    </xf>
    <xf numFmtId="168" fontId="4" fillId="4" borderId="0" xfId="1" applyNumberFormat="1" applyFont="1" applyFill="1" applyBorder="1" applyAlignment="1">
      <alignment horizontal="center"/>
    </xf>
    <xf numFmtId="0" fontId="5" fillId="2" borderId="10" xfId="9" applyFont="1" applyFill="1" applyBorder="1" applyAlignment="1">
      <alignment horizontal="right"/>
    </xf>
    <xf numFmtId="165" fontId="4" fillId="11" borderId="11" xfId="9" quotePrefix="1" applyNumberFormat="1" applyFont="1" applyFill="1" applyBorder="1" applyAlignment="1">
      <alignment horizontal="center"/>
    </xf>
    <xf numFmtId="0" fontId="5" fillId="2" borderId="18" xfId="9" applyFont="1" applyFill="1" applyBorder="1" applyAlignment="1">
      <alignment horizontal="right"/>
    </xf>
    <xf numFmtId="1" fontId="7" fillId="11" borderId="19" xfId="9" applyNumberFormat="1" applyFont="1" applyFill="1" applyBorder="1" applyAlignment="1">
      <alignment horizontal="left"/>
    </xf>
    <xf numFmtId="165" fontId="4" fillId="3" borderId="11" xfId="9" applyNumberFormat="1" applyFont="1" applyFill="1" applyBorder="1" applyAlignment="1">
      <alignment horizontal="center"/>
    </xf>
    <xf numFmtId="0" fontId="2" fillId="4" borderId="16" xfId="11" applyFill="1" applyBorder="1"/>
    <xf numFmtId="0" fontId="2" fillId="4" borderId="21" xfId="11" applyFill="1" applyBorder="1"/>
    <xf numFmtId="0" fontId="2" fillId="4" borderId="17" xfId="11" applyFill="1" applyBorder="1"/>
    <xf numFmtId="0" fontId="5" fillId="2" borderId="14" xfId="9" applyFont="1" applyFill="1" applyBorder="1" applyAlignment="1">
      <alignment horizontal="right"/>
    </xf>
    <xf numFmtId="3" fontId="4" fillId="3" borderId="15" xfId="9" applyNumberFormat="1" applyFont="1" applyFill="1" applyBorder="1" applyAlignment="1">
      <alignment horizontal="center"/>
    </xf>
    <xf numFmtId="0" fontId="4" fillId="4" borderId="15" xfId="1" applyFont="1" applyFill="1" applyBorder="1" applyAlignment="1">
      <alignment horizontal="center"/>
    </xf>
    <xf numFmtId="11" fontId="4" fillId="3" borderId="15" xfId="9" applyNumberFormat="1" applyFont="1" applyFill="1" applyBorder="1" applyAlignment="1">
      <alignment horizontal="center"/>
    </xf>
    <xf numFmtId="0" fontId="4" fillId="3" borderId="15" xfId="9" applyFont="1" applyFill="1" applyBorder="1" applyAlignment="1">
      <alignment horizontal="center"/>
    </xf>
    <xf numFmtId="0" fontId="4" fillId="3" borderId="19" xfId="9" applyFont="1" applyFill="1" applyBorder="1" applyAlignment="1">
      <alignment horizontal="center"/>
    </xf>
    <xf numFmtId="170" fontId="4" fillId="4" borderId="10" xfId="9" applyNumberFormat="1" applyFont="1" applyFill="1" applyBorder="1" applyAlignment="1">
      <alignment horizontal="right"/>
    </xf>
    <xf numFmtId="167" fontId="4" fillId="4" borderId="11" xfId="9" applyNumberFormat="1" applyFont="1" applyFill="1" applyBorder="1" applyAlignment="1">
      <alignment horizontal="center"/>
    </xf>
    <xf numFmtId="170" fontId="4" fillId="4" borderId="14" xfId="9" applyNumberFormat="1" applyFont="1" applyFill="1" applyBorder="1" applyAlignment="1">
      <alignment horizontal="right"/>
    </xf>
    <xf numFmtId="166" fontId="4" fillId="4" borderId="14" xfId="9" applyNumberFormat="1" applyFont="1" applyFill="1" applyBorder="1" applyAlignment="1">
      <alignment horizontal="right"/>
    </xf>
    <xf numFmtId="0" fontId="4" fillId="4" borderId="15" xfId="9" applyFont="1" applyFill="1" applyBorder="1" applyAlignment="1">
      <alignment horizontal="left"/>
    </xf>
    <xf numFmtId="15" fontId="4" fillId="4" borderId="14" xfId="1" applyNumberFormat="1" applyFont="1" applyFill="1" applyBorder="1" applyAlignment="1">
      <alignment horizontal="right" vertical="center"/>
    </xf>
    <xf numFmtId="0" fontId="4" fillId="4" borderId="15" xfId="1" applyFont="1" applyFill="1" applyBorder="1" applyAlignment="1">
      <alignment horizontal="center" vertical="center"/>
    </xf>
    <xf numFmtId="15" fontId="4" fillId="4" borderId="18" xfId="1" applyNumberFormat="1" applyFont="1" applyFill="1" applyBorder="1" applyAlignment="1">
      <alignment horizontal="right" vertical="center"/>
    </xf>
    <xf numFmtId="0" fontId="4" fillId="4" borderId="16" xfId="1" applyFont="1" applyFill="1" applyBorder="1"/>
    <xf numFmtId="0" fontId="4" fillId="4" borderId="21" xfId="1" applyFont="1" applyFill="1" applyBorder="1" applyAlignment="1">
      <alignment horizontal="center" vertical="center"/>
    </xf>
    <xf numFmtId="0" fontId="4" fillId="4" borderId="21" xfId="1" applyFont="1" applyFill="1" applyBorder="1"/>
    <xf numFmtId="0" fontId="4" fillId="4" borderId="17" xfId="1" applyFont="1" applyFill="1" applyBorder="1"/>
    <xf numFmtId="15" fontId="4" fillId="4" borderId="25" xfId="1" applyNumberFormat="1" applyFont="1" applyFill="1" applyBorder="1" applyAlignment="1">
      <alignment horizontal="right" vertical="center"/>
    </xf>
    <xf numFmtId="0" fontId="4" fillId="4" borderId="25" xfId="1" applyFont="1" applyFill="1" applyBorder="1" applyAlignment="1">
      <alignment horizontal="center" vertical="center"/>
    </xf>
    <xf numFmtId="0" fontId="10" fillId="6" borderId="10" xfId="0" applyFont="1" applyFill="1" applyBorder="1"/>
    <xf numFmtId="0" fontId="10" fillId="6" borderId="14" xfId="0" applyFont="1" applyFill="1" applyBorder="1"/>
    <xf numFmtId="0" fontId="10" fillId="6" borderId="18" xfId="0" applyFont="1" applyFill="1" applyBorder="1"/>
    <xf numFmtId="15" fontId="25" fillId="4" borderId="21" xfId="1" applyNumberFormat="1" applyFont="1" applyFill="1" applyBorder="1" applyAlignment="1">
      <alignment horizontal="left" vertical="center"/>
    </xf>
    <xf numFmtId="0" fontId="11" fillId="8" borderId="42" xfId="9" applyFont="1" applyFill="1" applyBorder="1" applyAlignment="1">
      <alignment horizontal="center" vertical="center" wrapText="1"/>
    </xf>
    <xf numFmtId="0" fontId="10" fillId="6" borderId="22" xfId="11" applyFont="1" applyFill="1" applyBorder="1"/>
    <xf numFmtId="0" fontId="10" fillId="6" borderId="22" xfId="11" applyFont="1" applyFill="1" applyBorder="1" applyAlignment="1">
      <alignment vertical="center" wrapText="1"/>
    </xf>
    <xf numFmtId="0" fontId="20" fillId="6" borderId="22" xfId="0" applyFont="1" applyFill="1" applyBorder="1"/>
    <xf numFmtId="0" fontId="4" fillId="4" borderId="19" xfId="1" applyFont="1" applyFill="1" applyBorder="1" applyAlignment="1">
      <alignment horizontal="center" vertical="center"/>
    </xf>
    <xf numFmtId="166" fontId="10" fillId="6" borderId="23" xfId="9" applyNumberFormat="1" applyFont="1" applyFill="1" applyBorder="1" applyAlignment="1"/>
    <xf numFmtId="178" fontId="20" fillId="6" borderId="23" xfId="0" applyNumberFormat="1" applyFont="1" applyFill="1" applyBorder="1"/>
    <xf numFmtId="164" fontId="20" fillId="6" borderId="23" xfId="0" applyNumberFormat="1" applyFont="1" applyFill="1" applyBorder="1"/>
    <xf numFmtId="177" fontId="20" fillId="6" borderId="23" xfId="0" applyNumberFormat="1" applyFont="1" applyFill="1" applyBorder="1"/>
    <xf numFmtId="167" fontId="10" fillId="6" borderId="23" xfId="9" applyNumberFormat="1" applyFont="1" applyFill="1" applyBorder="1" applyAlignment="1"/>
    <xf numFmtId="166" fontId="10" fillId="6" borderId="0" xfId="9" applyNumberFormat="1" applyFont="1" applyFill="1" applyBorder="1" applyAlignment="1"/>
    <xf numFmtId="178" fontId="20" fillId="6" borderId="0" xfId="0" applyNumberFormat="1" applyFont="1" applyFill="1" applyBorder="1"/>
    <xf numFmtId="164" fontId="20" fillId="6" borderId="0" xfId="0" applyNumberFormat="1" applyFont="1" applyFill="1" applyBorder="1"/>
    <xf numFmtId="177" fontId="20" fillId="6" borderId="0" xfId="0" applyNumberFormat="1" applyFont="1" applyFill="1" applyBorder="1"/>
    <xf numFmtId="167" fontId="10" fillId="6" borderId="0" xfId="9" applyNumberFormat="1" applyFont="1" applyFill="1" applyBorder="1" applyAlignment="1"/>
    <xf numFmtId="178" fontId="20" fillId="0" borderId="18" xfId="0" applyNumberFormat="1" applyFont="1" applyFill="1" applyBorder="1"/>
    <xf numFmtId="167" fontId="10" fillId="0" borderId="18" xfId="9" applyNumberFormat="1" applyFont="1" applyFill="1" applyBorder="1" applyAlignment="1"/>
    <xf numFmtId="0" fontId="10" fillId="4" borderId="16" xfId="0" applyFont="1" applyFill="1" applyBorder="1" applyAlignment="1">
      <alignment horizontal="center"/>
    </xf>
    <xf numFmtId="0" fontId="10" fillId="4" borderId="21" xfId="0" applyNumberFormat="1" applyFont="1" applyFill="1" applyBorder="1" applyAlignment="1">
      <alignment horizontal="center"/>
    </xf>
    <xf numFmtId="0" fontId="10" fillId="4" borderId="21" xfId="0" applyFont="1" applyFill="1" applyBorder="1" applyAlignment="1"/>
    <xf numFmtId="0" fontId="15" fillId="4" borderId="17" xfId="0" applyFont="1" applyFill="1" applyBorder="1"/>
    <xf numFmtId="0" fontId="9" fillId="8" borderId="27" xfId="1" applyFont="1" applyFill="1" applyBorder="1" applyAlignment="1">
      <alignment horizontal="center"/>
    </xf>
    <xf numFmtId="0" fontId="9" fillId="8" borderId="32" xfId="1" applyFont="1" applyFill="1" applyBorder="1" applyAlignment="1">
      <alignment horizontal="center"/>
    </xf>
    <xf numFmtId="0" fontId="9" fillId="8" borderId="28" xfId="9" applyFont="1" applyFill="1" applyBorder="1" applyAlignment="1"/>
    <xf numFmtId="0" fontId="9" fillId="8" borderId="28" xfId="1" applyFont="1" applyFill="1" applyBorder="1" applyAlignment="1">
      <alignment horizontal="center"/>
    </xf>
    <xf numFmtId="0" fontId="11" fillId="8" borderId="27" xfId="9" applyFont="1" applyFill="1" applyBorder="1" applyAlignment="1">
      <alignment horizontal="center" vertical="center" wrapText="1"/>
    </xf>
    <xf numFmtId="0" fontId="11" fillId="8" borderId="28" xfId="9" applyFont="1" applyFill="1" applyBorder="1" applyAlignment="1">
      <alignment horizontal="center" vertical="center" wrapText="1"/>
    </xf>
    <xf numFmtId="0" fontId="10" fillId="7" borderId="30" xfId="9" applyNumberFormat="1" applyFont="1" applyFill="1" applyBorder="1" applyAlignment="1" applyProtection="1">
      <alignment horizontal="center" vertical="center"/>
    </xf>
    <xf numFmtId="0" fontId="10" fillId="7" borderId="29" xfId="9" applyNumberFormat="1" applyFont="1" applyFill="1" applyBorder="1" applyAlignment="1" applyProtection="1">
      <alignment horizontal="center" vertical="center"/>
    </xf>
    <xf numFmtId="0" fontId="10" fillId="7" borderId="36" xfId="9" applyNumberFormat="1" applyFont="1" applyFill="1" applyBorder="1" applyAlignment="1" applyProtection="1">
      <alignment horizontal="center" vertical="center"/>
    </xf>
    <xf numFmtId="0" fontId="10" fillId="7" borderId="24" xfId="9" applyNumberFormat="1" applyFont="1" applyFill="1" applyBorder="1" applyAlignment="1" applyProtection="1">
      <alignment horizontal="center" vertical="center"/>
    </xf>
    <xf numFmtId="0" fontId="10" fillId="7" borderId="25" xfId="9" applyNumberFormat="1" applyFont="1" applyFill="1" applyBorder="1" applyAlignment="1" applyProtection="1">
      <alignment horizontal="center" vertical="center"/>
    </xf>
    <xf numFmtId="0" fontId="10" fillId="7" borderId="26" xfId="9" applyNumberFormat="1" applyFont="1" applyFill="1" applyBorder="1" applyAlignment="1" applyProtection="1">
      <alignment horizontal="center" vertical="center"/>
    </xf>
  </cellXfs>
  <cellStyles count="22">
    <cellStyle name="Comma 2" xfId="20"/>
    <cellStyle name="Migliaia (0)_AZIONI" xfId="3"/>
    <cellStyle name="Migliaia_AZIONI" xfId="4"/>
    <cellStyle name="Normal" xfId="0" builtinId="0"/>
    <cellStyle name="Normal 2" xfId="9"/>
    <cellStyle name="Normal 2 2" xfId="10"/>
    <cellStyle name="Normal 3" xfId="11"/>
    <cellStyle name="Normal 3 2" xfId="17"/>
    <cellStyle name="Normal 4" xfId="14"/>
    <cellStyle name="Normal_SwaptionATMVols" xfId="1"/>
    <cellStyle name="Normal_SwaptionATMVols 2" xfId="21"/>
    <cellStyle name="Normale_AZIONI" xfId="5"/>
    <cellStyle name="Percent" xfId="2" builtinId="5"/>
    <cellStyle name="Percent 2" xfId="12"/>
    <cellStyle name="Percent 2 2" xfId="13"/>
    <cellStyle name="Percent 2 2 2" xfId="19"/>
    <cellStyle name="Percent 2 2 3" xfId="18"/>
    <cellStyle name="Percent 2 3" xfId="15"/>
    <cellStyle name="Percent 3" xfId="16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_LCH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VM"/>
      <sheetName val="IM"/>
      <sheetName val="REP00078"/>
      <sheetName val="REP00099"/>
      <sheetName val="REP00079"/>
      <sheetName val="REP00100"/>
      <sheetName val="REP00101"/>
    </sheetNames>
    <sheetDataSet>
      <sheetData sheetId="0"/>
      <sheetData sheetId="1"/>
      <sheetData sheetId="2"/>
      <sheetData sheetId="3">
        <row r="4">
          <cell r="C4" t="str">
            <v>EUR1DOIS</v>
          </cell>
          <cell r="D4">
            <v>42249</v>
          </cell>
          <cell r="F4">
            <v>-1.25E-3</v>
          </cell>
        </row>
        <row r="5">
          <cell r="C5" t="str">
            <v>EUR2DOIS</v>
          </cell>
          <cell r="D5">
            <v>42250</v>
          </cell>
          <cell r="F5">
            <v>-1.25E-3</v>
          </cell>
        </row>
        <row r="6">
          <cell r="C6" t="str">
            <v>EUR1WOIS</v>
          </cell>
          <cell r="D6">
            <v>42257</v>
          </cell>
          <cell r="F6">
            <v>-1.32E-3</v>
          </cell>
        </row>
        <row r="7">
          <cell r="C7" t="str">
            <v>EUR2WOIS</v>
          </cell>
          <cell r="D7">
            <v>42264</v>
          </cell>
          <cell r="F7">
            <v>-1.2800000000000001E-3</v>
          </cell>
        </row>
        <row r="8">
          <cell r="C8" t="str">
            <v>EUR3WOIS</v>
          </cell>
          <cell r="D8">
            <v>42271</v>
          </cell>
          <cell r="F8">
            <v>-1.2750000000000001E-3</v>
          </cell>
        </row>
        <row r="9">
          <cell r="C9" t="str">
            <v>EUR1MOIS</v>
          </cell>
          <cell r="D9">
            <v>42282</v>
          </cell>
          <cell r="F9">
            <v>-1.2416667E-3</v>
          </cell>
        </row>
        <row r="10">
          <cell r="C10" t="str">
            <v>EUR2MOIS</v>
          </cell>
          <cell r="D10">
            <v>42311</v>
          </cell>
          <cell r="F10">
            <v>-1.2949999999999999E-3</v>
          </cell>
        </row>
        <row r="11">
          <cell r="C11" t="str">
            <v>EUR3MOIS</v>
          </cell>
          <cell r="D11">
            <v>42341</v>
          </cell>
          <cell r="F11">
            <v>-1.3075000000000001E-3</v>
          </cell>
        </row>
        <row r="12">
          <cell r="C12" t="str">
            <v>EUR4MOIS</v>
          </cell>
          <cell r="D12">
            <v>42373</v>
          </cell>
          <cell r="F12">
            <v>-1.2866666999999999E-3</v>
          </cell>
        </row>
        <row r="13">
          <cell r="C13" t="str">
            <v>EUR5MOIS</v>
          </cell>
          <cell r="D13">
            <v>42403</v>
          </cell>
          <cell r="F13">
            <v>-1.325E-3</v>
          </cell>
        </row>
        <row r="14">
          <cell r="C14" t="str">
            <v>EUR6MOIS</v>
          </cell>
          <cell r="D14">
            <v>42432</v>
          </cell>
          <cell r="F14">
            <v>-1.3500000000000001E-3</v>
          </cell>
        </row>
        <row r="15">
          <cell r="C15" t="str">
            <v>EUR7MOIS</v>
          </cell>
          <cell r="D15">
            <v>42464</v>
          </cell>
          <cell r="F15">
            <v>-1.3625E-3</v>
          </cell>
        </row>
        <row r="16">
          <cell r="C16" t="str">
            <v>EUR8MOIS</v>
          </cell>
          <cell r="D16">
            <v>42493</v>
          </cell>
          <cell r="F16">
            <v>-1.3675E-3</v>
          </cell>
        </row>
        <row r="17">
          <cell r="C17" t="str">
            <v>EUR9MOIS</v>
          </cell>
          <cell r="D17">
            <v>42524</v>
          </cell>
          <cell r="F17">
            <v>-1.3799999999999999E-3</v>
          </cell>
        </row>
        <row r="18">
          <cell r="C18" t="str">
            <v>EUR10MOIS</v>
          </cell>
          <cell r="D18">
            <v>42555</v>
          </cell>
          <cell r="F18">
            <v>-1.3875000000000001E-3</v>
          </cell>
        </row>
        <row r="19">
          <cell r="C19" t="str">
            <v>EUR11MOIS</v>
          </cell>
          <cell r="D19">
            <v>42585</v>
          </cell>
          <cell r="F19">
            <v>-1.4366667000000001E-3</v>
          </cell>
        </row>
        <row r="20">
          <cell r="C20" t="str">
            <v>EUR1YOIS</v>
          </cell>
          <cell r="D20">
            <v>42618</v>
          </cell>
          <cell r="F20">
            <v>-1.4366667000000001E-3</v>
          </cell>
        </row>
        <row r="21">
          <cell r="C21" t="str">
            <v>EUR15MOIS</v>
          </cell>
          <cell r="D21">
            <v>42709</v>
          </cell>
          <cell r="F21">
            <v>-1.4400000000000001E-3</v>
          </cell>
        </row>
        <row r="22">
          <cell r="C22" t="str">
            <v>EUR18MOIS</v>
          </cell>
          <cell r="D22">
            <v>42797</v>
          </cell>
          <cell r="F22">
            <v>-1.4033333E-3</v>
          </cell>
        </row>
        <row r="23">
          <cell r="C23" t="str">
            <v>EUR21MOIS</v>
          </cell>
          <cell r="D23">
            <v>42891</v>
          </cell>
          <cell r="F23">
            <v>-1.31E-3</v>
          </cell>
        </row>
        <row r="24">
          <cell r="C24" t="str">
            <v>EUR2YOIS</v>
          </cell>
          <cell r="D24">
            <v>42982</v>
          </cell>
          <cell r="F24">
            <v>-1.175E-3</v>
          </cell>
        </row>
        <row r="25">
          <cell r="C25" t="str">
            <v>EUR1EON3E3Y</v>
          </cell>
          <cell r="D25">
            <v>43346</v>
          </cell>
          <cell r="F25">
            <v>-4.8200000000000001E-4</v>
          </cell>
        </row>
        <row r="26">
          <cell r="C26" t="str">
            <v>EUR1EON3E4Y</v>
          </cell>
          <cell r="D26">
            <v>43711</v>
          </cell>
          <cell r="F26">
            <v>6.8274999999999998E-4</v>
          </cell>
        </row>
        <row r="27">
          <cell r="C27" t="str">
            <v>EUR1EON3E5Y</v>
          </cell>
          <cell r="D27">
            <v>44077</v>
          </cell>
          <cell r="F27">
            <v>2.0430000000000001E-3</v>
          </cell>
        </row>
        <row r="28">
          <cell r="C28" t="str">
            <v>EUR1EON3E6Y</v>
          </cell>
          <cell r="D28">
            <v>44442</v>
          </cell>
          <cell r="F28">
            <v>3.5070499999999998E-3</v>
          </cell>
        </row>
        <row r="29">
          <cell r="C29" t="str">
            <v>EUR1EON3E7Y</v>
          </cell>
          <cell r="D29">
            <v>44809</v>
          </cell>
          <cell r="F29">
            <v>4.9900999999999999E-3</v>
          </cell>
        </row>
        <row r="30">
          <cell r="C30" t="str">
            <v>EUR1EON3E8Y</v>
          </cell>
          <cell r="D30">
            <v>45173</v>
          </cell>
          <cell r="F30">
            <v>6.3995500000000004E-3</v>
          </cell>
        </row>
        <row r="31">
          <cell r="C31" t="str">
            <v>EUR1EON3E9Y</v>
          </cell>
          <cell r="D31">
            <v>45538</v>
          </cell>
          <cell r="F31">
            <v>7.7026000000000004E-3</v>
          </cell>
        </row>
        <row r="32">
          <cell r="C32" t="str">
            <v>EUR1EON3E10Y</v>
          </cell>
          <cell r="D32">
            <v>45903</v>
          </cell>
          <cell r="F32">
            <v>8.8521999999999993E-3</v>
          </cell>
        </row>
        <row r="33">
          <cell r="C33" t="str">
            <v>EUR1EON3E12Y</v>
          </cell>
          <cell r="D33">
            <v>46633</v>
          </cell>
          <cell r="F33">
            <v>1.0721400000000001E-2</v>
          </cell>
        </row>
        <row r="34">
          <cell r="C34" t="str">
            <v>EUR1EON3E15Y</v>
          </cell>
          <cell r="D34">
            <v>47729</v>
          </cell>
          <cell r="F34">
            <v>1.27002E-2</v>
          </cell>
        </row>
        <row r="35">
          <cell r="C35" t="str">
            <v>EUR1EON3E20Y</v>
          </cell>
          <cell r="D35">
            <v>49555</v>
          </cell>
          <cell r="F35">
            <v>1.43558E-2</v>
          </cell>
        </row>
        <row r="36">
          <cell r="C36" t="str">
            <v>EUR1EON3E25Y</v>
          </cell>
          <cell r="D36">
            <v>51382</v>
          </cell>
          <cell r="F36">
            <v>1.4874699999999999E-2</v>
          </cell>
        </row>
        <row r="37">
          <cell r="C37" t="str">
            <v>EUR1EON3E30Y</v>
          </cell>
          <cell r="D37">
            <v>53209</v>
          </cell>
          <cell r="F37">
            <v>1.51054E-2</v>
          </cell>
        </row>
        <row r="38">
          <cell r="C38" t="str">
            <v>EUR1EON3E40Y</v>
          </cell>
          <cell r="D38">
            <v>56860</v>
          </cell>
          <cell r="F38">
            <v>1.5446E-2</v>
          </cell>
        </row>
        <row r="39">
          <cell r="C39" t="str">
            <v>EUR1EON3E50Y</v>
          </cell>
          <cell r="D39">
            <v>60513</v>
          </cell>
          <cell r="F39">
            <v>1.5240999999999999E-2</v>
          </cell>
        </row>
        <row r="40">
          <cell r="C40" t="str">
            <v>EUR1EON3E60Y</v>
          </cell>
          <cell r="D40">
            <v>64165</v>
          </cell>
          <cell r="F40">
            <v>1.5055000000000001E-2</v>
          </cell>
        </row>
      </sheetData>
      <sheetData sheetId="4"/>
      <sheetData sheetId="5"/>
      <sheetData sheetId="6">
        <row r="2">
          <cell r="A2" t="str">
            <v>AUD_AONIA_EOD</v>
          </cell>
          <cell r="C2">
            <v>42249</v>
          </cell>
          <cell r="E2">
            <v>1.99994520748366E-2</v>
          </cell>
          <cell r="F2">
            <v>0.99994520848172697</v>
          </cell>
        </row>
        <row r="3">
          <cell r="A3" t="str">
            <v>AUD_AONIA_EOD</v>
          </cell>
          <cell r="C3">
            <v>42255</v>
          </cell>
          <cell r="E3">
            <v>2.00063584461256E-2</v>
          </cell>
          <cell r="F3">
            <v>0.99961639001049596</v>
          </cell>
        </row>
        <row r="4">
          <cell r="A4" t="str">
            <v>AUD_AONIA_EOD</v>
          </cell>
          <cell r="C4">
            <v>42262</v>
          </cell>
          <cell r="E4">
            <v>1.9998880099596401E-2</v>
          </cell>
          <cell r="F4">
            <v>0.99923321379831898</v>
          </cell>
        </row>
        <row r="5">
          <cell r="A5" t="str">
            <v>AUD_AONIA_EOD</v>
          </cell>
          <cell r="C5">
            <v>42269</v>
          </cell>
          <cell r="E5">
            <v>1.9988812456450501E-2</v>
          </cell>
          <cell r="F5">
            <v>0.99885061977940404</v>
          </cell>
        </row>
        <row r="6">
          <cell r="A6" t="str">
            <v>AUD_AONIA_EOD</v>
          </cell>
          <cell r="C6">
            <v>42278</v>
          </cell>
          <cell r="E6">
            <v>1.9975868343834399E-2</v>
          </cell>
          <cell r="F6">
            <v>0.99835949490931897</v>
          </cell>
        </row>
        <row r="7">
          <cell r="A7" t="str">
            <v>AUD_AONIA_EOD</v>
          </cell>
          <cell r="C7">
            <v>42308</v>
          </cell>
          <cell r="E7">
            <v>1.971935048667E-2</v>
          </cell>
          <cell r="F7">
            <v>0.99676371104279604</v>
          </cell>
        </row>
        <row r="8">
          <cell r="A8" t="str">
            <v>AUD_AONIA_EOD</v>
          </cell>
          <cell r="C8">
            <v>42339</v>
          </cell>
          <cell r="E8">
            <v>1.9316451357854501E-2</v>
          </cell>
          <cell r="F8">
            <v>0.99519569537510499</v>
          </cell>
        </row>
        <row r="9">
          <cell r="A9" t="str">
            <v>AUD_AONIA_EOD</v>
          </cell>
          <cell r="C9">
            <v>42369</v>
          </cell>
          <cell r="E9">
            <v>1.8942906377408201E-2</v>
          </cell>
          <cell r="F9">
            <v>0.99373997291786598</v>
          </cell>
        </row>
        <row r="10">
          <cell r="A10" t="str">
            <v>AUD_AONIA_EOD</v>
          </cell>
          <cell r="C10">
            <v>42400</v>
          </cell>
          <cell r="E10">
            <v>1.8680049902357099E-2</v>
          </cell>
          <cell r="F10">
            <v>0.99225108953530905</v>
          </cell>
        </row>
        <row r="11">
          <cell r="A11" t="str">
            <v>AUD_AONIA_EOD</v>
          </cell>
          <cell r="C11">
            <v>42430</v>
          </cell>
          <cell r="E11">
            <v>1.8426669275531399E-2</v>
          </cell>
          <cell r="F11">
            <v>0.99085398891632903</v>
          </cell>
        </row>
        <row r="12">
          <cell r="A12" t="str">
            <v>AUD_AONIA_EOD</v>
          </cell>
          <cell r="C12">
            <v>42460</v>
          </cell>
          <cell r="E12">
            <v>1.82195036000391E-2</v>
          </cell>
          <cell r="F12">
            <v>0.98947350838903203</v>
          </cell>
        </row>
        <row r="13">
          <cell r="A13" t="str">
            <v>AUD_AONIA_EOD</v>
          </cell>
          <cell r="C13">
            <v>42491</v>
          </cell>
          <cell r="E13">
            <v>1.8007121212875201E-2</v>
          </cell>
          <cell r="F13">
            <v>0.98808327078407499</v>
          </cell>
        </row>
        <row r="14">
          <cell r="A14" t="str">
            <v>AUD_AONIA_EOD</v>
          </cell>
          <cell r="C14">
            <v>42521</v>
          </cell>
          <cell r="E14">
            <v>1.7801589870458601E-2</v>
          </cell>
          <cell r="F14">
            <v>0.98677363358262304</v>
          </cell>
        </row>
        <row r="15">
          <cell r="A15" t="str">
            <v>AUD_AONIA_EOD</v>
          </cell>
          <cell r="C15">
            <v>42552</v>
          </cell>
          <cell r="E15">
            <v>1.76592999868035E-2</v>
          </cell>
          <cell r="F15">
            <v>0.98539961486361705</v>
          </cell>
        </row>
        <row r="16">
          <cell r="A16" t="str">
            <v>AUD_AONIA_EOD</v>
          </cell>
          <cell r="C16">
            <v>42582</v>
          </cell>
          <cell r="E16">
            <v>1.75262781307753E-2</v>
          </cell>
          <cell r="F16">
            <v>0.98409017494966999</v>
          </cell>
        </row>
        <row r="17">
          <cell r="A17" t="str">
            <v>AUD_AONIA_EOD</v>
          </cell>
          <cell r="C17">
            <v>42613</v>
          </cell>
          <cell r="E17">
            <v>1.73888222128795E-2</v>
          </cell>
          <cell r="F17">
            <v>0.98276149083940501</v>
          </cell>
        </row>
        <row r="18">
          <cell r="A18" t="str">
            <v>AUD_AONIA_EOD</v>
          </cell>
          <cell r="C18">
            <v>42704</v>
          </cell>
          <cell r="E18">
            <v>1.7346319773627699E-2</v>
          </cell>
          <cell r="F18">
            <v>0.97856211076148103</v>
          </cell>
        </row>
        <row r="19">
          <cell r="A19" t="str">
            <v>AUD_AONIA_EOD</v>
          </cell>
          <cell r="C19">
            <v>42795</v>
          </cell>
          <cell r="E19">
            <v>1.73119296307962E-2</v>
          </cell>
          <cell r="F19">
            <v>0.97438947902386497</v>
          </cell>
        </row>
        <row r="20">
          <cell r="A20" t="str">
            <v>AUD_AONIA_EOD</v>
          </cell>
          <cell r="C20">
            <v>42886</v>
          </cell>
          <cell r="E20">
            <v>1.7444211872959199E-2</v>
          </cell>
          <cell r="F20">
            <v>0.96996865105524799</v>
          </cell>
        </row>
        <row r="21">
          <cell r="A21" t="str">
            <v>AUD_AONIA_EOD</v>
          </cell>
          <cell r="C21">
            <v>42978</v>
          </cell>
          <cell r="E21">
            <v>1.7579820032242399E-2</v>
          </cell>
          <cell r="F21">
            <v>0.96545127925019703</v>
          </cell>
        </row>
        <row r="22">
          <cell r="A22" t="str">
            <v>AUD_AONIA_EOD</v>
          </cell>
          <cell r="C22">
            <v>43343</v>
          </cell>
          <cell r="E22">
            <v>1.8418564940629E-2</v>
          </cell>
          <cell r="F22">
            <v>0.946243167540047</v>
          </cell>
        </row>
        <row r="23">
          <cell r="A23" t="str">
            <v>AUD_AONIA_EOD</v>
          </cell>
          <cell r="C23">
            <v>43708</v>
          </cell>
          <cell r="E23">
            <v>1.9824577793329599E-2</v>
          </cell>
          <cell r="F23">
            <v>0.92376431412189597</v>
          </cell>
        </row>
        <row r="24">
          <cell r="A24" t="str">
            <v>AUD_AONIA_EOD</v>
          </cell>
          <cell r="C24">
            <v>44073</v>
          </cell>
          <cell r="E24">
            <v>2.1382006499715101E-2</v>
          </cell>
          <cell r="F24">
            <v>0.89860651473658104</v>
          </cell>
        </row>
        <row r="25">
          <cell r="A25" t="str">
            <v>AUD_BBSW_EOD</v>
          </cell>
          <cell r="C25">
            <v>42249</v>
          </cell>
          <cell r="E25">
            <v>1.99994520748366E-2</v>
          </cell>
          <cell r="F25">
            <v>0.99994520848172697</v>
          </cell>
        </row>
        <row r="26">
          <cell r="A26" t="str">
            <v>AUD_BBSW_EOD</v>
          </cell>
          <cell r="C26">
            <v>42255</v>
          </cell>
          <cell r="E26">
            <v>2.0099573877958601E-2</v>
          </cell>
          <cell r="F26">
            <v>0.99961460300465699</v>
          </cell>
        </row>
        <row r="27">
          <cell r="A27" t="str">
            <v>AUD_BBSW_EOD</v>
          </cell>
          <cell r="C27">
            <v>42278</v>
          </cell>
          <cell r="E27">
            <v>2.0312601689909199E-2</v>
          </cell>
          <cell r="F27">
            <v>0.99833186398210005</v>
          </cell>
        </row>
        <row r="28">
          <cell r="A28" t="str">
            <v>AUD_BBSW_EOD</v>
          </cell>
          <cell r="C28">
            <v>42308</v>
          </cell>
          <cell r="E28">
            <v>2.0590464053323099E-2</v>
          </cell>
          <cell r="F28">
            <v>0.99662098793716303</v>
          </cell>
        </row>
        <row r="29">
          <cell r="A29" t="str">
            <v>AUD_BBSW_EOD</v>
          </cell>
          <cell r="C29">
            <v>42339</v>
          </cell>
          <cell r="E29">
            <v>2.08775884955173E-2</v>
          </cell>
          <cell r="F29">
            <v>0.99480842564067196</v>
          </cell>
        </row>
        <row r="30">
          <cell r="A30" t="str">
            <v>AUD_BBSW_EOD</v>
          </cell>
          <cell r="C30">
            <v>42430</v>
          </cell>
          <cell r="E30">
            <v>2.02653903880212E-2</v>
          </cell>
          <cell r="F30">
            <v>0.98994594892912702</v>
          </cell>
        </row>
        <row r="31">
          <cell r="A31" t="str">
            <v>AUD_BBSW_EOD</v>
          </cell>
          <cell r="C31">
            <v>42521</v>
          </cell>
          <cell r="E31">
            <v>1.9676701312598601E-2</v>
          </cell>
          <cell r="F31">
            <v>0.98539067270680702</v>
          </cell>
        </row>
        <row r="32">
          <cell r="A32" t="str">
            <v>AUD_BBSW_EOD</v>
          </cell>
          <cell r="C32">
            <v>42613</v>
          </cell>
          <cell r="E32">
            <v>1.9305072302227898E-2</v>
          </cell>
          <cell r="F32">
            <v>0.98088007724996995</v>
          </cell>
        </row>
        <row r="33">
          <cell r="A33" t="str">
            <v>AUD_BBSW_EOD</v>
          </cell>
          <cell r="C33">
            <v>42795</v>
          </cell>
          <cell r="E33">
            <v>1.9118942444872201E-2</v>
          </cell>
          <cell r="F33">
            <v>0.97175435919730202</v>
          </cell>
        </row>
        <row r="34">
          <cell r="A34" t="str">
            <v>AUD_BBSW_EOD</v>
          </cell>
          <cell r="C34">
            <v>42978</v>
          </cell>
          <cell r="E34">
            <v>1.9455190403139599E-2</v>
          </cell>
          <cell r="F34">
            <v>0.96183690433179503</v>
          </cell>
        </row>
        <row r="35">
          <cell r="A35" t="str">
            <v>AUD_BBSW_EOD</v>
          </cell>
          <cell r="C35">
            <v>43343</v>
          </cell>
          <cell r="E35">
            <v>2.0461714409282902E-2</v>
          </cell>
          <cell r="F35">
            <v>0.94046095784630102</v>
          </cell>
        </row>
        <row r="36">
          <cell r="A36" t="str">
            <v>AUD_BBSW_EOD</v>
          </cell>
          <cell r="C36">
            <v>43708</v>
          </cell>
          <cell r="E36">
            <v>2.2897368336566502E-2</v>
          </cell>
          <cell r="F36">
            <v>0.91247966989001905</v>
          </cell>
        </row>
        <row r="37">
          <cell r="A37" t="str">
            <v>AUD_BBSW_EOD</v>
          </cell>
          <cell r="C37">
            <v>44073</v>
          </cell>
          <cell r="E37">
            <v>2.4405753321298199E-2</v>
          </cell>
          <cell r="F37">
            <v>0.88512290615405897</v>
          </cell>
        </row>
        <row r="38">
          <cell r="A38" t="str">
            <v>AUD_BBSW_EOD</v>
          </cell>
          <cell r="C38">
            <v>44438</v>
          </cell>
          <cell r="E38">
            <v>2.5891119379689801E-2</v>
          </cell>
          <cell r="F38">
            <v>0.85611829587055299</v>
          </cell>
        </row>
        <row r="39">
          <cell r="A39" t="str">
            <v>AUD_BBSW_EOD</v>
          </cell>
          <cell r="C39">
            <v>44803</v>
          </cell>
          <cell r="E39">
            <v>2.7376387119675001E-2</v>
          </cell>
          <cell r="F39">
            <v>0.82560840004150204</v>
          </cell>
        </row>
        <row r="40">
          <cell r="A40" t="str">
            <v>AUD_BBSW_EOD</v>
          </cell>
          <cell r="C40">
            <v>45168</v>
          </cell>
          <cell r="E40">
            <v>2.8404207273198999E-2</v>
          </cell>
          <cell r="F40">
            <v>0.79673459697879701</v>
          </cell>
        </row>
        <row r="41">
          <cell r="A41" t="str">
            <v>AUD_BBSW_EOD</v>
          </cell>
          <cell r="C41">
            <v>45533</v>
          </cell>
          <cell r="E41">
            <v>2.9429507054345799E-2</v>
          </cell>
          <cell r="F41">
            <v>0.76730909740013697</v>
          </cell>
        </row>
        <row r="42">
          <cell r="A42" t="str">
            <v>AUD_BBSW_EOD</v>
          </cell>
          <cell r="C42">
            <v>45898</v>
          </cell>
          <cell r="E42">
            <v>3.04548068354926E-2</v>
          </cell>
          <cell r="F42">
            <v>0.73745657905803397</v>
          </cell>
        </row>
        <row r="43">
          <cell r="A43" t="str">
            <v>AUD_BBSW_EOD</v>
          </cell>
          <cell r="C43">
            <v>46628</v>
          </cell>
          <cell r="E43">
            <v>3.2049232419588902E-2</v>
          </cell>
          <cell r="F43">
            <v>0.680729141045749</v>
          </cell>
        </row>
        <row r="44">
          <cell r="A44" t="str">
            <v>AUD_BBSW_EOD</v>
          </cell>
          <cell r="C44">
            <v>47723</v>
          </cell>
          <cell r="E44">
            <v>3.3689890382280201E-2</v>
          </cell>
          <cell r="F44">
            <v>0.60329537741318395</v>
          </cell>
        </row>
        <row r="45">
          <cell r="A45" t="str">
            <v>AUD_BBSW_EOD</v>
          </cell>
          <cell r="C45">
            <v>49548</v>
          </cell>
          <cell r="E45">
            <v>3.52148127765625E-2</v>
          </cell>
          <cell r="F45">
            <v>0.49445642281613</v>
          </cell>
        </row>
        <row r="46">
          <cell r="A46" t="str">
            <v>AUD_BBSW_EOD</v>
          </cell>
          <cell r="C46">
            <v>51373</v>
          </cell>
          <cell r="E46">
            <v>3.5365348963913301E-2</v>
          </cell>
          <cell r="F46">
            <v>0.41307185252393103</v>
          </cell>
        </row>
        <row r="47">
          <cell r="A47" t="str">
            <v>AUD_BBSW_EOD</v>
          </cell>
          <cell r="C47">
            <v>53198</v>
          </cell>
          <cell r="E47">
            <v>3.4952849082642901E-2</v>
          </cell>
          <cell r="F47">
            <v>0.35043309594608002</v>
          </cell>
        </row>
        <row r="48">
          <cell r="A48" t="str">
            <v>CAD_CDOR_EOD</v>
          </cell>
          <cell r="C48">
            <v>42249</v>
          </cell>
          <cell r="E48">
            <v>5.9559514060638502E-3</v>
          </cell>
          <cell r="F48">
            <v>0.99998368245804703</v>
          </cell>
        </row>
        <row r="49">
          <cell r="A49" t="str">
            <v>CAD_CDOR_EOD</v>
          </cell>
          <cell r="C49">
            <v>42255</v>
          </cell>
          <cell r="E49">
            <v>6.2626583742204497E-3</v>
          </cell>
          <cell r="F49">
            <v>0.99987990143536998</v>
          </cell>
        </row>
        <row r="50">
          <cell r="A50" t="str">
            <v>CAD_CDOR_EOD</v>
          </cell>
          <cell r="C50">
            <v>42278</v>
          </cell>
          <cell r="E50">
            <v>6.4259903829513099E-3</v>
          </cell>
          <cell r="F50">
            <v>0.99947197586071901</v>
          </cell>
        </row>
        <row r="51">
          <cell r="A51" t="str">
            <v>CAD_CDOR_EOD</v>
          </cell>
          <cell r="C51">
            <v>42308</v>
          </cell>
          <cell r="E51">
            <v>6.6390321334698302E-3</v>
          </cell>
          <cell r="F51">
            <v>0.998909247555405</v>
          </cell>
        </row>
        <row r="52">
          <cell r="A52" t="str">
            <v>CAD_CDOR_EOD</v>
          </cell>
          <cell r="C52">
            <v>42339</v>
          </cell>
          <cell r="E52">
            <v>6.85917527567229E-3</v>
          </cell>
          <cell r="F52">
            <v>0.99829136562692999</v>
          </cell>
        </row>
        <row r="53">
          <cell r="A53" t="str">
            <v>CAD_CDOR_EOD</v>
          </cell>
          <cell r="C53">
            <v>42430</v>
          </cell>
          <cell r="E53">
            <v>6.6677521340828298E-3</v>
          </cell>
          <cell r="F53">
            <v>0.996680778675061</v>
          </cell>
        </row>
        <row r="54">
          <cell r="A54" t="str">
            <v>CAD_CDOR_EOD</v>
          </cell>
          <cell r="C54">
            <v>42521</v>
          </cell>
          <cell r="E54">
            <v>6.4889493326523101E-3</v>
          </cell>
          <cell r="F54">
            <v>0.99515838006899104</v>
          </cell>
        </row>
        <row r="55">
          <cell r="A55" t="str">
            <v>CAD_CDOR_EOD</v>
          </cell>
          <cell r="C55">
            <v>42613</v>
          </cell>
          <cell r="E55">
            <v>6.4493039992350497E-3</v>
          </cell>
          <cell r="F55">
            <v>0.99357144812558196</v>
          </cell>
        </row>
        <row r="56">
          <cell r="A56" t="str">
            <v>CAD_CDOR_EOD</v>
          </cell>
          <cell r="C56">
            <v>42795</v>
          </cell>
          <cell r="E56">
            <v>6.78318392544912E-3</v>
          </cell>
          <cell r="F56">
            <v>0.98988601004110499</v>
          </cell>
        </row>
        <row r="57">
          <cell r="A57" t="str">
            <v>CAD_CDOR_EOD</v>
          </cell>
          <cell r="C57">
            <v>42978</v>
          </cell>
          <cell r="E57">
            <v>7.1628171760722004E-3</v>
          </cell>
          <cell r="F57">
            <v>0.98577648930398398</v>
          </cell>
        </row>
        <row r="58">
          <cell r="A58" t="str">
            <v>CAD_CDOR_EOD</v>
          </cell>
          <cell r="C58">
            <v>43343</v>
          </cell>
          <cell r="E58">
            <v>8.2947844374570007E-3</v>
          </cell>
          <cell r="F58">
            <v>0.97542270991129498</v>
          </cell>
        </row>
        <row r="59">
          <cell r="A59" t="str">
            <v>CAD_CDOR_EOD</v>
          </cell>
          <cell r="C59">
            <v>43708</v>
          </cell>
          <cell r="E59">
            <v>9.6284872846132703E-3</v>
          </cell>
          <cell r="F59">
            <v>0.96221828253015895</v>
          </cell>
        </row>
        <row r="60">
          <cell r="A60" t="str">
            <v>CAD_CDOR_EOD</v>
          </cell>
          <cell r="C60">
            <v>44073</v>
          </cell>
          <cell r="E60">
            <v>1.11886338463158E-2</v>
          </cell>
          <cell r="F60">
            <v>0.94559287313301099</v>
          </cell>
        </row>
        <row r="61">
          <cell r="A61" t="str">
            <v>CAD_CDOR_EOD</v>
          </cell>
          <cell r="C61">
            <v>44438</v>
          </cell>
          <cell r="E61">
            <v>1.2954899928024399E-2</v>
          </cell>
          <cell r="F61">
            <v>0.92521475618493798</v>
          </cell>
        </row>
        <row r="62">
          <cell r="A62" t="str">
            <v>CAD_CDOR_EOD</v>
          </cell>
          <cell r="C62">
            <v>44803</v>
          </cell>
          <cell r="E62">
            <v>1.4799024030973201E-2</v>
          </cell>
          <cell r="F62">
            <v>0.90159201910796904</v>
          </cell>
        </row>
        <row r="63">
          <cell r="A63" t="str">
            <v>CAD_CDOR_EOD</v>
          </cell>
          <cell r="C63">
            <v>45168</v>
          </cell>
          <cell r="E63">
            <v>1.6542794897254302E-2</v>
          </cell>
          <cell r="F63">
            <v>0.87604102304863896</v>
          </cell>
        </row>
        <row r="64">
          <cell r="A64" t="str">
            <v>CAD_CDOR_EOD</v>
          </cell>
          <cell r="C64">
            <v>45533</v>
          </cell>
          <cell r="E64">
            <v>1.81410438456042E-2</v>
          </cell>
          <cell r="F64">
            <v>0.84936234395347199</v>
          </cell>
        </row>
        <row r="65">
          <cell r="A65" t="str">
            <v>CAD_CDOR_EOD</v>
          </cell>
          <cell r="C65">
            <v>45898</v>
          </cell>
          <cell r="E65">
            <v>1.9562158916723901E-2</v>
          </cell>
          <cell r="F65">
            <v>0.82232335187379701</v>
          </cell>
        </row>
        <row r="66">
          <cell r="A66" t="str">
            <v>CAD_CDOR_EOD</v>
          </cell>
          <cell r="C66">
            <v>46628</v>
          </cell>
          <cell r="E66">
            <v>2.1960909999055998E-2</v>
          </cell>
          <cell r="F66">
            <v>0.76833386519753499</v>
          </cell>
        </row>
        <row r="67">
          <cell r="A67" t="str">
            <v>CAD_CDOR_EOD</v>
          </cell>
          <cell r="C67">
            <v>47723</v>
          </cell>
          <cell r="E67">
            <v>2.44722225020165E-2</v>
          </cell>
          <cell r="F67">
            <v>0.69275191040540596</v>
          </cell>
        </row>
        <row r="68">
          <cell r="A68" t="str">
            <v>CAD_CDOR_EOD</v>
          </cell>
          <cell r="C68">
            <v>49548</v>
          </cell>
          <cell r="E68">
            <v>2.60551150671368E-2</v>
          </cell>
          <cell r="F68">
            <v>0.593865568230726</v>
          </cell>
        </row>
        <row r="69">
          <cell r="A69" t="str">
            <v>CAD_CDOR_EOD</v>
          </cell>
          <cell r="C69">
            <v>51373</v>
          </cell>
          <cell r="E69">
            <v>2.63156950987549E-2</v>
          </cell>
          <cell r="F69">
            <v>0.51794181076203105</v>
          </cell>
        </row>
        <row r="70">
          <cell r="A70" t="str">
            <v>CAD_CDOR_EOD</v>
          </cell>
          <cell r="C70">
            <v>53198</v>
          </cell>
          <cell r="E70">
            <v>2.6419384011062301E-2</v>
          </cell>
          <cell r="F70">
            <v>0.45267469668230298</v>
          </cell>
        </row>
        <row r="71">
          <cell r="A71" t="str">
            <v>CAD_CORRA_EOD</v>
          </cell>
          <cell r="C71">
            <v>42249</v>
          </cell>
          <cell r="E71">
            <v>5.9559514060638502E-3</v>
          </cell>
          <cell r="F71">
            <v>0.99998368245804703</v>
          </cell>
        </row>
        <row r="72">
          <cell r="A72" t="str">
            <v>CAD_CORRA_EOD</v>
          </cell>
          <cell r="C72">
            <v>42255</v>
          </cell>
          <cell r="E72">
            <v>5.3437978600288502E-3</v>
          </cell>
          <cell r="F72">
            <v>0.99989752145670896</v>
          </cell>
        </row>
        <row r="73">
          <cell r="A73" t="str">
            <v>CAD_CORRA_EOD</v>
          </cell>
          <cell r="C73">
            <v>42262</v>
          </cell>
          <cell r="E73">
            <v>5.08554447072407E-3</v>
          </cell>
          <cell r="F73">
            <v>0.99980495704365202</v>
          </cell>
        </row>
        <row r="74">
          <cell r="A74" t="str">
            <v>CAD_CORRA_EOD</v>
          </cell>
          <cell r="C74">
            <v>42269</v>
          </cell>
          <cell r="E74">
            <v>4.9032787060419702E-3</v>
          </cell>
          <cell r="F74">
            <v>0.99971793334218095</v>
          </cell>
        </row>
        <row r="75">
          <cell r="A75" t="str">
            <v>CAD_CORRA_EOD</v>
          </cell>
          <cell r="C75">
            <v>42278</v>
          </cell>
          <cell r="E75">
            <v>4.6689370085935501E-3</v>
          </cell>
          <cell r="F75">
            <v>0.99961632537465905</v>
          </cell>
        </row>
        <row r="76">
          <cell r="A76" t="str">
            <v>CAD_CORRA_EOD</v>
          </cell>
          <cell r="C76">
            <v>42308</v>
          </cell>
          <cell r="E76">
            <v>4.4867110214159896E-3</v>
          </cell>
          <cell r="F76">
            <v>0.99926273037913904</v>
          </cell>
        </row>
        <row r="77">
          <cell r="A77" t="str">
            <v>CAD_CORRA_EOD</v>
          </cell>
          <cell r="C77">
            <v>42339</v>
          </cell>
          <cell r="E77">
            <v>4.3290212976974203E-3</v>
          </cell>
          <cell r="F77">
            <v>0.99892129198288704</v>
          </cell>
        </row>
        <row r="78">
          <cell r="A78" t="str">
            <v>CAD_CORRA_EOD</v>
          </cell>
          <cell r="C78">
            <v>42369</v>
          </cell>
          <cell r="E78">
            <v>4.1812339565666899E-3</v>
          </cell>
          <cell r="F78">
            <v>0.998614852508381</v>
          </cell>
        </row>
        <row r="79">
          <cell r="A79" t="str">
            <v>CAD_CORRA_EOD</v>
          </cell>
          <cell r="C79">
            <v>42400</v>
          </cell>
          <cell r="E79">
            <v>4.0568052055135299E-3</v>
          </cell>
          <cell r="F79">
            <v>0.99831201695752803</v>
          </cell>
        </row>
        <row r="80">
          <cell r="A80" t="str">
            <v>CAD_CORRA_EOD</v>
          </cell>
          <cell r="C80">
            <v>42430</v>
          </cell>
          <cell r="E80">
            <v>3.9379068031580996E-3</v>
          </cell>
          <cell r="F80">
            <v>0.99803836751214003</v>
          </cell>
        </row>
        <row r="81">
          <cell r="A81" t="str">
            <v>CAD_CORRA_EOD</v>
          </cell>
          <cell r="C81">
            <v>42460</v>
          </cell>
          <cell r="E81">
            <v>3.8562019512882201E-3</v>
          </cell>
          <cell r="F81">
            <v>0.99776273979283303</v>
          </cell>
        </row>
        <row r="82">
          <cell r="A82" t="str">
            <v>CAD_CORRA_EOD</v>
          </cell>
          <cell r="C82">
            <v>42491</v>
          </cell>
          <cell r="E82">
            <v>3.7911675480875599E-3</v>
          </cell>
          <cell r="F82">
            <v>0.99747919978779898</v>
          </cell>
        </row>
        <row r="83">
          <cell r="A83" t="str">
            <v>CAD_CORRA_EOD</v>
          </cell>
          <cell r="C83">
            <v>42521</v>
          </cell>
          <cell r="E83">
            <v>3.7489233007091702E-3</v>
          </cell>
          <cell r="F83">
            <v>0.99719993829751297</v>
          </cell>
        </row>
        <row r="84">
          <cell r="A84" t="str">
            <v>CAD_CORRA_EOD</v>
          </cell>
          <cell r="C84">
            <v>42552</v>
          </cell>
          <cell r="E84">
            <v>3.7238229199909002E-3</v>
          </cell>
          <cell r="F84">
            <v>0.99690331924646403</v>
          </cell>
        </row>
        <row r="85">
          <cell r="A85" t="str">
            <v>CAD_CORRA_EOD</v>
          </cell>
          <cell r="C85">
            <v>42582</v>
          </cell>
          <cell r="E85">
            <v>3.7111674028375199E-3</v>
          </cell>
          <cell r="F85">
            <v>0.99660978742912398</v>
          </cell>
        </row>
        <row r="86">
          <cell r="A86" t="str">
            <v>CAD_CORRA_EOD</v>
          </cell>
          <cell r="C86">
            <v>42613</v>
          </cell>
          <cell r="E86">
            <v>3.7046812397288301E-3</v>
          </cell>
          <cell r="F86">
            <v>0.99630217262540799</v>
          </cell>
        </row>
        <row r="87">
          <cell r="A87" t="str">
            <v>CAD_CORRA_EOD</v>
          </cell>
          <cell r="C87">
            <v>42704</v>
          </cell>
          <cell r="E87">
            <v>3.8235301390707999E-3</v>
          </cell>
          <cell r="F87">
            <v>0.99523459691772698</v>
          </cell>
        </row>
        <row r="88">
          <cell r="A88" t="str">
            <v>CAD_CORRA_EOD</v>
          </cell>
          <cell r="C88">
            <v>42795</v>
          </cell>
          <cell r="E88">
            <v>3.9454531333259204E-3</v>
          </cell>
          <cell r="F88">
            <v>0.99410467108245604</v>
          </cell>
        </row>
        <row r="89">
          <cell r="A89" t="str">
            <v>CAD_CORRA_EOD</v>
          </cell>
          <cell r="C89">
            <v>42886</v>
          </cell>
          <cell r="E89">
            <v>4.1692592381803398E-3</v>
          </cell>
          <cell r="F89">
            <v>0.99273885373857795</v>
          </cell>
        </row>
        <row r="90">
          <cell r="A90" t="str">
            <v>CAD_CORRA_EOD</v>
          </cell>
          <cell r="C90">
            <v>42978</v>
          </cell>
          <cell r="E90">
            <v>4.3966692252828702E-3</v>
          </cell>
          <cell r="F90">
            <v>0.99124520987774001</v>
          </cell>
        </row>
        <row r="91">
          <cell r="A91" t="str">
            <v>CAD_CORRA_EOD</v>
          </cell>
          <cell r="C91">
            <v>43343</v>
          </cell>
          <cell r="E91">
            <v>5.5506767947843903E-3</v>
          </cell>
          <cell r="F91">
            <v>0.98348584829280306</v>
          </cell>
        </row>
        <row r="92">
          <cell r="A92" t="str">
            <v>CAD_CORRA_EOD</v>
          </cell>
          <cell r="C92">
            <v>43708</v>
          </cell>
          <cell r="E92">
            <v>6.8474182891192703E-3</v>
          </cell>
          <cell r="F92">
            <v>0.97298202266746203</v>
          </cell>
        </row>
        <row r="93">
          <cell r="A93" t="str">
            <v>CAD_CORRA_EOD</v>
          </cell>
          <cell r="C93">
            <v>44073</v>
          </cell>
          <cell r="E93">
            <v>8.3636095830470596E-3</v>
          </cell>
          <cell r="F93">
            <v>0.95904426480148097</v>
          </cell>
        </row>
        <row r="94">
          <cell r="A94" t="str">
            <v>CHF_LIBOR_EOD</v>
          </cell>
          <cell r="C94">
            <v>42249</v>
          </cell>
          <cell r="E94">
            <v>-7.86786257617598E-3</v>
          </cell>
          <cell r="F94">
            <v>1.0000215560202099</v>
          </cell>
        </row>
        <row r="95">
          <cell r="A95" t="str">
            <v>CHF_LIBOR_EOD</v>
          </cell>
          <cell r="C95">
            <v>42255</v>
          </cell>
          <cell r="E95">
            <v>-8.0089847605462096E-3</v>
          </cell>
          <cell r="F95">
            <v>1.0001536087646301</v>
          </cell>
        </row>
        <row r="96">
          <cell r="A96" t="str">
            <v>CHF_LIBOR_EOD</v>
          </cell>
          <cell r="C96">
            <v>42278</v>
          </cell>
          <cell r="E96">
            <v>-7.9422072235666007E-3</v>
          </cell>
          <cell r="F96">
            <v>1.00065299726531</v>
          </cell>
        </row>
        <row r="97">
          <cell r="A97" t="str">
            <v>CHF_LIBOR_EOD</v>
          </cell>
          <cell r="C97">
            <v>42308</v>
          </cell>
          <cell r="E97">
            <v>-7.7661694939688596E-3</v>
          </cell>
          <cell r="F97">
            <v>1.0012774458414799</v>
          </cell>
        </row>
        <row r="98">
          <cell r="A98" t="str">
            <v>CHF_LIBOR_EOD</v>
          </cell>
          <cell r="C98">
            <v>42339</v>
          </cell>
          <cell r="E98">
            <v>-7.5842638400512004E-3</v>
          </cell>
          <cell r="F98">
            <v>1.00189266008311</v>
          </cell>
        </row>
        <row r="99">
          <cell r="A99" t="str">
            <v>CHF_LIBOR_EOD</v>
          </cell>
          <cell r="C99">
            <v>42430</v>
          </cell>
          <cell r="E99">
            <v>-7.5022595169940498E-3</v>
          </cell>
          <cell r="F99">
            <v>1.0037478584131601</v>
          </cell>
        </row>
        <row r="100">
          <cell r="A100" t="str">
            <v>CHF_LIBOR_EOD</v>
          </cell>
          <cell r="C100">
            <v>42521</v>
          </cell>
          <cell r="E100">
            <v>-7.5332913498434703E-3</v>
          </cell>
          <cell r="F100">
            <v>1.00565039273607</v>
          </cell>
        </row>
        <row r="101">
          <cell r="A101" t="str">
            <v>CHF_LIBOR_EOD</v>
          </cell>
          <cell r="C101">
            <v>42613</v>
          </cell>
          <cell r="E101">
            <v>-7.5349578833414704E-3</v>
          </cell>
          <cell r="F101">
            <v>1.0075634171132899</v>
          </cell>
        </row>
        <row r="102">
          <cell r="A102" t="str">
            <v>CHF_LIBOR_EOD</v>
          </cell>
          <cell r="C102">
            <v>42795</v>
          </cell>
          <cell r="E102">
            <v>-6.9662760610463099E-3</v>
          </cell>
          <cell r="F102">
            <v>1.0104945568413299</v>
          </cell>
        </row>
        <row r="103">
          <cell r="A103" t="str">
            <v>CHF_LIBOR_EOD</v>
          </cell>
          <cell r="C103">
            <v>42978</v>
          </cell>
          <cell r="E103">
            <v>-6.3211955420245996E-3</v>
          </cell>
          <cell r="F103">
            <v>1.0127226439496499</v>
          </cell>
        </row>
        <row r="104">
          <cell r="A104" t="str">
            <v>CHF_LIBOR_EOD</v>
          </cell>
          <cell r="C104">
            <v>43343</v>
          </cell>
          <cell r="E104">
            <v>-5.4978733518663099E-3</v>
          </cell>
          <cell r="F104">
            <v>1.0166303907200001</v>
          </cell>
        </row>
        <row r="105">
          <cell r="A105" t="str">
            <v>CHF_LIBOR_EOD</v>
          </cell>
          <cell r="C105">
            <v>43708</v>
          </cell>
          <cell r="E105">
            <v>-4.3806426869261702E-3</v>
          </cell>
          <cell r="F105">
            <v>1.01767699162216</v>
          </cell>
        </row>
        <row r="106">
          <cell r="A106" t="str">
            <v>CHF_LIBOR_EOD</v>
          </cell>
          <cell r="C106">
            <v>44073</v>
          </cell>
          <cell r="E106">
            <v>-3.0468373267236401E-3</v>
          </cell>
          <cell r="F106">
            <v>1.0153508183653499</v>
          </cell>
        </row>
        <row r="107">
          <cell r="A107" t="str">
            <v>CHF_LIBOR_EOD</v>
          </cell>
          <cell r="C107">
            <v>44438</v>
          </cell>
          <cell r="E107">
            <v>-1.61202355507853E-3</v>
          </cell>
          <cell r="F107">
            <v>1.0097190676601</v>
          </cell>
        </row>
        <row r="108">
          <cell r="A108" t="str">
            <v>CHF_LIBOR_EOD</v>
          </cell>
          <cell r="C108">
            <v>44803</v>
          </cell>
          <cell r="E108">
            <v>-2.2697131095659001E-4</v>
          </cell>
          <cell r="F108">
            <v>1.0015900619867999</v>
          </cell>
        </row>
        <row r="109">
          <cell r="A109" t="str">
            <v>CHF_LIBOR_EOD</v>
          </cell>
          <cell r="C109">
            <v>45168</v>
          </cell>
          <cell r="E109">
            <v>1.00356197338416E-3</v>
          </cell>
          <cell r="F109">
            <v>0.99200364650961104</v>
          </cell>
        </row>
        <row r="110">
          <cell r="A110" t="str">
            <v>CHF_LIBOR_EOD</v>
          </cell>
          <cell r="C110">
            <v>45533</v>
          </cell>
          <cell r="E110">
            <v>2.0089736758068699E-3</v>
          </cell>
          <cell r="F110">
            <v>0.98208171320912296</v>
          </cell>
        </row>
        <row r="111">
          <cell r="A111" t="str">
            <v>CHF_LIBOR_EOD</v>
          </cell>
          <cell r="C111">
            <v>45898</v>
          </cell>
          <cell r="E111">
            <v>2.8763366795118801E-3</v>
          </cell>
          <cell r="F111">
            <v>0.97164636105737701</v>
          </cell>
        </row>
        <row r="112">
          <cell r="A112" t="str">
            <v>CHF_LIBOR_EOD</v>
          </cell>
          <cell r="C112">
            <v>46628</v>
          </cell>
          <cell r="E112">
            <v>4.2890398978387197E-3</v>
          </cell>
          <cell r="F112">
            <v>0.94983358940950602</v>
          </cell>
        </row>
        <row r="113">
          <cell r="A113" t="str">
            <v>CHF_LIBOR_EOD</v>
          </cell>
          <cell r="C113">
            <v>47723</v>
          </cell>
          <cell r="E113">
            <v>5.7195116311873698E-3</v>
          </cell>
          <cell r="F113">
            <v>0.91778449165471399</v>
          </cell>
        </row>
        <row r="114">
          <cell r="A114" t="str">
            <v>CHF_LIBOR_EOD</v>
          </cell>
          <cell r="C114">
            <v>49548</v>
          </cell>
          <cell r="E114">
            <v>7.1749105132232899E-3</v>
          </cell>
          <cell r="F114">
            <v>0.86632235067375196</v>
          </cell>
        </row>
        <row r="115">
          <cell r="A115" t="str">
            <v>CHF_LIBOR_EOD</v>
          </cell>
          <cell r="C115">
            <v>51373</v>
          </cell>
          <cell r="E115">
            <v>7.7920821814723203E-3</v>
          </cell>
          <cell r="F115">
            <v>0.82299755056492196</v>
          </cell>
        </row>
        <row r="116">
          <cell r="A116" t="str">
            <v>CHF_LIBOR_EOD</v>
          </cell>
          <cell r="C116">
            <v>53198</v>
          </cell>
          <cell r="E116">
            <v>8.0464749955670208E-3</v>
          </cell>
          <cell r="F116">
            <v>0.78553186949646903</v>
          </cell>
        </row>
        <row r="117">
          <cell r="A117" t="str">
            <v>CHF_TOIS_EOD</v>
          </cell>
          <cell r="C117">
            <v>42249</v>
          </cell>
          <cell r="E117">
            <v>-5.3229554799926601E-3</v>
          </cell>
          <cell r="F117">
            <v>1.0000145835460099</v>
          </cell>
        </row>
        <row r="118">
          <cell r="A118" t="str">
            <v>CHF_TOIS_EOD</v>
          </cell>
          <cell r="C118">
            <v>42255</v>
          </cell>
          <cell r="E118">
            <v>-5.3451303372358903E-3</v>
          </cell>
          <cell r="F118">
            <v>1.0001025146032001</v>
          </cell>
        </row>
        <row r="119">
          <cell r="A119" t="str">
            <v>CHF_TOIS_EOD</v>
          </cell>
          <cell r="C119">
            <v>42262</v>
          </cell>
          <cell r="E119">
            <v>-5.3584318224221801E-3</v>
          </cell>
          <cell r="F119">
            <v>1.0002055500143301</v>
          </cell>
        </row>
        <row r="120">
          <cell r="A120" t="str">
            <v>CHF_TOIS_EOD</v>
          </cell>
          <cell r="C120">
            <v>42269</v>
          </cell>
          <cell r="E120">
            <v>-5.37173330760847E-3</v>
          </cell>
          <cell r="F120">
            <v>1.0003091063922001</v>
          </cell>
        </row>
        <row r="121">
          <cell r="A121" t="str">
            <v>CHF_TOIS_EOD</v>
          </cell>
          <cell r="C121">
            <v>42278</v>
          </cell>
          <cell r="E121">
            <v>-5.3888352171336997E-3</v>
          </cell>
          <cell r="F121">
            <v>1.0004430160657001</v>
          </cell>
        </row>
        <row r="122">
          <cell r="A122" t="str">
            <v>CHF_TOIS_EOD</v>
          </cell>
          <cell r="C122">
            <v>42308</v>
          </cell>
          <cell r="E122">
            <v>-5.5399631759880299E-3</v>
          </cell>
          <cell r="F122">
            <v>1.0009110936721599</v>
          </cell>
        </row>
        <row r="123">
          <cell r="A123" t="str">
            <v>CHF_TOIS_EOD</v>
          </cell>
          <cell r="C123">
            <v>42339</v>
          </cell>
          <cell r="E123">
            <v>-5.5923202776024996E-3</v>
          </cell>
          <cell r="F123">
            <v>1.00139522213106</v>
          </cell>
        </row>
        <row r="124">
          <cell r="A124" t="str">
            <v>CHF_TOIS_EOD</v>
          </cell>
          <cell r="C124">
            <v>42369</v>
          </cell>
          <cell r="E124">
            <v>-5.66147695314326E-3</v>
          </cell>
          <cell r="F124">
            <v>1.00187858071319</v>
          </cell>
        </row>
        <row r="125">
          <cell r="A125" t="str">
            <v>CHF_TOIS_EOD</v>
          </cell>
          <cell r="C125">
            <v>42400</v>
          </cell>
          <cell r="E125">
            <v>-5.7299250687161398E-3</v>
          </cell>
          <cell r="F125">
            <v>1.00238900972343</v>
          </cell>
        </row>
        <row r="126">
          <cell r="A126" t="str">
            <v>CHF_TOIS_EOD</v>
          </cell>
          <cell r="C126">
            <v>42430</v>
          </cell>
          <cell r="E126">
            <v>-5.7150401590413897E-3</v>
          </cell>
          <cell r="F126">
            <v>1.0028537554871999</v>
          </cell>
        </row>
        <row r="127">
          <cell r="A127" t="str">
            <v>CHF_TOIS_EOD</v>
          </cell>
          <cell r="C127">
            <v>42460</v>
          </cell>
          <cell r="E127">
            <v>-5.7200115324655097E-3</v>
          </cell>
          <cell r="F127">
            <v>1.00332783305049</v>
          </cell>
        </row>
        <row r="128">
          <cell r="A128" t="str">
            <v>CHF_TOIS_EOD</v>
          </cell>
          <cell r="C128">
            <v>42491</v>
          </cell>
          <cell r="E128">
            <v>-5.7288148547540397E-3</v>
          </cell>
          <cell r="F128">
            <v>1.00382126057874</v>
          </cell>
        </row>
        <row r="129">
          <cell r="A129" t="str">
            <v>CHF_TOIS_EOD</v>
          </cell>
          <cell r="C129">
            <v>42521</v>
          </cell>
          <cell r="E129">
            <v>-5.7427734035087902E-3</v>
          </cell>
          <cell r="F129">
            <v>1.0043045177695</v>
          </cell>
        </row>
        <row r="130">
          <cell r="A130" t="str">
            <v>CHF_TOIS_EOD</v>
          </cell>
          <cell r="C130">
            <v>42552</v>
          </cell>
          <cell r="E130">
            <v>-5.7731653311385101E-3</v>
          </cell>
          <cell r="F130">
            <v>1.0048199135537601</v>
          </cell>
        </row>
        <row r="131">
          <cell r="A131" t="str">
            <v>CHF_TOIS_EOD</v>
          </cell>
          <cell r="C131">
            <v>42582</v>
          </cell>
          <cell r="E131">
            <v>-5.7477133207333199E-3</v>
          </cell>
          <cell r="F131">
            <v>1.0052734070887299</v>
          </cell>
        </row>
        <row r="132">
          <cell r="A132" t="str">
            <v>CHF_TOIS_EOD</v>
          </cell>
          <cell r="C132">
            <v>42613</v>
          </cell>
          <cell r="E132">
            <v>-5.84926542229189E-3</v>
          </cell>
          <cell r="F132">
            <v>1.0058664057784801</v>
          </cell>
        </row>
        <row r="133">
          <cell r="A133" t="str">
            <v>CHF_TOIS_EOD</v>
          </cell>
          <cell r="C133">
            <v>42704</v>
          </cell>
          <cell r="E133">
            <v>-5.8004992474710599E-3</v>
          </cell>
          <cell r="F133">
            <v>1.0072729716309601</v>
          </cell>
        </row>
        <row r="134">
          <cell r="A134" t="str">
            <v>CHF_TOIS_EOD</v>
          </cell>
          <cell r="C134">
            <v>42795</v>
          </cell>
          <cell r="E134">
            <v>-5.7766473106831001E-3</v>
          </cell>
          <cell r="F134">
            <v>1.00869463844277</v>
          </cell>
        </row>
        <row r="135">
          <cell r="A135" t="str">
            <v>CHF_TOIS_EOD</v>
          </cell>
          <cell r="C135">
            <v>42886</v>
          </cell>
          <cell r="E135">
            <v>-5.6966646337412996E-3</v>
          </cell>
          <cell r="F135">
            <v>1.0100071980740599</v>
          </cell>
        </row>
        <row r="136">
          <cell r="A136" t="str">
            <v>CHF_TOIS_EOD</v>
          </cell>
          <cell r="C136">
            <v>42978</v>
          </cell>
          <cell r="E136">
            <v>-5.6788992576296002E-3</v>
          </cell>
          <cell r="F136">
            <v>1.0114225431956501</v>
          </cell>
        </row>
        <row r="137">
          <cell r="A137" t="str">
            <v>CHF_TOIS_EOD</v>
          </cell>
          <cell r="C137">
            <v>43343</v>
          </cell>
          <cell r="E137">
            <v>-5.1161571909710199E-3</v>
          </cell>
          <cell r="F137">
            <v>1.01546686430302</v>
          </cell>
        </row>
        <row r="138">
          <cell r="A138" t="str">
            <v>CHF_TOIS_EOD</v>
          </cell>
          <cell r="C138">
            <v>43708</v>
          </cell>
          <cell r="E138">
            <v>-4.4587830085985698E-3</v>
          </cell>
          <cell r="F138">
            <v>1.0179951277680299</v>
          </cell>
        </row>
        <row r="139">
          <cell r="A139" t="str">
            <v>CHF_TOIS_EOD</v>
          </cell>
          <cell r="C139">
            <v>44073</v>
          </cell>
          <cell r="E139">
            <v>-3.5820539993913301E-3</v>
          </cell>
          <cell r="F139">
            <v>1.0180716207215601</v>
          </cell>
        </row>
        <row r="140">
          <cell r="A140" t="str">
            <v>CHF_TOIS_EOD</v>
          </cell>
          <cell r="C140">
            <v>44438</v>
          </cell>
          <cell r="E140">
            <v>-2.4640643039907E-3</v>
          </cell>
          <cell r="F140">
            <v>1.01489421544303</v>
          </cell>
        </row>
        <row r="141">
          <cell r="A141" t="str">
            <v>CHF_TOIS_EOD</v>
          </cell>
          <cell r="C141">
            <v>44803</v>
          </cell>
          <cell r="E141">
            <v>-1.3257323154167301E-3</v>
          </cell>
          <cell r="F141">
            <v>1.00932332009063</v>
          </cell>
        </row>
        <row r="142">
          <cell r="A142" t="str">
            <v>CHF_TOIS_EOD</v>
          </cell>
          <cell r="C142">
            <v>45168</v>
          </cell>
          <cell r="E142">
            <v>-2.488405516715E-4</v>
          </cell>
          <cell r="F142">
            <v>1.00199270722074</v>
          </cell>
        </row>
        <row r="143">
          <cell r="A143" t="str">
            <v>CHF_TOIS_EOD</v>
          </cell>
          <cell r="C143">
            <v>45533</v>
          </cell>
          <cell r="E143">
            <v>6.7694516749776997E-4</v>
          </cell>
          <cell r="F143">
            <v>0.99392601517670898</v>
          </cell>
        </row>
        <row r="144">
          <cell r="A144" t="str">
            <v>CHF_TOIS_EOD</v>
          </cell>
          <cell r="C144">
            <v>45898</v>
          </cell>
          <cell r="E144">
            <v>1.50289283819176E-3</v>
          </cell>
          <cell r="F144">
            <v>0.985083442320834</v>
          </cell>
        </row>
        <row r="145">
          <cell r="A145" t="str">
            <v>CHF_TOIS_EOD</v>
          </cell>
          <cell r="C145">
            <v>46628</v>
          </cell>
          <cell r="E145">
            <v>2.9829605368277101E-3</v>
          </cell>
          <cell r="F145">
            <v>0.96483755708309404</v>
          </cell>
        </row>
        <row r="146">
          <cell r="A146" t="str">
            <v>CHF_TOIS_EOD</v>
          </cell>
          <cell r="C146">
            <v>47723</v>
          </cell>
          <cell r="E146">
            <v>4.5301798906046296E-3</v>
          </cell>
          <cell r="F146">
            <v>0.93430466667586498</v>
          </cell>
        </row>
        <row r="147">
          <cell r="A147" t="str">
            <v>CHF_TOIS_EOD</v>
          </cell>
          <cell r="C147">
            <v>49548</v>
          </cell>
          <cell r="E147">
            <v>6.0952233583714197E-3</v>
          </cell>
          <cell r="F147">
            <v>0.88523293327280805</v>
          </cell>
        </row>
        <row r="148">
          <cell r="A148" t="str">
            <v>CHF_TOIS_EOD</v>
          </cell>
          <cell r="C148">
            <v>51373</v>
          </cell>
          <cell r="E148">
            <v>6.8365329925141301E-3</v>
          </cell>
          <cell r="F148">
            <v>0.84289462835520901</v>
          </cell>
        </row>
        <row r="149">
          <cell r="A149" t="str">
            <v>CHF_TOIS_EOD</v>
          </cell>
          <cell r="C149">
            <v>53198</v>
          </cell>
          <cell r="E149">
            <v>7.0854899007932E-3</v>
          </cell>
          <cell r="F149">
            <v>0.80850800656758803</v>
          </cell>
        </row>
        <row r="150">
          <cell r="A150" t="str">
            <v>CZK_PRIBOR_EOD</v>
          </cell>
          <cell r="C150">
            <v>42249</v>
          </cell>
          <cell r="E150">
            <v>1.4194416844029499E-3</v>
          </cell>
          <cell r="F150">
            <v>0.99999611112623399</v>
          </cell>
        </row>
        <row r="151">
          <cell r="A151" t="str">
            <v>CZK_PRIBOR_EOD</v>
          </cell>
          <cell r="C151">
            <v>42255</v>
          </cell>
          <cell r="E151">
            <v>1.47575805693709E-3</v>
          </cell>
          <cell r="F151">
            <v>0.99997169819119303</v>
          </cell>
        </row>
        <row r="152">
          <cell r="A152" t="str">
            <v>CZK_PRIBOR_EOD</v>
          </cell>
          <cell r="C152">
            <v>42278</v>
          </cell>
          <cell r="E152">
            <v>2.0731412320252E-3</v>
          </cell>
          <cell r="F152">
            <v>0.99982961934667702</v>
          </cell>
        </row>
        <row r="153">
          <cell r="A153" t="str">
            <v>CZK_PRIBOR_EOD</v>
          </cell>
          <cell r="C153">
            <v>42308</v>
          </cell>
          <cell r="E153">
            <v>2.3781125674742299E-3</v>
          </cell>
          <cell r="F153">
            <v>0.99960915378645798</v>
          </cell>
        </row>
        <row r="154">
          <cell r="A154" t="str">
            <v>CZK_PRIBOR_EOD</v>
          </cell>
          <cell r="C154">
            <v>42339</v>
          </cell>
          <cell r="E154">
            <v>3.0578431108939401E-3</v>
          </cell>
          <cell r="F154">
            <v>0.99923792416276902</v>
          </cell>
        </row>
        <row r="155">
          <cell r="A155" t="str">
            <v>CZK_PRIBOR_EOD</v>
          </cell>
          <cell r="C155">
            <v>42430</v>
          </cell>
          <cell r="E155">
            <v>3.1316680848854201E-3</v>
          </cell>
          <cell r="F155">
            <v>0.99843967448943505</v>
          </cell>
        </row>
        <row r="156">
          <cell r="A156" t="str">
            <v>CZK_PRIBOR_EOD</v>
          </cell>
          <cell r="C156">
            <v>42521</v>
          </cell>
          <cell r="E156">
            <v>2.9877766927934998E-3</v>
          </cell>
          <cell r="F156">
            <v>0.99776780181563096</v>
          </cell>
        </row>
        <row r="157">
          <cell r="A157" t="str">
            <v>CZK_PRIBOR_EOD</v>
          </cell>
          <cell r="C157">
            <v>42613</v>
          </cell>
          <cell r="E157">
            <v>2.86044791806201E-3</v>
          </cell>
          <cell r="F157">
            <v>0.99714363926509697</v>
          </cell>
        </row>
        <row r="158">
          <cell r="A158" t="str">
            <v>CZK_PRIBOR_EOD</v>
          </cell>
          <cell r="C158">
            <v>42795</v>
          </cell>
          <cell r="E158">
            <v>3.21081000824392E-3</v>
          </cell>
          <cell r="F158">
            <v>0.99519974160106095</v>
          </cell>
        </row>
        <row r="159">
          <cell r="A159" t="str">
            <v>CZK_PRIBOR_EOD</v>
          </cell>
          <cell r="C159">
            <v>42978</v>
          </cell>
          <cell r="E159">
            <v>3.5801616593628101E-3</v>
          </cell>
          <cell r="F159">
            <v>0.99286525072042098</v>
          </cell>
        </row>
        <row r="160">
          <cell r="A160" t="str">
            <v>CZK_PRIBOR_EOD</v>
          </cell>
          <cell r="C160">
            <v>43343</v>
          </cell>
          <cell r="E160">
            <v>4.3932626266113004E-3</v>
          </cell>
          <cell r="F160">
            <v>0.98690668520857505</v>
          </cell>
        </row>
        <row r="161">
          <cell r="A161" t="str">
            <v>CZK_PRIBOR_EOD</v>
          </cell>
          <cell r="C161">
            <v>43708</v>
          </cell>
          <cell r="E161">
            <v>5.5408855887004796E-3</v>
          </cell>
          <cell r="F161">
            <v>0.97808026442095097</v>
          </cell>
        </row>
        <row r="162">
          <cell r="A162" t="str">
            <v>CZK_PRIBOR_EOD</v>
          </cell>
          <cell r="C162">
            <v>44073</v>
          </cell>
          <cell r="E162">
            <v>6.7431854395249204E-3</v>
          </cell>
          <cell r="F162">
            <v>0.96684612031710104</v>
          </cell>
        </row>
        <row r="163">
          <cell r="A163" t="str">
            <v>CZK_PRIBOR_EOD</v>
          </cell>
          <cell r="C163">
            <v>44438</v>
          </cell>
          <cell r="E163">
            <v>7.8406181463607193E-3</v>
          </cell>
          <cell r="F163">
            <v>0.95404569641191395</v>
          </cell>
        </row>
        <row r="164">
          <cell r="A164" t="str">
            <v>CZK_PRIBOR_EOD</v>
          </cell>
          <cell r="C164">
            <v>44803</v>
          </cell>
          <cell r="E164">
            <v>8.8734978545083696E-3</v>
          </cell>
          <cell r="F164">
            <v>0.93977529047532604</v>
          </cell>
        </row>
        <row r="165">
          <cell r="A165" t="str">
            <v>CZK_PRIBOR_EOD</v>
          </cell>
          <cell r="C165">
            <v>45168</v>
          </cell>
          <cell r="E165">
            <v>9.9408807507237393E-3</v>
          </cell>
          <cell r="F165">
            <v>0.92355304120991999</v>
          </cell>
        </row>
        <row r="166">
          <cell r="A166" t="str">
            <v>CZK_PRIBOR_EOD</v>
          </cell>
          <cell r="C166">
            <v>45533</v>
          </cell>
          <cell r="E166">
            <v>1.1067101495042701E-2</v>
          </cell>
          <cell r="F166">
            <v>0.90519588294918596</v>
          </cell>
        </row>
        <row r="167">
          <cell r="A167" t="str">
            <v>CZK_PRIBOR_EOD</v>
          </cell>
          <cell r="C167">
            <v>45898</v>
          </cell>
          <cell r="E167">
            <v>1.19661063815324E-2</v>
          </cell>
          <cell r="F167">
            <v>0.88722109709555297</v>
          </cell>
        </row>
        <row r="168">
          <cell r="A168" t="str">
            <v>CZK_PRIBOR_EOD</v>
          </cell>
          <cell r="C168">
            <v>46628</v>
          </cell>
          <cell r="E168">
            <v>1.34582117107802E-2</v>
          </cell>
          <cell r="F168">
            <v>0.85086777328099905</v>
          </cell>
        </row>
        <row r="169">
          <cell r="A169" t="str">
            <v>CZK_PRIBOR_EOD</v>
          </cell>
          <cell r="C169">
            <v>47723</v>
          </cell>
          <cell r="E169">
            <v>1.5204820590343801E-2</v>
          </cell>
          <cell r="F169">
            <v>0.79606669508290795</v>
          </cell>
        </row>
        <row r="170">
          <cell r="A170" t="str">
            <v>CZK_PRIBOR_EOD</v>
          </cell>
          <cell r="C170">
            <v>49548</v>
          </cell>
          <cell r="E170">
            <v>1.6881714434105299E-2</v>
          </cell>
          <cell r="F170">
            <v>0.71345615918581895</v>
          </cell>
        </row>
        <row r="171">
          <cell r="A171" t="str">
            <v>CZK_PRIBOR_EOD</v>
          </cell>
          <cell r="C171">
            <v>51373</v>
          </cell>
          <cell r="E171">
            <v>1.6743538472467599E-2</v>
          </cell>
          <cell r="F171">
            <v>0.65797492136402502</v>
          </cell>
        </row>
        <row r="172">
          <cell r="A172" t="str">
            <v>CZK_PRIBOR_EOD</v>
          </cell>
          <cell r="C172">
            <v>53198</v>
          </cell>
          <cell r="E172">
            <v>1.6667872680056699E-2</v>
          </cell>
          <cell r="F172">
            <v>0.60650871558669694</v>
          </cell>
        </row>
        <row r="173">
          <cell r="A173" t="str">
            <v>DKK_CIBOR_EOD</v>
          </cell>
          <cell r="C173">
            <v>42249</v>
          </cell>
          <cell r="E173">
            <v>-4.1397318091262597E-3</v>
          </cell>
          <cell r="F173">
            <v>1.0000113417953</v>
          </cell>
        </row>
        <row r="174">
          <cell r="A174" t="str">
            <v>DKK_CIBOR_EOD</v>
          </cell>
          <cell r="C174">
            <v>42255</v>
          </cell>
          <cell r="E174">
            <v>-2.8228566217397499E-3</v>
          </cell>
          <cell r="F174">
            <v>1.0000541384417401</v>
          </cell>
        </row>
        <row r="175">
          <cell r="A175" t="str">
            <v>DKK_CIBOR_EOD</v>
          </cell>
          <cell r="C175">
            <v>42278</v>
          </cell>
          <cell r="E175">
            <v>-2.6803461562624098E-3</v>
          </cell>
          <cell r="F175">
            <v>1.0002203266921601</v>
          </cell>
        </row>
        <row r="176">
          <cell r="A176" t="str">
            <v>DKK_CIBOR_EOD</v>
          </cell>
          <cell r="C176">
            <v>42308</v>
          </cell>
          <cell r="E176">
            <v>-1.86774539341075E-3</v>
          </cell>
          <cell r="F176">
            <v>1.0003070737775199</v>
          </cell>
        </row>
        <row r="177">
          <cell r="A177" t="str">
            <v>DKK_CIBOR_EOD</v>
          </cell>
          <cell r="C177">
            <v>42339</v>
          </cell>
          <cell r="E177">
            <v>-1.02805793846403E-3</v>
          </cell>
          <cell r="F177">
            <v>1.0002563431856399</v>
          </cell>
        </row>
        <row r="178">
          <cell r="A178" t="str">
            <v>DKK_CIBOR_EOD</v>
          </cell>
          <cell r="C178">
            <v>42430</v>
          </cell>
          <cell r="E178">
            <v>-1.6286602610187E-4</v>
          </cell>
          <cell r="F178">
            <v>1.00008121320652</v>
          </cell>
        </row>
        <row r="179">
          <cell r="A179" t="str">
            <v>DKK_CIBOR_EOD</v>
          </cell>
          <cell r="C179">
            <v>42521</v>
          </cell>
          <cell r="E179">
            <v>2.2767704246869999E-4</v>
          </cell>
          <cell r="F179">
            <v>0.99982972454619901</v>
          </cell>
        </row>
        <row r="180">
          <cell r="A180" t="str">
            <v>DKK_CIBOR_EOD</v>
          </cell>
          <cell r="C180">
            <v>42613</v>
          </cell>
          <cell r="E180">
            <v>5.3094938171793001E-4</v>
          </cell>
          <cell r="F180">
            <v>0.99946919154696201</v>
          </cell>
        </row>
        <row r="181">
          <cell r="A181" t="str">
            <v>DKK_CIBOR_EOD</v>
          </cell>
          <cell r="C181">
            <v>42795</v>
          </cell>
          <cell r="E181">
            <v>1.0736378076502001E-3</v>
          </cell>
          <cell r="F181">
            <v>0.99839230774922705</v>
          </cell>
        </row>
        <row r="182">
          <cell r="A182" t="str">
            <v>DKK_CIBOR_EOD</v>
          </cell>
          <cell r="C182">
            <v>42978</v>
          </cell>
          <cell r="E182">
            <v>3.1724784986325002E-3</v>
          </cell>
          <cell r="F182">
            <v>0.99367512973677596</v>
          </cell>
        </row>
        <row r="183">
          <cell r="A183" t="str">
            <v>DKK_CIBOR_EOD</v>
          </cell>
          <cell r="C183">
            <v>43343</v>
          </cell>
          <cell r="E183">
            <v>4.4663167135458003E-3</v>
          </cell>
          <cell r="F183">
            <v>0.98669041620811004</v>
          </cell>
        </row>
        <row r="184">
          <cell r="A184" t="str">
            <v>DKK_CIBOR_EOD</v>
          </cell>
          <cell r="C184">
            <v>43708</v>
          </cell>
          <cell r="E184">
            <v>6.1028434597905799E-3</v>
          </cell>
          <cell r="F184">
            <v>0.97588417395369198</v>
          </cell>
        </row>
        <row r="185">
          <cell r="A185" t="str">
            <v>DKK_CIBOR_EOD</v>
          </cell>
          <cell r="C185">
            <v>44073</v>
          </cell>
          <cell r="E185">
            <v>7.7555802951795004E-3</v>
          </cell>
          <cell r="F185">
            <v>0.96196433628167999</v>
          </cell>
        </row>
        <row r="186">
          <cell r="A186" t="str">
            <v>DKK_CIBOR_EOD</v>
          </cell>
          <cell r="C186">
            <v>44438</v>
          </cell>
          <cell r="E186">
            <v>9.3035605929509806E-3</v>
          </cell>
          <cell r="F186">
            <v>0.94570805872511898</v>
          </cell>
        </row>
        <row r="187">
          <cell r="A187" t="str">
            <v>DKK_CIBOR_EOD</v>
          </cell>
          <cell r="C187">
            <v>44803</v>
          </cell>
          <cell r="E187">
            <v>1.08137638704734E-2</v>
          </cell>
          <cell r="F187">
            <v>0.927097679727378</v>
          </cell>
        </row>
        <row r="188">
          <cell r="A188" t="str">
            <v>DKK_CIBOR_EOD</v>
          </cell>
          <cell r="C188">
            <v>45168</v>
          </cell>
          <cell r="E188">
            <v>1.2265061614306899E-2</v>
          </cell>
          <cell r="F188">
            <v>0.90653966556646604</v>
          </cell>
        </row>
        <row r="189">
          <cell r="A189" t="str">
            <v>DKK_CIBOR_EOD</v>
          </cell>
          <cell r="C189">
            <v>45533</v>
          </cell>
          <cell r="E189">
            <v>1.35933406796497E-2</v>
          </cell>
          <cell r="F189">
            <v>0.884847410709791</v>
          </cell>
        </row>
        <row r="190">
          <cell r="A190" t="str">
            <v>DKK_CIBOR_EOD</v>
          </cell>
          <cell r="C190">
            <v>45898</v>
          </cell>
          <cell r="E190">
            <v>1.47510007127689E-2</v>
          </cell>
          <cell r="F190">
            <v>0.86285380358998198</v>
          </cell>
        </row>
        <row r="191">
          <cell r="A191" t="str">
            <v>DKK_CIBOR_EOD</v>
          </cell>
          <cell r="C191">
            <v>46628</v>
          </cell>
          <cell r="E191">
            <v>1.6568568638587699E-2</v>
          </cell>
          <cell r="F191">
            <v>0.81969511104516302</v>
          </cell>
        </row>
        <row r="192">
          <cell r="A192" t="str">
            <v>DKK_CIBOR_EOD</v>
          </cell>
          <cell r="C192">
            <v>47723</v>
          </cell>
          <cell r="E192">
            <v>1.84638494406081E-2</v>
          </cell>
          <cell r="F192">
            <v>0.75808653195062004</v>
          </cell>
        </row>
        <row r="193">
          <cell r="A193" t="str">
            <v>DKK_CIBOR_EOD</v>
          </cell>
          <cell r="C193">
            <v>49548</v>
          </cell>
          <cell r="E193">
            <v>1.9917811966398798E-2</v>
          </cell>
          <cell r="F193">
            <v>0.67142279784671199</v>
          </cell>
        </row>
        <row r="194">
          <cell r="A194" t="str">
            <v>DKK_CIBOR_EOD</v>
          </cell>
          <cell r="C194">
            <v>51373</v>
          </cell>
          <cell r="E194">
            <v>2.0058791159024598E-2</v>
          </cell>
          <cell r="F194">
            <v>0.60563984850907604</v>
          </cell>
        </row>
        <row r="195">
          <cell r="A195" t="str">
            <v>DKK_CIBOR_EOD</v>
          </cell>
          <cell r="C195">
            <v>53198</v>
          </cell>
          <cell r="E195">
            <v>1.99707026034339E-2</v>
          </cell>
          <cell r="F195">
            <v>0.549294210699937</v>
          </cell>
        </row>
        <row r="196">
          <cell r="A196" t="str">
            <v>EUR_EONIA_EOD</v>
          </cell>
          <cell r="C196">
            <v>42249</v>
          </cell>
          <cell r="E196">
            <v>-1.2673633113434301E-3</v>
          </cell>
          <cell r="F196">
            <v>1.0000034722342801</v>
          </cell>
        </row>
        <row r="197">
          <cell r="A197" t="str">
            <v>EUR_EONIA_EOD</v>
          </cell>
          <cell r="C197">
            <v>42255</v>
          </cell>
          <cell r="E197">
            <v>-1.3068006433373501E-3</v>
          </cell>
          <cell r="F197">
            <v>1.0000250622442</v>
          </cell>
        </row>
        <row r="198">
          <cell r="A198" t="str">
            <v>EUR_EONIA_EOD</v>
          </cell>
          <cell r="C198">
            <v>42262</v>
          </cell>
          <cell r="E198">
            <v>-1.30216747398697E-3</v>
          </cell>
          <cell r="F198">
            <v>1.0000499473970199</v>
          </cell>
        </row>
        <row r="199">
          <cell r="A199" t="str">
            <v>EUR_EONIA_EOD</v>
          </cell>
          <cell r="C199">
            <v>42269</v>
          </cell>
          <cell r="E199">
            <v>-1.2915357186985799E-3</v>
          </cell>
          <cell r="F199">
            <v>1.00007431029537</v>
          </cell>
        </row>
        <row r="200">
          <cell r="A200" t="str">
            <v>EUR_EONIA_EOD</v>
          </cell>
          <cell r="C200">
            <v>42278</v>
          </cell>
          <cell r="E200">
            <v>-1.2707741099832199E-3</v>
          </cell>
          <cell r="F200">
            <v>1.00010445264192</v>
          </cell>
        </row>
        <row r="201">
          <cell r="A201" t="str">
            <v>EUR_EONIA_EOD</v>
          </cell>
          <cell r="C201">
            <v>42308</v>
          </cell>
          <cell r="E201">
            <v>-1.30627699034693E-3</v>
          </cell>
          <cell r="F201">
            <v>1.0002147535204</v>
          </cell>
        </row>
        <row r="202">
          <cell r="A202" t="str">
            <v>EUR_EONIA_EOD</v>
          </cell>
          <cell r="C202">
            <v>42339</v>
          </cell>
          <cell r="E202">
            <v>-1.32375756378599E-3</v>
          </cell>
          <cell r="F202">
            <v>1.00033008717447</v>
          </cell>
        </row>
        <row r="203">
          <cell r="A203" t="str">
            <v>EUR_EONIA_EOD</v>
          </cell>
          <cell r="C203">
            <v>42369</v>
          </cell>
          <cell r="E203">
            <v>-1.30677398841517E-3</v>
          </cell>
          <cell r="F203">
            <v>1.0004332983743001</v>
          </cell>
        </row>
        <row r="204">
          <cell r="A204" t="str">
            <v>EUR_EONIA_EOD</v>
          </cell>
          <cell r="C204">
            <v>42400</v>
          </cell>
          <cell r="E204">
            <v>-1.3389380708056799E-3</v>
          </cell>
          <cell r="F204">
            <v>1.0005577406487201</v>
          </cell>
        </row>
        <row r="205">
          <cell r="A205" t="str">
            <v>EUR_EONIA_EOD</v>
          </cell>
          <cell r="C205">
            <v>42430</v>
          </cell>
          <cell r="E205">
            <v>-1.36636432413592E-3</v>
          </cell>
          <cell r="F205">
            <v>1.0006815425747899</v>
          </cell>
        </row>
        <row r="206">
          <cell r="A206" t="str">
            <v>EUR_EONIA_EOD</v>
          </cell>
          <cell r="C206">
            <v>42460</v>
          </cell>
          <cell r="E206">
            <v>-1.3793205634570699E-3</v>
          </cell>
          <cell r="F206">
            <v>1.000801460613</v>
          </cell>
        </row>
        <row r="207">
          <cell r="A207" t="str">
            <v>EUR_EONIA_EOD</v>
          </cell>
          <cell r="C207">
            <v>42491</v>
          </cell>
          <cell r="E207">
            <v>-1.3857947069159601E-3</v>
          </cell>
          <cell r="F207">
            <v>1.00092302329606</v>
          </cell>
        </row>
        <row r="208">
          <cell r="A208" t="str">
            <v>EUR_EONIA_EOD</v>
          </cell>
          <cell r="C208">
            <v>42521</v>
          </cell>
          <cell r="E208">
            <v>-1.3977042062978699E-3</v>
          </cell>
          <cell r="F208">
            <v>1.0010459527872599</v>
          </cell>
        </row>
        <row r="209">
          <cell r="A209" t="str">
            <v>EUR_EONIA_EOD</v>
          </cell>
          <cell r="C209">
            <v>42552</v>
          </cell>
          <cell r="E209">
            <v>-1.40593540189844E-3</v>
          </cell>
          <cell r="F209">
            <v>1.0011716567093301</v>
          </cell>
        </row>
        <row r="210">
          <cell r="A210" t="str">
            <v>EUR_EONIA_EOD</v>
          </cell>
          <cell r="C210">
            <v>42582</v>
          </cell>
          <cell r="E210">
            <v>-1.4514878229549999E-3</v>
          </cell>
          <cell r="F210">
            <v>1.00132909323756</v>
          </cell>
        </row>
        <row r="211">
          <cell r="A211" t="str">
            <v>EUR_EONIA_EOD</v>
          </cell>
          <cell r="C211">
            <v>42613</v>
          </cell>
          <cell r="E211">
            <v>-1.45663247652398E-3</v>
          </cell>
          <cell r="F211">
            <v>1.0014576938809101</v>
          </cell>
        </row>
        <row r="212">
          <cell r="A212" t="str">
            <v>EUR_EONIA_EOD</v>
          </cell>
          <cell r="C212">
            <v>42704</v>
          </cell>
          <cell r="E212">
            <v>-1.4598786963751799E-3</v>
          </cell>
          <cell r="F212">
            <v>1.0018255126767499</v>
          </cell>
        </row>
        <row r="213">
          <cell r="A213" t="str">
            <v>EUR_EONIA_EOD</v>
          </cell>
          <cell r="C213">
            <v>42795</v>
          </cell>
          <cell r="E213">
            <v>-1.4239264547882E-3</v>
          </cell>
          <cell r="F213">
            <v>1.0021362175664501</v>
          </cell>
        </row>
        <row r="214">
          <cell r="A214" t="str">
            <v>EUR_EONIA_EOD</v>
          </cell>
          <cell r="C214">
            <v>42886</v>
          </cell>
          <cell r="E214">
            <v>-1.33383832949195E-3</v>
          </cell>
          <cell r="F214">
            <v>1.00233419631728</v>
          </cell>
        </row>
        <row r="215">
          <cell r="A215" t="str">
            <v>EUR_EONIA_EOD</v>
          </cell>
          <cell r="C215">
            <v>42978</v>
          </cell>
          <cell r="E215">
            <v>-1.1983936743259699E-3</v>
          </cell>
          <cell r="F215">
            <v>1.0023996619395801</v>
          </cell>
        </row>
        <row r="216">
          <cell r="A216" t="str">
            <v>EUR_EONIA_EOD</v>
          </cell>
          <cell r="C216">
            <v>43343</v>
          </cell>
          <cell r="E216">
            <v>-4.9640468401174003E-4</v>
          </cell>
          <cell r="F216">
            <v>1.0014903234819399</v>
          </cell>
        </row>
        <row r="217">
          <cell r="A217" t="str">
            <v>EUR_EONIA_EOD</v>
          </cell>
          <cell r="C217">
            <v>43708</v>
          </cell>
          <cell r="E217">
            <v>6.8124560405300003E-4</v>
          </cell>
          <cell r="F217">
            <v>0.99727872697826203</v>
          </cell>
        </row>
        <row r="218">
          <cell r="A218" t="str">
            <v>EUR_EONIA_EOD</v>
          </cell>
          <cell r="C218">
            <v>44073</v>
          </cell>
          <cell r="E218">
            <v>2.0601312340945699E-3</v>
          </cell>
          <cell r="F218">
            <v>0.98975221390043999</v>
          </cell>
        </row>
        <row r="219">
          <cell r="A219" t="str">
            <v>EUR_EONIA_EOD</v>
          </cell>
          <cell r="C219">
            <v>44438</v>
          </cell>
          <cell r="E219">
            <v>3.5558667453576402E-3</v>
          </cell>
          <cell r="F219">
            <v>0.97889078491626202</v>
          </cell>
        </row>
        <row r="220">
          <cell r="A220" t="str">
            <v>EUR_EONIA_EOD</v>
          </cell>
          <cell r="C220">
            <v>44803</v>
          </cell>
          <cell r="E220">
            <v>5.0732183829549603E-3</v>
          </cell>
          <cell r="F220">
            <v>0.96511064259118795</v>
          </cell>
        </row>
        <row r="221">
          <cell r="A221" t="str">
            <v>EUR_EONIA_EOD</v>
          </cell>
          <cell r="C221">
            <v>45168</v>
          </cell>
          <cell r="E221">
            <v>6.5390081618053198E-3</v>
          </cell>
          <cell r="F221">
            <v>0.94903266047080403</v>
          </cell>
        </row>
        <row r="222">
          <cell r="A222" t="str">
            <v>EUR_EONIA_EOD</v>
          </cell>
          <cell r="C222">
            <v>45533</v>
          </cell>
          <cell r="E222">
            <v>7.9018338525330602E-3</v>
          </cell>
          <cell r="F222">
            <v>0.93135337878590496</v>
          </cell>
        </row>
        <row r="223">
          <cell r="A223" t="str">
            <v>EUR_EONIA_EOD</v>
          </cell>
          <cell r="C223">
            <v>45898</v>
          </cell>
          <cell r="E223">
            <v>9.1144453128036602E-3</v>
          </cell>
          <cell r="F223">
            <v>0.91288583216035102</v>
          </cell>
        </row>
        <row r="224">
          <cell r="A224" t="str">
            <v>EUR_EONIA_EOD</v>
          </cell>
          <cell r="C224">
            <v>46628</v>
          </cell>
          <cell r="E224">
            <v>1.11075664462938E-2</v>
          </cell>
          <cell r="F224">
            <v>0.875210546187565</v>
          </cell>
        </row>
        <row r="225">
          <cell r="A225" t="str">
            <v>EUR_EONIA_EOD</v>
          </cell>
          <cell r="C225">
            <v>47723</v>
          </cell>
          <cell r="E225">
            <v>1.3250128249896201E-2</v>
          </cell>
          <cell r="F225">
            <v>0.81975322941881201</v>
          </cell>
        </row>
        <row r="226">
          <cell r="A226" t="str">
            <v>EUR_EONIA_EOD</v>
          </cell>
          <cell r="C226">
            <v>49548</v>
          </cell>
          <cell r="E226">
            <v>1.50559852411516E-2</v>
          </cell>
          <cell r="F226">
            <v>0.73998918717005802</v>
          </cell>
        </row>
        <row r="227">
          <cell r="A227" t="str">
            <v>EUR_EONIA_EOD</v>
          </cell>
          <cell r="C227">
            <v>51373</v>
          </cell>
          <cell r="E227">
            <v>1.55698822591062E-2</v>
          </cell>
          <cell r="F227">
            <v>0.67756685205413303</v>
          </cell>
        </row>
        <row r="228">
          <cell r="A228" t="str">
            <v>EUR_EONIA_EOD</v>
          </cell>
          <cell r="C228">
            <v>53198</v>
          </cell>
          <cell r="E228">
            <v>1.57640039737444E-2</v>
          </cell>
          <cell r="F228">
            <v>0.62317984928669401</v>
          </cell>
        </row>
        <row r="229">
          <cell r="A229" t="str">
            <v>EUR_EONIA_EOD</v>
          </cell>
          <cell r="C229">
            <v>55023</v>
          </cell>
          <cell r="E229">
            <v>1.59209593580645E-2</v>
          </cell>
          <cell r="F229">
            <v>0.57279145721191704</v>
          </cell>
        </row>
        <row r="230">
          <cell r="A230" t="str">
            <v>EUR_EONIA_EOD</v>
          </cell>
          <cell r="C230">
            <v>56848</v>
          </cell>
          <cell r="E230">
            <v>1.6077698828977399E-2</v>
          </cell>
          <cell r="F230">
            <v>0.525656167908787</v>
          </cell>
        </row>
        <row r="231">
          <cell r="A231" t="str">
            <v>EUR_EONIA_EOD</v>
          </cell>
          <cell r="C231">
            <v>58673</v>
          </cell>
          <cell r="E231">
            <v>1.5877317572390699E-2</v>
          </cell>
          <cell r="F231">
            <v>0.489446904981088</v>
          </cell>
        </row>
        <row r="232">
          <cell r="A232" t="str">
            <v>EUR_EONIA_EOD</v>
          </cell>
          <cell r="C232">
            <v>60498</v>
          </cell>
          <cell r="E232">
            <v>1.5674572582362101E-2</v>
          </cell>
          <cell r="F232">
            <v>0.45669996788169498</v>
          </cell>
        </row>
        <row r="233">
          <cell r="A233" t="str">
            <v>EUR_EURIBOR_EOD</v>
          </cell>
          <cell r="C233">
            <v>42249</v>
          </cell>
          <cell r="E233">
            <v>-1.1152794816851599E-3</v>
          </cell>
          <cell r="F233">
            <v>1.00000305556489</v>
          </cell>
        </row>
        <row r="234">
          <cell r="A234" t="str">
            <v>EUR_EURIBOR_EOD</v>
          </cell>
          <cell r="C234">
            <v>42255</v>
          </cell>
          <cell r="E234">
            <v>-1.30116936328498E-3</v>
          </cell>
          <cell r="F234">
            <v>1.00002495424435</v>
          </cell>
        </row>
        <row r="235">
          <cell r="A235" t="str">
            <v>EUR_EURIBOR_EOD</v>
          </cell>
          <cell r="C235">
            <v>42278</v>
          </cell>
          <cell r="E235">
            <v>-1.18415372101807E-3</v>
          </cell>
          <cell r="F235">
            <v>1.0000973324395901</v>
          </cell>
        </row>
        <row r="236">
          <cell r="A236" t="str">
            <v>EUR_EURIBOR_EOD</v>
          </cell>
          <cell r="C236">
            <v>42308</v>
          </cell>
          <cell r="E236">
            <v>-9.1076572827997995E-4</v>
          </cell>
          <cell r="F236">
            <v>1.00014972612207</v>
          </cell>
        </row>
        <row r="237">
          <cell r="A237" t="str">
            <v>EUR_EURIBOR_EOD</v>
          </cell>
          <cell r="C237">
            <v>42339</v>
          </cell>
          <cell r="E237">
            <v>-6.2826480245061996E-4</v>
          </cell>
          <cell r="F237">
            <v>1.0001566481502999</v>
          </cell>
        </row>
        <row r="238">
          <cell r="A238" t="str">
            <v>EUR_EURIBOR_EOD</v>
          </cell>
          <cell r="C238">
            <v>42430</v>
          </cell>
          <cell r="E238">
            <v>-4.4040078539912001E-4</v>
          </cell>
          <cell r="F238">
            <v>1.0002196212171599</v>
          </cell>
        </row>
        <row r="239">
          <cell r="A239" t="str">
            <v>EUR_EURIBOR_EOD</v>
          </cell>
          <cell r="C239">
            <v>42521</v>
          </cell>
          <cell r="E239">
            <v>-3.9942741562429003E-4</v>
          </cell>
          <cell r="F239">
            <v>1.0002987944506301</v>
          </cell>
        </row>
        <row r="240">
          <cell r="A240" t="str">
            <v>EUR_EURIBOR_EOD</v>
          </cell>
          <cell r="C240">
            <v>42613</v>
          </cell>
          <cell r="E240">
            <v>-3.6887413230971E-4</v>
          </cell>
          <cell r="F240">
            <v>1.0003689421747399</v>
          </cell>
        </row>
        <row r="241">
          <cell r="A241" t="str">
            <v>EUR_EURIBOR_EOD</v>
          </cell>
          <cell r="C241">
            <v>42795</v>
          </cell>
          <cell r="E241">
            <v>-2.3612445100962E-4</v>
          </cell>
          <cell r="F241">
            <v>1.00035392583534</v>
          </cell>
        </row>
        <row r="242">
          <cell r="A242" t="str">
            <v>EUR_EURIBOR_EOD</v>
          </cell>
          <cell r="C242">
            <v>42978</v>
          </cell>
          <cell r="E242">
            <v>2.1909556782040002E-5</v>
          </cell>
          <cell r="F242">
            <v>0.99995618184647905</v>
          </cell>
        </row>
        <row r="243">
          <cell r="A243" t="str">
            <v>EUR_EURIBOR_EOD</v>
          </cell>
          <cell r="C243">
            <v>43343</v>
          </cell>
          <cell r="E243">
            <v>8.4929400917900001E-4</v>
          </cell>
          <cell r="F243">
            <v>0.99745536106894905</v>
          </cell>
        </row>
        <row r="244">
          <cell r="A244" t="str">
            <v>EUR_EURIBOR_EOD</v>
          </cell>
          <cell r="C244">
            <v>43708</v>
          </cell>
          <cell r="E244">
            <v>3.1022599183150599E-3</v>
          </cell>
          <cell r="F244">
            <v>0.98766763497891996</v>
          </cell>
        </row>
        <row r="245">
          <cell r="A245" t="str">
            <v>EUR_EURIBOR_EOD</v>
          </cell>
          <cell r="C245">
            <v>44073</v>
          </cell>
          <cell r="E245">
            <v>4.5399412004232297E-3</v>
          </cell>
          <cell r="F245">
            <v>0.97755599389896997</v>
          </cell>
        </row>
        <row r="246">
          <cell r="A246" t="str">
            <v>EUR_EURIBOR_EOD</v>
          </cell>
          <cell r="C246">
            <v>44438</v>
          </cell>
          <cell r="E246">
            <v>6.0263621944588201E-3</v>
          </cell>
          <cell r="F246">
            <v>0.96448772533953697</v>
          </cell>
        </row>
        <row r="247">
          <cell r="A247" t="str">
            <v>EUR_EURIBOR_EOD</v>
          </cell>
          <cell r="C247">
            <v>44803</v>
          </cell>
          <cell r="E247">
            <v>7.5037464664795299E-3</v>
          </cell>
          <cell r="F247">
            <v>0.948829437425738</v>
          </cell>
        </row>
        <row r="248">
          <cell r="A248" t="str">
            <v>EUR_EURIBOR_EOD</v>
          </cell>
          <cell r="C248">
            <v>45168</v>
          </cell>
          <cell r="E248">
            <v>8.9208560534790107E-3</v>
          </cell>
          <cell r="F248">
            <v>0.93112024946624805</v>
          </cell>
        </row>
        <row r="249">
          <cell r="A249" t="str">
            <v>EUR_EURIBOR_EOD</v>
          </cell>
          <cell r="C249">
            <v>45533</v>
          </cell>
          <cell r="E249">
            <v>1.02153970567231E-2</v>
          </cell>
          <cell r="F249">
            <v>0.91216117868329305</v>
          </cell>
        </row>
        <row r="250">
          <cell r="A250" t="str">
            <v>EUR_EURIBOR_EOD</v>
          </cell>
          <cell r="C250">
            <v>45898</v>
          </cell>
          <cell r="E250">
            <v>1.1349570446114199E-2</v>
          </cell>
          <cell r="F250">
            <v>0.89270803106498497</v>
          </cell>
        </row>
        <row r="251">
          <cell r="A251" t="str">
            <v>EUR_EURIBOR_EOD</v>
          </cell>
          <cell r="C251">
            <v>46628</v>
          </cell>
          <cell r="E251">
            <v>1.3198953864858601E-2</v>
          </cell>
          <cell r="F251">
            <v>0.85351902504226695</v>
          </cell>
        </row>
        <row r="252">
          <cell r="A252" t="str">
            <v>EUR_EURIBOR_EOD</v>
          </cell>
          <cell r="C252">
            <v>47723</v>
          </cell>
          <cell r="E252">
            <v>1.50997667649345E-2</v>
          </cell>
          <cell r="F252">
            <v>0.79732213176030198</v>
          </cell>
        </row>
        <row r="253">
          <cell r="A253" t="str">
            <v>EUR_EURIBOR_EOD</v>
          </cell>
          <cell r="C253">
            <v>49548</v>
          </cell>
          <cell r="E253">
            <v>1.6592959143731701E-2</v>
          </cell>
          <cell r="F253">
            <v>0.71758836447076202</v>
          </cell>
        </row>
        <row r="254">
          <cell r="A254" t="str">
            <v>EUR_EURIBOR_EOD</v>
          </cell>
          <cell r="C254">
            <v>51373</v>
          </cell>
          <cell r="E254">
            <v>1.68460973505212E-2</v>
          </cell>
          <cell r="F254">
            <v>0.65629005302156795</v>
          </cell>
        </row>
        <row r="255">
          <cell r="A255" t="str">
            <v>EUR_EURIBOR_EOD</v>
          </cell>
          <cell r="C255">
            <v>53198</v>
          </cell>
          <cell r="E255">
            <v>1.68398172641613E-2</v>
          </cell>
          <cell r="F255">
            <v>0.60338819419162704</v>
          </cell>
        </row>
        <row r="256">
          <cell r="A256" t="str">
            <v>EUR_EURIBOR_EOD</v>
          </cell>
          <cell r="C256">
            <v>55023</v>
          </cell>
          <cell r="E256">
            <v>1.6858984153982501E-2</v>
          </cell>
          <cell r="F256">
            <v>0.55429156204788699</v>
          </cell>
        </row>
        <row r="257">
          <cell r="A257" t="str">
            <v>EUR_EURIBOR_EOD</v>
          </cell>
          <cell r="C257">
            <v>56848</v>
          </cell>
          <cell r="E257">
            <v>1.6878313006260099E-2</v>
          </cell>
          <cell r="F257">
            <v>0.509088951541803</v>
          </cell>
        </row>
        <row r="258">
          <cell r="A258" t="str">
            <v>EUR_EURIBOR_EOD</v>
          </cell>
          <cell r="C258">
            <v>58673</v>
          </cell>
          <cell r="E258">
            <v>1.6573866564293702E-2</v>
          </cell>
          <cell r="F258">
            <v>0.474343282184298</v>
          </cell>
        </row>
        <row r="259">
          <cell r="A259" t="str">
            <v>EUR_EURIBOR_EOD</v>
          </cell>
          <cell r="C259">
            <v>60498</v>
          </cell>
          <cell r="E259">
            <v>1.6267277097765299E-2</v>
          </cell>
          <cell r="F259">
            <v>0.44336414232261001</v>
          </cell>
        </row>
        <row r="260">
          <cell r="A260" t="str">
            <v>EUR_EURIBOR_EOD</v>
          </cell>
          <cell r="C260">
            <v>62323</v>
          </cell>
          <cell r="E260">
            <v>1.6096580246925701E-2</v>
          </cell>
          <cell r="F260">
            <v>0.41258546219777997</v>
          </cell>
        </row>
        <row r="261">
          <cell r="A261" t="str">
            <v>EUR_EURIBOR_EOD</v>
          </cell>
          <cell r="C261">
            <v>64148</v>
          </cell>
          <cell r="E261">
            <v>1.5927009577984E-2</v>
          </cell>
          <cell r="F261">
            <v>0.38457341396262401</v>
          </cell>
        </row>
        <row r="262">
          <cell r="A262" t="str">
            <v>GBP_LIBOR_EOD</v>
          </cell>
          <cell r="C262">
            <v>42249</v>
          </cell>
          <cell r="E262">
            <v>4.8124682740251102E-3</v>
          </cell>
          <cell r="F262">
            <v>0.99998681524233302</v>
          </cell>
        </row>
        <row r="263">
          <cell r="A263" t="str">
            <v>GBP_LIBOR_EOD</v>
          </cell>
          <cell r="C263">
            <v>42255</v>
          </cell>
          <cell r="E263">
            <v>4.8922704857341801E-3</v>
          </cell>
          <cell r="F263">
            <v>0.99990618003588805</v>
          </cell>
        </row>
        <row r="264">
          <cell r="A264" t="str">
            <v>GBP_LIBOR_EOD</v>
          </cell>
          <cell r="C264">
            <v>42278</v>
          </cell>
          <cell r="E264">
            <v>5.1146538152016504E-3</v>
          </cell>
          <cell r="F264">
            <v>0.99957970584298605</v>
          </cell>
        </row>
        <row r="265">
          <cell r="A265" t="str">
            <v>GBP_LIBOR_EOD</v>
          </cell>
          <cell r="C265">
            <v>42308</v>
          </cell>
          <cell r="E265">
            <v>5.4047190275505301E-3</v>
          </cell>
          <cell r="F265">
            <v>0.99911194758871602</v>
          </cell>
        </row>
        <row r="266">
          <cell r="A266" t="str">
            <v>GBP_LIBOR_EOD</v>
          </cell>
          <cell r="C266">
            <v>42339</v>
          </cell>
          <cell r="E266">
            <v>5.7044530803110399E-3</v>
          </cell>
          <cell r="F266">
            <v>0.99857880474540495</v>
          </cell>
        </row>
        <row r="267">
          <cell r="A267" t="str">
            <v>GBP_LIBOR_EOD</v>
          </cell>
          <cell r="C267">
            <v>42430</v>
          </cell>
          <cell r="E267">
            <v>6.1334652632765597E-3</v>
          </cell>
          <cell r="F267">
            <v>0.99694634130469395</v>
          </cell>
        </row>
        <row r="268">
          <cell r="A268" t="str">
            <v>GBP_LIBOR_EOD</v>
          </cell>
          <cell r="C268">
            <v>42521</v>
          </cell>
          <cell r="E268">
            <v>6.5803507726526402E-3</v>
          </cell>
          <cell r="F268">
            <v>0.99509035011453595</v>
          </cell>
        </row>
        <row r="269">
          <cell r="A269" t="str">
            <v>GBP_LIBOR_EOD</v>
          </cell>
          <cell r="C269">
            <v>42613</v>
          </cell>
          <cell r="E269">
            <v>7.0749759633455802E-3</v>
          </cell>
          <cell r="F269">
            <v>0.99294999276002205</v>
          </cell>
        </row>
        <row r="270">
          <cell r="A270" t="str">
            <v>GBP_LIBOR_EOD</v>
          </cell>
          <cell r="C270">
            <v>42795</v>
          </cell>
          <cell r="E270">
            <v>8.1588666984547392E-3</v>
          </cell>
          <cell r="F270">
            <v>0.98784732402146602</v>
          </cell>
        </row>
        <row r="271">
          <cell r="A271" t="str">
            <v>GBP_LIBOR_EOD</v>
          </cell>
          <cell r="C271">
            <v>42978</v>
          </cell>
          <cell r="E271">
            <v>9.3363491849230394E-3</v>
          </cell>
          <cell r="F271">
            <v>0.98150055640836098</v>
          </cell>
        </row>
        <row r="272">
          <cell r="A272" t="str">
            <v>GBP_LIBOR_EOD</v>
          </cell>
          <cell r="C272">
            <v>43343</v>
          </cell>
          <cell r="E272">
            <v>1.26311841954243E-2</v>
          </cell>
          <cell r="F272">
            <v>0.96281542464838799</v>
          </cell>
        </row>
        <row r="273">
          <cell r="A273" t="str">
            <v>GBP_LIBOR_EOD</v>
          </cell>
          <cell r="C273">
            <v>43708</v>
          </cell>
          <cell r="E273">
            <v>1.45315276098338E-2</v>
          </cell>
          <cell r="F273">
            <v>0.94353095083086302</v>
          </cell>
        </row>
        <row r="274">
          <cell r="A274" t="str">
            <v>GBP_LIBOR_EOD</v>
          </cell>
          <cell r="C274">
            <v>44073</v>
          </cell>
          <cell r="E274">
            <v>1.6099576764955499E-2</v>
          </cell>
          <cell r="F274">
            <v>0.92265685608526904</v>
          </cell>
        </row>
        <row r="275">
          <cell r="A275" t="str">
            <v>GBP_LIBOR_EOD</v>
          </cell>
          <cell r="C275">
            <v>44438</v>
          </cell>
          <cell r="E275">
            <v>1.73189786286214E-2</v>
          </cell>
          <cell r="F275">
            <v>0.90130292170211801</v>
          </cell>
        </row>
        <row r="276">
          <cell r="A276" t="str">
            <v>GBP_LIBOR_EOD</v>
          </cell>
          <cell r="C276">
            <v>44803</v>
          </cell>
          <cell r="E276">
            <v>1.82591690235284E-2</v>
          </cell>
          <cell r="F276">
            <v>0.88001688590576999</v>
          </cell>
        </row>
        <row r="277">
          <cell r="A277" t="str">
            <v>GBP_LIBOR_EOD</v>
          </cell>
          <cell r="C277">
            <v>45168</v>
          </cell>
          <cell r="E277">
            <v>1.9007177278079899E-2</v>
          </cell>
          <cell r="F277">
            <v>0.85893896057500896</v>
          </cell>
        </row>
        <row r="278">
          <cell r="A278" t="str">
            <v>GBP_LIBOR_EOD</v>
          </cell>
          <cell r="C278">
            <v>45533</v>
          </cell>
          <cell r="E278">
            <v>1.9630323419940698E-2</v>
          </cell>
          <cell r="F278">
            <v>0.83805385808050203</v>
          </cell>
        </row>
        <row r="279">
          <cell r="A279" t="str">
            <v>GBP_LIBOR_EOD</v>
          </cell>
          <cell r="C279">
            <v>45898</v>
          </cell>
          <cell r="E279">
            <v>2.0142742715950099E-2</v>
          </cell>
          <cell r="F279">
            <v>0.81756290826971301</v>
          </cell>
        </row>
        <row r="280">
          <cell r="A280" t="str">
            <v>GBP_LIBOR_EOD</v>
          </cell>
          <cell r="C280">
            <v>46628</v>
          </cell>
          <cell r="E280">
            <v>2.09992902359643E-2</v>
          </cell>
          <cell r="F280">
            <v>0.77725135802148204</v>
          </cell>
        </row>
        <row r="281">
          <cell r="A281" t="str">
            <v>GBP_LIBOR_EOD</v>
          </cell>
          <cell r="C281">
            <v>47723</v>
          </cell>
          <cell r="E281">
            <v>2.1847331974135999E-2</v>
          </cell>
          <cell r="F281">
            <v>0.72057196996620099</v>
          </cell>
        </row>
        <row r="282">
          <cell r="A282" t="str">
            <v>GBP_LIBOR_EOD</v>
          </cell>
          <cell r="C282">
            <v>49548</v>
          </cell>
          <cell r="E282">
            <v>2.2389516748775502E-2</v>
          </cell>
          <cell r="F282">
            <v>0.63903865404206295</v>
          </cell>
        </row>
        <row r="283">
          <cell r="A283" t="str">
            <v>GBP_LIBOR_EOD</v>
          </cell>
          <cell r="C283">
            <v>51373</v>
          </cell>
          <cell r="E283">
            <v>2.2221399881282002E-2</v>
          </cell>
          <cell r="F283">
            <v>0.57376521638186895</v>
          </cell>
        </row>
        <row r="284">
          <cell r="A284" t="str">
            <v>GBP_LIBOR_EOD</v>
          </cell>
          <cell r="C284">
            <v>53198</v>
          </cell>
          <cell r="E284">
            <v>2.2014151306135699E-2</v>
          </cell>
          <cell r="F284">
            <v>0.51663195741824497</v>
          </cell>
        </row>
        <row r="285">
          <cell r="A285" t="str">
            <v>GBP_LIBOR_EOD</v>
          </cell>
          <cell r="C285">
            <v>55023</v>
          </cell>
          <cell r="E285">
            <v>2.1601575107503299E-2</v>
          </cell>
          <cell r="F285">
            <v>0.46951495455084202</v>
          </cell>
        </row>
        <row r="286">
          <cell r="A286" t="str">
            <v>GBP_LIBOR_EOD</v>
          </cell>
          <cell r="C286">
            <v>56848</v>
          </cell>
          <cell r="E286">
            <v>2.11880956740996E-2</v>
          </cell>
          <cell r="F286">
            <v>0.42847459669360399</v>
          </cell>
        </row>
        <row r="287">
          <cell r="A287" t="str">
            <v>GBP_LIBOR_EOD</v>
          </cell>
          <cell r="C287">
            <v>58673</v>
          </cell>
          <cell r="E287">
            <v>2.0886362008392799E-2</v>
          </cell>
          <cell r="F287">
            <v>0.39067225602763</v>
          </cell>
        </row>
        <row r="288">
          <cell r="A288" t="str">
            <v>GBP_LIBOR_EOD</v>
          </cell>
          <cell r="C288">
            <v>60498</v>
          </cell>
          <cell r="E288">
            <v>2.0585244021846801E-2</v>
          </cell>
          <cell r="F288">
            <v>0.35727045710645799</v>
          </cell>
        </row>
        <row r="289">
          <cell r="A289" t="str">
            <v>GBP_LIBOR_EOD</v>
          </cell>
          <cell r="C289">
            <v>62323</v>
          </cell>
          <cell r="E289">
            <v>2.05738850182304E-2</v>
          </cell>
          <cell r="F289">
            <v>0.32252853178686097</v>
          </cell>
        </row>
        <row r="290">
          <cell r="A290" t="str">
            <v>GBP_LIBOR_EOD</v>
          </cell>
          <cell r="C290">
            <v>64148</v>
          </cell>
          <cell r="E290">
            <v>2.05646048594143E-2</v>
          </cell>
          <cell r="F290">
            <v>0.29116175953388501</v>
          </cell>
        </row>
        <row r="291">
          <cell r="A291" t="str">
            <v>GBP_SONIA_EOD</v>
          </cell>
          <cell r="C291">
            <v>42249</v>
          </cell>
          <cell r="E291">
            <v>4.5859711900806998E-3</v>
          </cell>
          <cell r="F291">
            <v>0.99998743577430005</v>
          </cell>
        </row>
        <row r="292">
          <cell r="A292" t="str">
            <v>GBP_SONIA_EOD</v>
          </cell>
          <cell r="C292">
            <v>42255</v>
          </cell>
          <cell r="E292">
            <v>4.5997971078242496E-3</v>
          </cell>
          <cell r="F292">
            <v>0.99991178860385499</v>
          </cell>
        </row>
        <row r="293">
          <cell r="A293" t="str">
            <v>GBP_SONIA_EOD</v>
          </cell>
          <cell r="C293">
            <v>42262</v>
          </cell>
          <cell r="E293">
            <v>4.6005940630791803E-3</v>
          </cell>
          <cell r="F293">
            <v>0.99982355442620596</v>
          </cell>
        </row>
        <row r="294">
          <cell r="A294" t="str">
            <v>GBP_SONIA_EOD</v>
          </cell>
          <cell r="C294">
            <v>42269</v>
          </cell>
          <cell r="E294">
            <v>4.5986964738703702E-3</v>
          </cell>
          <cell r="F294">
            <v>0.99973545246202</v>
          </cell>
        </row>
        <row r="295">
          <cell r="A295" t="str">
            <v>GBP_SONIA_EOD</v>
          </cell>
          <cell r="C295">
            <v>42278</v>
          </cell>
          <cell r="E295">
            <v>4.5962567163161903E-3</v>
          </cell>
          <cell r="F295">
            <v>0.99962229682318204</v>
          </cell>
        </row>
        <row r="296">
          <cell r="A296" t="str">
            <v>GBP_SONIA_EOD</v>
          </cell>
          <cell r="C296">
            <v>42308</v>
          </cell>
          <cell r="E296">
            <v>4.61182134371257E-3</v>
          </cell>
          <cell r="F296">
            <v>0.99924217967283202</v>
          </cell>
        </row>
        <row r="297">
          <cell r="A297" t="str">
            <v>GBP_SONIA_EOD</v>
          </cell>
          <cell r="C297">
            <v>42339</v>
          </cell>
          <cell r="E297">
            <v>4.6973733180199996E-3</v>
          </cell>
          <cell r="F297">
            <v>0.99882955954984698</v>
          </cell>
        </row>
        <row r="298">
          <cell r="A298" t="str">
            <v>GBP_SONIA_EOD</v>
          </cell>
          <cell r="C298">
            <v>42369</v>
          </cell>
          <cell r="E298">
            <v>4.7500934999078603E-3</v>
          </cell>
          <cell r="F298">
            <v>0.99842655064135499</v>
          </cell>
        </row>
        <row r="299">
          <cell r="A299" t="str">
            <v>GBP_SONIA_EOD</v>
          </cell>
          <cell r="C299">
            <v>42400</v>
          </cell>
          <cell r="E299">
            <v>4.8039230871125002E-3</v>
          </cell>
          <cell r="F299">
            <v>0.99800146190853201</v>
          </cell>
        </row>
        <row r="300">
          <cell r="A300" t="str">
            <v>GBP_SONIA_EOD</v>
          </cell>
          <cell r="C300">
            <v>42430</v>
          </cell>
          <cell r="E300">
            <v>4.9345492517148199E-3</v>
          </cell>
          <cell r="F300">
            <v>0.99754250961642099</v>
          </cell>
        </row>
        <row r="301">
          <cell r="A301" t="str">
            <v>GBP_SONIA_EOD</v>
          </cell>
          <cell r="C301">
            <v>42460</v>
          </cell>
          <cell r="E301">
            <v>5.04017430553301E-3</v>
          </cell>
          <cell r="F301">
            <v>0.99707683707882799</v>
          </cell>
        </row>
        <row r="302">
          <cell r="A302" t="str">
            <v>GBP_SONIA_EOD</v>
          </cell>
          <cell r="C302">
            <v>42491</v>
          </cell>
          <cell r="E302">
            <v>5.1151766915628104E-3</v>
          </cell>
          <cell r="F302">
            <v>0.99660034555585897</v>
          </cell>
        </row>
        <row r="303">
          <cell r="A303" t="str">
            <v>GBP_SONIA_EOD</v>
          </cell>
          <cell r="C303">
            <v>42521</v>
          </cell>
          <cell r="E303">
            <v>5.2591148682769404E-3</v>
          </cell>
          <cell r="F303">
            <v>0.99607419644363204</v>
          </cell>
        </row>
        <row r="304">
          <cell r="A304" t="str">
            <v>GBP_SONIA_EOD</v>
          </cell>
          <cell r="C304">
            <v>42552</v>
          </cell>
          <cell r="E304">
            <v>5.4018301807736199E-3</v>
          </cell>
          <cell r="F304">
            <v>0.99551104704153504</v>
          </cell>
        </row>
        <row r="305">
          <cell r="A305" t="str">
            <v>GBP_SONIA_EOD</v>
          </cell>
          <cell r="C305">
            <v>42582</v>
          </cell>
          <cell r="E305">
            <v>5.5266125172156802E-3</v>
          </cell>
          <cell r="F305">
            <v>0.99495553726447605</v>
          </cell>
        </row>
        <row r="306">
          <cell r="A306" t="str">
            <v>GBP_SONIA_EOD</v>
          </cell>
          <cell r="C306">
            <v>42613</v>
          </cell>
          <cell r="E306">
            <v>5.66648795242943E-3</v>
          </cell>
          <cell r="F306">
            <v>0.99434953630904599</v>
          </cell>
        </row>
        <row r="307">
          <cell r="A307" t="str">
            <v>GBP_SONIA_EOD</v>
          </cell>
          <cell r="C307">
            <v>42704</v>
          </cell>
          <cell r="E307">
            <v>6.0879492114271601E-3</v>
          </cell>
          <cell r="F307">
            <v>0.99242308396726897</v>
          </cell>
        </row>
        <row r="308">
          <cell r="A308" t="str">
            <v>GBP_SONIA_EOD</v>
          </cell>
          <cell r="C308">
            <v>42795</v>
          </cell>
          <cell r="E308">
            <v>6.5568478618891601E-3</v>
          </cell>
          <cell r="F308">
            <v>0.990221830432787</v>
          </cell>
        </row>
        <row r="309">
          <cell r="A309" t="str">
            <v>GBP_SONIA_EOD</v>
          </cell>
          <cell r="C309">
            <v>42886</v>
          </cell>
          <cell r="E309">
            <v>7.07233978067668E-3</v>
          </cell>
          <cell r="F309">
            <v>0.98771403399012203</v>
          </cell>
        </row>
        <row r="310">
          <cell r="A310" t="str">
            <v>GBP_SONIA_EOD</v>
          </cell>
          <cell r="C310">
            <v>42978</v>
          </cell>
          <cell r="E310">
            <v>7.5921131737909202E-3</v>
          </cell>
          <cell r="F310">
            <v>0.98493047274447199</v>
          </cell>
        </row>
        <row r="311">
          <cell r="A311" t="str">
            <v>GBP_SONIA_EOD</v>
          </cell>
          <cell r="C311">
            <v>43343</v>
          </cell>
          <cell r="E311">
            <v>9.6125617149418301E-3</v>
          </cell>
          <cell r="F311">
            <v>0.97157415258656499</v>
          </cell>
        </row>
        <row r="312">
          <cell r="A312" t="str">
            <v>GBP_SONIA_EOD</v>
          </cell>
          <cell r="C312">
            <v>43708</v>
          </cell>
          <cell r="E312">
            <v>1.1386839690810099E-2</v>
          </cell>
          <cell r="F312">
            <v>0.955474351416852</v>
          </cell>
        </row>
        <row r="313">
          <cell r="A313" t="str">
            <v>GBP_SONIA_EOD</v>
          </cell>
          <cell r="C313">
            <v>44073</v>
          </cell>
          <cell r="E313">
            <v>1.2868659003730999E-2</v>
          </cell>
          <cell r="F313">
            <v>0.93768304235322697</v>
          </cell>
        </row>
        <row r="314">
          <cell r="A314" t="str">
            <v>GBP_SONIA_EOD</v>
          </cell>
          <cell r="C314">
            <v>44438</v>
          </cell>
          <cell r="E314">
            <v>1.40075767063382E-2</v>
          </cell>
          <cell r="F314">
            <v>0.91938945948142003</v>
          </cell>
        </row>
        <row r="315">
          <cell r="A315" t="str">
            <v>GBP_SONIA_EOD</v>
          </cell>
          <cell r="C315">
            <v>44803</v>
          </cell>
          <cell r="E315">
            <v>1.4919078846596601E-2</v>
          </cell>
          <cell r="F315">
            <v>0.90083465414578001</v>
          </cell>
        </row>
        <row r="316">
          <cell r="A316" t="str">
            <v>GBP_SONIA_EOD</v>
          </cell>
          <cell r="C316">
            <v>45168</v>
          </cell>
          <cell r="E316">
            <v>1.5678194327779699E-2</v>
          </cell>
          <cell r="F316">
            <v>0.88212143184591096</v>
          </cell>
        </row>
        <row r="317">
          <cell r="A317" t="str">
            <v>GBP_SONIA_EOD</v>
          </cell>
          <cell r="C317">
            <v>45533</v>
          </cell>
          <cell r="E317">
            <v>1.63259220407257E-2</v>
          </cell>
          <cell r="F317">
            <v>0.86335156245526401</v>
          </cell>
        </row>
        <row r="318">
          <cell r="A318" t="str">
            <v>GBP_SONIA_EOD</v>
          </cell>
          <cell r="C318">
            <v>45898</v>
          </cell>
          <cell r="E318">
            <v>1.6877076750751799E-2</v>
          </cell>
          <cell r="F318">
            <v>0.84470251445700695</v>
          </cell>
        </row>
        <row r="319">
          <cell r="A319" t="str">
            <v>GBP_SONIA_EOD</v>
          </cell>
          <cell r="C319">
            <v>46628</v>
          </cell>
          <cell r="E319">
            <v>1.7880345217911001E-2</v>
          </cell>
          <cell r="F319">
            <v>0.80689305384153098</v>
          </cell>
        </row>
        <row r="320">
          <cell r="A320" t="str">
            <v>GBP_SONIA_EOD</v>
          </cell>
          <cell r="C320">
            <v>47723</v>
          </cell>
          <cell r="E320">
            <v>1.9033395984945099E-2</v>
          </cell>
          <cell r="F320">
            <v>0.75163763480836798</v>
          </cell>
        </row>
        <row r="321">
          <cell r="A321" t="str">
            <v>GBP_SONIA_EOD</v>
          </cell>
          <cell r="C321">
            <v>49548</v>
          </cell>
          <cell r="E321">
            <v>2.0026311572691999E-2</v>
          </cell>
          <cell r="F321">
            <v>0.66996739533935901</v>
          </cell>
        </row>
        <row r="322">
          <cell r="A322" t="str">
            <v>GBP_SONIA_EOD</v>
          </cell>
          <cell r="C322">
            <v>51373</v>
          </cell>
          <cell r="E322">
            <v>2.0147375823071099E-2</v>
          </cell>
          <cell r="F322">
            <v>0.60430007253887497</v>
          </cell>
        </row>
        <row r="323">
          <cell r="A323" t="str">
            <v>GBP_SONIA_EOD</v>
          </cell>
          <cell r="C323">
            <v>53198</v>
          </cell>
          <cell r="E323">
            <v>2.0173767040717099E-2</v>
          </cell>
          <cell r="F323">
            <v>0.54595811904690505</v>
          </cell>
        </row>
        <row r="324">
          <cell r="A324" t="str">
            <v>GBP_SONIA_EOD</v>
          </cell>
          <cell r="C324">
            <v>55023</v>
          </cell>
          <cell r="E324">
            <v>1.9898545857041299E-2</v>
          </cell>
          <cell r="F324">
            <v>0.49835176046047902</v>
          </cell>
        </row>
        <row r="325">
          <cell r="A325" t="str">
            <v>GBP_SONIA_EOD</v>
          </cell>
          <cell r="C325">
            <v>56848</v>
          </cell>
          <cell r="E325">
            <v>1.96219987083898E-2</v>
          </cell>
          <cell r="F325">
            <v>0.45617446300202902</v>
          </cell>
        </row>
        <row r="326">
          <cell r="A326" t="str">
            <v>GBP_SONIA_EOD</v>
          </cell>
          <cell r="C326">
            <v>58673</v>
          </cell>
          <cell r="E326">
            <v>1.9401754159665701E-2</v>
          </cell>
          <cell r="F326">
            <v>0.41766360750728099</v>
          </cell>
        </row>
        <row r="327">
          <cell r="A327" t="str">
            <v>GBP_SONIA_EOD</v>
          </cell>
          <cell r="C327">
            <v>60498</v>
          </cell>
          <cell r="E327">
            <v>1.9181819818103699E-2</v>
          </cell>
          <cell r="F327">
            <v>0.38324109733047002</v>
          </cell>
        </row>
        <row r="328">
          <cell r="A328" t="str">
            <v>GBP_SONIA_EOD</v>
          </cell>
          <cell r="C328">
            <v>62323</v>
          </cell>
          <cell r="E328">
            <v>1.92350051498337E-2</v>
          </cell>
          <cell r="F328">
            <v>0.347175354172785</v>
          </cell>
        </row>
        <row r="329">
          <cell r="A329" t="str">
            <v>GBP_SONIA_EOD</v>
          </cell>
          <cell r="C329">
            <v>64148</v>
          </cell>
          <cell r="E329">
            <v>1.92901499494183E-2</v>
          </cell>
          <cell r="F329">
            <v>0.31429947770094202</v>
          </cell>
        </row>
        <row r="330">
          <cell r="A330" t="str">
            <v>HKD_HIBOR_EOD</v>
          </cell>
          <cell r="C330">
            <v>42249</v>
          </cell>
          <cell r="E330">
            <v>5.4809958851337998E-4</v>
          </cell>
          <cell r="F330">
            <v>0.99999849835841903</v>
          </cell>
        </row>
        <row r="331">
          <cell r="A331" t="str">
            <v>HKD_HIBOR_EOD</v>
          </cell>
          <cell r="C331">
            <v>42255</v>
          </cell>
          <cell r="E331">
            <v>1.07928882999143E-3</v>
          </cell>
          <cell r="F331">
            <v>0.99997930152432601</v>
          </cell>
        </row>
        <row r="332">
          <cell r="A332" t="str">
            <v>HKD_HIBOR_EOD</v>
          </cell>
          <cell r="C332">
            <v>42278</v>
          </cell>
          <cell r="E332">
            <v>2.5387572719139601E-3</v>
          </cell>
          <cell r="F332">
            <v>0.99979135678776998</v>
          </cell>
        </row>
        <row r="333">
          <cell r="A333" t="str">
            <v>HKD_HIBOR_EOD</v>
          </cell>
          <cell r="C333">
            <v>42308</v>
          </cell>
          <cell r="E333">
            <v>3.3008643275294E-3</v>
          </cell>
          <cell r="F333">
            <v>0.99945753935034598</v>
          </cell>
        </row>
        <row r="334">
          <cell r="A334" t="str">
            <v>HKD_HIBOR_EOD</v>
          </cell>
          <cell r="C334">
            <v>42339</v>
          </cell>
          <cell r="E334">
            <v>4.1045990864769701E-3</v>
          </cell>
          <cell r="F334">
            <v>0.99897718502979604</v>
          </cell>
        </row>
        <row r="335">
          <cell r="A335" t="str">
            <v>HKD_HIBOR_EOD</v>
          </cell>
          <cell r="C335">
            <v>42430</v>
          </cell>
          <cell r="E335">
            <v>5.6503328214979297E-3</v>
          </cell>
          <cell r="F335">
            <v>0.99718653899169596</v>
          </cell>
        </row>
        <row r="336">
          <cell r="A336" t="str">
            <v>HKD_HIBOR_EOD</v>
          </cell>
          <cell r="C336">
            <v>42521</v>
          </cell>
          <cell r="E336">
            <v>6.1349811826207001E-3</v>
          </cell>
          <cell r="F336">
            <v>0.99542188191608405</v>
          </cell>
        </row>
        <row r="337">
          <cell r="A337" t="str">
            <v>HKD_HIBOR_EOD</v>
          </cell>
          <cell r="C337">
            <v>42613</v>
          </cell>
          <cell r="E337">
            <v>6.6249553499096604E-3</v>
          </cell>
          <cell r="F337">
            <v>0.99339694128535705</v>
          </cell>
        </row>
        <row r="338">
          <cell r="A338" t="str">
            <v>HKD_HIBOR_EOD</v>
          </cell>
          <cell r="C338">
            <v>42795</v>
          </cell>
          <cell r="E338">
            <v>8.22470389148818E-3</v>
          </cell>
          <cell r="F338">
            <v>0.98774986227907802</v>
          </cell>
        </row>
        <row r="339">
          <cell r="A339" t="str">
            <v>HKD_HIBOR_EOD</v>
          </cell>
          <cell r="C339">
            <v>42978</v>
          </cell>
          <cell r="E339">
            <v>9.8367445576785506E-3</v>
          </cell>
          <cell r="F339">
            <v>0.98051877109756502</v>
          </cell>
        </row>
        <row r="340">
          <cell r="A340" t="str">
            <v>HKD_HIBOR_EOD</v>
          </cell>
          <cell r="C340">
            <v>43343</v>
          </cell>
          <cell r="E340">
            <v>1.25948280697958E-2</v>
          </cell>
          <cell r="F340">
            <v>0.96292044309098601</v>
          </cell>
        </row>
        <row r="341">
          <cell r="A341" t="str">
            <v>HKD_HIBOR_EOD</v>
          </cell>
          <cell r="C341">
            <v>43708</v>
          </cell>
          <cell r="E341">
            <v>1.49107028165595E-2</v>
          </cell>
          <cell r="F341">
            <v>0.94210098134959996</v>
          </cell>
        </row>
        <row r="342">
          <cell r="A342" t="str">
            <v>HKD_HIBOR_EOD</v>
          </cell>
          <cell r="C342">
            <v>44073</v>
          </cell>
          <cell r="E342">
            <v>1.66037306954455E-2</v>
          </cell>
          <cell r="F342">
            <v>0.92033397963107699</v>
          </cell>
        </row>
        <row r="343">
          <cell r="A343" t="str">
            <v>HKD_HIBOR_EOD</v>
          </cell>
          <cell r="C343">
            <v>44438</v>
          </cell>
          <cell r="E343">
            <v>1.7968189128580701E-2</v>
          </cell>
          <cell r="F343">
            <v>0.89779893867786797</v>
          </cell>
        </row>
        <row r="344">
          <cell r="A344" t="str">
            <v>HKD_HIBOR_EOD</v>
          </cell>
          <cell r="C344">
            <v>44803</v>
          </cell>
          <cell r="E344">
            <v>1.9330856058043799E-2</v>
          </cell>
          <cell r="F344">
            <v>0.87343986771086901</v>
          </cell>
        </row>
        <row r="345">
          <cell r="A345" t="str">
            <v>HKD_HIBOR_EOD</v>
          </cell>
          <cell r="C345">
            <v>45168</v>
          </cell>
          <cell r="E345">
            <v>2.0133345144408399E-2</v>
          </cell>
          <cell r="F345">
            <v>0.85123523976209903</v>
          </cell>
        </row>
        <row r="346">
          <cell r="A346" t="str">
            <v>HKD_HIBOR_EOD</v>
          </cell>
          <cell r="C346">
            <v>45533</v>
          </cell>
          <cell r="E346">
            <v>2.0932747851472099E-2</v>
          </cell>
          <cell r="F346">
            <v>0.82828769214540399</v>
          </cell>
        </row>
        <row r="347">
          <cell r="A347" t="str">
            <v>HKD_HIBOR_EOD</v>
          </cell>
          <cell r="C347">
            <v>45898</v>
          </cell>
          <cell r="E347">
            <v>2.17321505585358E-2</v>
          </cell>
          <cell r="F347">
            <v>0.804671221420722</v>
          </cell>
        </row>
        <row r="348">
          <cell r="A348" t="str">
            <v>HUF_BUBOR_EOD</v>
          </cell>
          <cell r="C348">
            <v>42249</v>
          </cell>
          <cell r="E348">
            <v>9.9359758720760395E-3</v>
          </cell>
          <cell r="F348">
            <v>0.99997277851880695</v>
          </cell>
        </row>
        <row r="349">
          <cell r="A349" t="str">
            <v>HUF_BUBOR_EOD</v>
          </cell>
          <cell r="C349">
            <v>42255</v>
          </cell>
          <cell r="E349">
            <v>1.1906533094955001E-2</v>
          </cell>
          <cell r="F349">
            <v>0.99977168159829999</v>
          </cell>
        </row>
        <row r="350">
          <cell r="A350" t="str">
            <v>HUF_BUBOR_EOD</v>
          </cell>
          <cell r="C350">
            <v>42278</v>
          </cell>
          <cell r="E350">
            <v>1.33368040135731E-2</v>
          </cell>
          <cell r="F350">
            <v>0.99890442490873599</v>
          </cell>
        </row>
        <row r="351">
          <cell r="A351" t="str">
            <v>HUF_BUBOR_EOD</v>
          </cell>
          <cell r="C351">
            <v>42308</v>
          </cell>
          <cell r="E351">
            <v>1.3543527245965499E-2</v>
          </cell>
          <cell r="F351">
            <v>0.99777614319581298</v>
          </cell>
        </row>
        <row r="352">
          <cell r="A352" t="str">
            <v>HUF_BUBOR_EOD</v>
          </cell>
          <cell r="C352">
            <v>42339</v>
          </cell>
          <cell r="E352">
            <v>1.3674250188483001E-2</v>
          </cell>
          <cell r="F352">
            <v>0.99659660809012796</v>
          </cell>
        </row>
        <row r="353">
          <cell r="A353" t="str">
            <v>HUF_BUBOR_EOD</v>
          </cell>
          <cell r="C353">
            <v>42430</v>
          </cell>
          <cell r="E353">
            <v>1.3918207490124301E-2</v>
          </cell>
          <cell r="F353">
            <v>0.99308398874067105</v>
          </cell>
        </row>
        <row r="354">
          <cell r="A354" t="str">
            <v>HUF_BUBOR_EOD</v>
          </cell>
          <cell r="C354">
            <v>42521</v>
          </cell>
          <cell r="E354">
            <v>1.41167149191235E-2</v>
          </cell>
          <cell r="F354">
            <v>0.98949701636380105</v>
          </cell>
        </row>
        <row r="355">
          <cell r="A355" t="str">
            <v>HUF_BUBOR_EOD</v>
          </cell>
          <cell r="C355">
            <v>42613</v>
          </cell>
          <cell r="E355">
            <v>1.4352801102272701E-2</v>
          </cell>
          <cell r="F355">
            <v>0.98574970932418104</v>
          </cell>
        </row>
        <row r="356">
          <cell r="A356" t="str">
            <v>HUF_BUBOR_EOD</v>
          </cell>
          <cell r="C356">
            <v>42795</v>
          </cell>
          <cell r="E356">
            <v>1.49521581370867E-2</v>
          </cell>
          <cell r="F356">
            <v>0.97784143421453396</v>
          </cell>
        </row>
        <row r="357">
          <cell r="A357" t="str">
            <v>HUF_BUBOR_EOD</v>
          </cell>
          <cell r="C357">
            <v>42978</v>
          </cell>
          <cell r="E357">
            <v>1.55584977915533E-2</v>
          </cell>
          <cell r="F357">
            <v>0.96936215535086201</v>
          </cell>
        </row>
        <row r="358">
          <cell r="A358" t="str">
            <v>HUF_BUBOR_EOD</v>
          </cell>
          <cell r="C358">
            <v>43343</v>
          </cell>
          <cell r="E358">
            <v>1.7457738700014502E-2</v>
          </cell>
          <cell r="F358">
            <v>0.94897462813345401</v>
          </cell>
        </row>
        <row r="359">
          <cell r="A359" t="str">
            <v>HUF_BUBOR_EOD</v>
          </cell>
          <cell r="C359">
            <v>43708</v>
          </cell>
          <cell r="E359">
            <v>1.9875546244570198E-2</v>
          </cell>
          <cell r="F359">
            <v>0.92357600197289702</v>
          </cell>
        </row>
        <row r="360">
          <cell r="A360" t="str">
            <v>HUF_BUBOR_EOD</v>
          </cell>
          <cell r="C360">
            <v>44073</v>
          </cell>
          <cell r="E360">
            <v>2.2520895299616001E-2</v>
          </cell>
          <cell r="F360">
            <v>0.89350399206378495</v>
          </cell>
        </row>
        <row r="361">
          <cell r="A361" t="str">
            <v>HUF_BUBOR_EOD</v>
          </cell>
          <cell r="C361">
            <v>44438</v>
          </cell>
          <cell r="E361">
            <v>2.5005069769687801E-2</v>
          </cell>
          <cell r="F361">
            <v>0.86068179527600297</v>
          </cell>
        </row>
        <row r="362">
          <cell r="A362" t="str">
            <v>HUF_BUBOR_EOD</v>
          </cell>
          <cell r="C362">
            <v>44803</v>
          </cell>
          <cell r="E362">
            <v>2.7409340466030201E-2</v>
          </cell>
          <cell r="F362">
            <v>0.82541797608829703</v>
          </cell>
        </row>
        <row r="363">
          <cell r="A363" t="str">
            <v>HUF_BUBOR_EOD</v>
          </cell>
          <cell r="C363">
            <v>45168</v>
          </cell>
          <cell r="E363">
            <v>2.96631184585383E-2</v>
          </cell>
          <cell r="F363">
            <v>0.78875072364565102</v>
          </cell>
        </row>
        <row r="364">
          <cell r="A364" t="str">
            <v>HUF_BUBOR_EOD</v>
          </cell>
          <cell r="C364">
            <v>45533</v>
          </cell>
          <cell r="E364">
            <v>3.1508692847534603E-2</v>
          </cell>
          <cell r="F364">
            <v>0.75308420181993596</v>
          </cell>
        </row>
        <row r="365">
          <cell r="A365" t="str">
            <v>HUF_BUBOR_EOD</v>
          </cell>
          <cell r="C365">
            <v>45898</v>
          </cell>
          <cell r="E365">
            <v>3.2816161577679297E-2</v>
          </cell>
          <cell r="F365">
            <v>0.72024660708360999</v>
          </cell>
        </row>
        <row r="366">
          <cell r="A366" t="str">
            <v>JPY_LIBOR_EOD</v>
          </cell>
          <cell r="C366">
            <v>42249</v>
          </cell>
          <cell r="E366">
            <v>3.7655813912693001E-4</v>
          </cell>
          <cell r="F366">
            <v>0.99999896833439805</v>
          </cell>
        </row>
        <row r="367">
          <cell r="A367" t="str">
            <v>JPY_LIBOR_EOD</v>
          </cell>
          <cell r="C367">
            <v>42255</v>
          </cell>
          <cell r="E367">
            <v>4.2083028622562E-4</v>
          </cell>
          <cell r="F367">
            <v>0.99999192931475001</v>
          </cell>
        </row>
        <row r="368">
          <cell r="A368" t="str">
            <v>JPY_LIBOR_EOD</v>
          </cell>
          <cell r="C368">
            <v>42278</v>
          </cell>
          <cell r="E368">
            <v>5.4220863763594E-4</v>
          </cell>
          <cell r="F368">
            <v>0.99995543589950497</v>
          </cell>
        </row>
        <row r="369">
          <cell r="A369" t="str">
            <v>JPY_LIBOR_EOD</v>
          </cell>
          <cell r="C369">
            <v>42308</v>
          </cell>
          <cell r="E369">
            <v>7.6003126727112005E-4</v>
          </cell>
          <cell r="F369">
            <v>0.99987507115758301</v>
          </cell>
        </row>
        <row r="370">
          <cell r="A370" t="str">
            <v>JPY_LIBOR_EOD</v>
          </cell>
          <cell r="C370">
            <v>42339</v>
          </cell>
          <cell r="E370">
            <v>8.8670467449639004E-4</v>
          </cell>
          <cell r="F370">
            <v>0.99977895559726004</v>
          </cell>
        </row>
        <row r="371">
          <cell r="A371" t="str">
            <v>JPY_LIBOR_EOD</v>
          </cell>
          <cell r="C371">
            <v>42430</v>
          </cell>
          <cell r="E371">
            <v>1.3067339144824299E-3</v>
          </cell>
          <cell r="F371">
            <v>0.99934863531935503</v>
          </cell>
        </row>
        <row r="372">
          <cell r="A372" t="str">
            <v>JPY_LIBOR_EOD</v>
          </cell>
          <cell r="C372">
            <v>42521</v>
          </cell>
          <cell r="E372">
            <v>1.27765476797602E-3</v>
          </cell>
          <cell r="F372">
            <v>0.99904484069736299</v>
          </cell>
        </row>
        <row r="373">
          <cell r="A373" t="str">
            <v>JPY_LIBOR_EOD</v>
          </cell>
          <cell r="C373">
            <v>42613</v>
          </cell>
          <cell r="E373">
            <v>1.23800393359885E-3</v>
          </cell>
          <cell r="F373">
            <v>0.99876276207713</v>
          </cell>
        </row>
        <row r="374">
          <cell r="A374" t="str">
            <v>JPY_LIBOR_EOD</v>
          </cell>
          <cell r="C374">
            <v>42795</v>
          </cell>
          <cell r="E374">
            <v>1.2195560846241999E-3</v>
          </cell>
          <cell r="F374">
            <v>0.99817400565773295</v>
          </cell>
        </row>
        <row r="375">
          <cell r="A375" t="str">
            <v>JPY_LIBOR_EOD</v>
          </cell>
          <cell r="C375">
            <v>42978</v>
          </cell>
          <cell r="E375">
            <v>1.2027108701878201E-3</v>
          </cell>
          <cell r="F375">
            <v>0.99759746896824297</v>
          </cell>
        </row>
        <row r="376">
          <cell r="A376" t="str">
            <v>JPY_LIBOR_EOD</v>
          </cell>
          <cell r="C376">
            <v>43343</v>
          </cell>
          <cell r="E376">
            <v>1.3417942552728199E-3</v>
          </cell>
          <cell r="F376">
            <v>0.99598270822729795</v>
          </cell>
        </row>
        <row r="377">
          <cell r="A377" t="str">
            <v>JPY_LIBOR_EOD</v>
          </cell>
          <cell r="C377">
            <v>43708</v>
          </cell>
          <cell r="E377">
            <v>1.6857036425550101E-3</v>
          </cell>
          <cell r="F377">
            <v>0.99327986719566397</v>
          </cell>
        </row>
        <row r="378">
          <cell r="A378" t="str">
            <v>JPY_LIBOR_EOD</v>
          </cell>
          <cell r="C378">
            <v>44073</v>
          </cell>
          <cell r="E378">
            <v>2.1871340991193198E-3</v>
          </cell>
          <cell r="F378">
            <v>0.98912390657947802</v>
          </cell>
        </row>
        <row r="379">
          <cell r="A379" t="str">
            <v>JPY_LIBOR_EOD</v>
          </cell>
          <cell r="C379">
            <v>44438</v>
          </cell>
          <cell r="E379">
            <v>2.7820516714338901E-3</v>
          </cell>
          <cell r="F379">
            <v>0.98344623463052705</v>
          </cell>
        </row>
        <row r="380">
          <cell r="A380" t="str">
            <v>JPY_LIBOR_EOD</v>
          </cell>
          <cell r="C380">
            <v>44803</v>
          </cell>
          <cell r="E380">
            <v>3.4370098936339498E-3</v>
          </cell>
          <cell r="F380">
            <v>0.97622804299112298</v>
          </cell>
        </row>
        <row r="381">
          <cell r="A381" t="str">
            <v>JPY_LIBOR_EOD</v>
          </cell>
          <cell r="C381">
            <v>45168</v>
          </cell>
          <cell r="E381">
            <v>4.1232465207432399E-3</v>
          </cell>
          <cell r="F381">
            <v>0.96755213215458302</v>
          </cell>
        </row>
        <row r="382">
          <cell r="A382" t="str">
            <v>JPY_LIBOR_EOD</v>
          </cell>
          <cell r="C382">
            <v>45533</v>
          </cell>
          <cell r="E382">
            <v>4.8221612282189604E-3</v>
          </cell>
          <cell r="F382">
            <v>0.95752882776520198</v>
          </cell>
        </row>
        <row r="383">
          <cell r="A383" t="str">
            <v>JPY_LIBOR_EOD</v>
          </cell>
          <cell r="C383">
            <v>45898</v>
          </cell>
          <cell r="E383">
            <v>5.5493855195596596E-3</v>
          </cell>
          <cell r="F383">
            <v>0.94601783674714301</v>
          </cell>
        </row>
        <row r="384">
          <cell r="A384" t="str">
            <v>JPY_LIBOR_EOD</v>
          </cell>
          <cell r="C384">
            <v>46628</v>
          </cell>
          <cell r="E384">
            <v>7.0404791444429E-3</v>
          </cell>
          <cell r="F384">
            <v>0.91898475106130495</v>
          </cell>
        </row>
        <row r="385">
          <cell r="A385" t="str">
            <v>JPY_LIBOR_EOD</v>
          </cell>
          <cell r="C385">
            <v>47723</v>
          </cell>
          <cell r="E385">
            <v>9.3033998653263492E-3</v>
          </cell>
          <cell r="F385">
            <v>0.86974866664834505</v>
          </cell>
        </row>
        <row r="386">
          <cell r="A386" t="str">
            <v>JPY_LIBOR_EOD</v>
          </cell>
          <cell r="C386">
            <v>49548</v>
          </cell>
          <cell r="E386">
            <v>1.23326559501529E-2</v>
          </cell>
          <cell r="F386">
            <v>0.781411703395269</v>
          </cell>
        </row>
        <row r="387">
          <cell r="A387" t="str">
            <v>JPY_LIBOR_EOD</v>
          </cell>
          <cell r="C387">
            <v>51373</v>
          </cell>
          <cell r="E387">
            <v>1.4081429128564501E-2</v>
          </cell>
          <cell r="F387">
            <v>0.70325499548242598</v>
          </cell>
        </row>
        <row r="388">
          <cell r="A388" t="str">
            <v>JPY_LIBOR_EOD</v>
          </cell>
          <cell r="C388">
            <v>53198</v>
          </cell>
          <cell r="E388">
            <v>1.5061987848754999E-2</v>
          </cell>
          <cell r="F388">
            <v>0.63644349755279395</v>
          </cell>
        </row>
        <row r="389">
          <cell r="A389" t="str">
            <v>JPY_LIBOR_EOD</v>
          </cell>
          <cell r="C389">
            <v>56848</v>
          </cell>
          <cell r="E389">
            <v>1.6555196967415701E-2</v>
          </cell>
          <cell r="F389">
            <v>0.51571144826925797</v>
          </cell>
        </row>
        <row r="390">
          <cell r="A390" t="str">
            <v>JPY_TONA_EOD</v>
          </cell>
          <cell r="C390">
            <v>42249</v>
          </cell>
          <cell r="E390">
            <v>7.5999920875011E-4</v>
          </cell>
          <cell r="F390">
            <v>0.99999791781255498</v>
          </cell>
        </row>
        <row r="391">
          <cell r="A391" t="str">
            <v>JPY_TONA_EOD</v>
          </cell>
          <cell r="C391">
            <v>42255</v>
          </cell>
          <cell r="E391">
            <v>7.3357472216946005E-4</v>
          </cell>
          <cell r="F391">
            <v>0.99998593154264603</v>
          </cell>
        </row>
        <row r="392">
          <cell r="A392" t="str">
            <v>JPY_TONA_EOD</v>
          </cell>
          <cell r="C392">
            <v>42262</v>
          </cell>
          <cell r="E392">
            <v>7.3087664058255996E-4</v>
          </cell>
          <cell r="F392">
            <v>0.99997196676836797</v>
          </cell>
        </row>
        <row r="393">
          <cell r="A393" t="str">
            <v>JPY_TONA_EOD</v>
          </cell>
          <cell r="C393">
            <v>42269</v>
          </cell>
          <cell r="E393">
            <v>7.3069806223434995E-4</v>
          </cell>
          <cell r="F393">
            <v>0.99995796072119003</v>
          </cell>
        </row>
        <row r="394">
          <cell r="A394" t="str">
            <v>JPY_TONA_EOD</v>
          </cell>
          <cell r="C394">
            <v>42278</v>
          </cell>
          <cell r="E394">
            <v>7.3806555186343005E-4</v>
          </cell>
          <cell r="F394">
            <v>0.999939338917887</v>
          </cell>
        </row>
        <row r="395">
          <cell r="A395" t="str">
            <v>JPY_TONA_EOD</v>
          </cell>
          <cell r="C395">
            <v>42308</v>
          </cell>
          <cell r="E395">
            <v>7.2831522597384E-4</v>
          </cell>
          <cell r="F395">
            <v>0.99988028411567398</v>
          </cell>
        </row>
        <row r="396">
          <cell r="A396" t="str">
            <v>JPY_TONA_EOD</v>
          </cell>
          <cell r="C396">
            <v>42339</v>
          </cell>
          <cell r="E396">
            <v>7.1432791194977997E-4</v>
          </cell>
          <cell r="F396">
            <v>0.99982192314527096</v>
          </cell>
        </row>
        <row r="397">
          <cell r="A397" t="str">
            <v>JPY_TONA_EOD</v>
          </cell>
          <cell r="C397">
            <v>42369</v>
          </cell>
          <cell r="E397">
            <v>6.9942996213705005E-4</v>
          </cell>
          <cell r="F397">
            <v>0.99976816105573796</v>
          </cell>
        </row>
        <row r="398">
          <cell r="A398" t="str">
            <v>JPY_TONA_EOD</v>
          </cell>
          <cell r="C398">
            <v>42400</v>
          </cell>
          <cell r="E398">
            <v>6.8684855413356E-4</v>
          </cell>
          <cell r="F398">
            <v>0.99971401081988698</v>
          </cell>
        </row>
        <row r="399">
          <cell r="A399" t="str">
            <v>JPY_TONA_EOD</v>
          </cell>
          <cell r="C399">
            <v>42430</v>
          </cell>
          <cell r="E399">
            <v>6.7649169032489998E-4</v>
          </cell>
          <cell r="F399">
            <v>0.99966273774148895</v>
          </cell>
        </row>
        <row r="400">
          <cell r="A400" t="str">
            <v>JPY_TONA_EOD</v>
          </cell>
          <cell r="C400">
            <v>42460</v>
          </cell>
          <cell r="E400">
            <v>6.8000710869696999E-4</v>
          </cell>
          <cell r="F400">
            <v>0.999605114954635</v>
          </cell>
        </row>
        <row r="401">
          <cell r="A401" t="str">
            <v>JPY_TONA_EOD</v>
          </cell>
          <cell r="C401">
            <v>42491</v>
          </cell>
          <cell r="E401">
            <v>6.6704001158415999E-4</v>
          </cell>
          <cell r="F401">
            <v>0.99955601441868602</v>
          </cell>
        </row>
        <row r="402">
          <cell r="A402" t="str">
            <v>JPY_TONA_EOD</v>
          </cell>
          <cell r="C402">
            <v>42521</v>
          </cell>
          <cell r="E402">
            <v>6.5766048800715001E-4</v>
          </cell>
          <cell r="F402">
            <v>0.99950822695118602</v>
          </cell>
        </row>
        <row r="403">
          <cell r="A403" t="str">
            <v>JPY_TONA_EOD</v>
          </cell>
          <cell r="C403">
            <v>42552</v>
          </cell>
          <cell r="E403">
            <v>6.4445546289434996E-4</v>
          </cell>
          <cell r="F403">
            <v>0.99946339207837898</v>
          </cell>
        </row>
        <row r="404">
          <cell r="A404" t="str">
            <v>JPY_TONA_EOD</v>
          </cell>
          <cell r="C404">
            <v>42582</v>
          </cell>
          <cell r="E404">
            <v>6.5419764874112996E-4</v>
          </cell>
          <cell r="F404">
            <v>0.99940154348991905</v>
          </cell>
        </row>
        <row r="405">
          <cell r="A405" t="str">
            <v>JPY_TONA_EOD</v>
          </cell>
          <cell r="C405">
            <v>42613</v>
          </cell>
          <cell r="E405">
            <v>6.3322590065045001E-4</v>
          </cell>
          <cell r="F405">
            <v>0.99936697454455903</v>
          </cell>
        </row>
        <row r="406">
          <cell r="A406" t="str">
            <v>JPY_TONA_EOD</v>
          </cell>
          <cell r="C406">
            <v>42704</v>
          </cell>
          <cell r="E406">
            <v>6.0156682649890999E-4</v>
          </cell>
          <cell r="F406">
            <v>0.99924873583928597</v>
          </cell>
        </row>
        <row r="407">
          <cell r="A407" t="str">
            <v>JPY_TONA_EOD</v>
          </cell>
          <cell r="C407">
            <v>42795</v>
          </cell>
          <cell r="E407">
            <v>5.7226217931857001E-4</v>
          </cell>
          <cell r="F407">
            <v>0.99914275829360799</v>
          </cell>
        </row>
        <row r="408">
          <cell r="A408" t="str">
            <v>JPY_TONA_EOD</v>
          </cell>
          <cell r="C408">
            <v>42886</v>
          </cell>
          <cell r="E408">
            <v>5.5352570607185997E-4</v>
          </cell>
          <cell r="F408">
            <v>0.99903293530471404</v>
          </cell>
        </row>
        <row r="409">
          <cell r="A409" t="str">
            <v>JPY_TONA_EOD</v>
          </cell>
          <cell r="C409">
            <v>42978</v>
          </cell>
          <cell r="E409">
            <v>5.3482343431728995E-4</v>
          </cell>
          <cell r="F409">
            <v>0.99893092499965996</v>
          </cell>
        </row>
        <row r="410">
          <cell r="A410" t="str">
            <v>JPY_TONA_EOD</v>
          </cell>
          <cell r="C410">
            <v>43343</v>
          </cell>
          <cell r="E410">
            <v>5.8295571596474996E-4</v>
          </cell>
          <cell r="F410">
            <v>0.99825266122915002</v>
          </cell>
        </row>
        <row r="411">
          <cell r="A411" t="str">
            <v>JPY_TONA_EOD</v>
          </cell>
          <cell r="C411">
            <v>43708</v>
          </cell>
          <cell r="E411">
            <v>8.3647848677566002E-4</v>
          </cell>
          <cell r="F411">
            <v>0.99665967738519101</v>
          </cell>
        </row>
        <row r="412">
          <cell r="A412" t="str">
            <v>JPY_TONA_EOD</v>
          </cell>
          <cell r="C412">
            <v>44073</v>
          </cell>
          <cell r="E412">
            <v>1.24939444813443E-3</v>
          </cell>
          <cell r="F412">
            <v>0.99377249952279501</v>
          </cell>
        </row>
        <row r="413">
          <cell r="A413" t="str">
            <v>JPY_TONA_EOD</v>
          </cell>
          <cell r="C413">
            <v>44438</v>
          </cell>
          <cell r="E413">
            <v>1.7583178450232999E-3</v>
          </cell>
          <cell r="F413">
            <v>0.98950554801280199</v>
          </cell>
        </row>
        <row r="414">
          <cell r="A414" t="str">
            <v>JPY_TONA_EOD</v>
          </cell>
          <cell r="C414">
            <v>44803</v>
          </cell>
          <cell r="E414">
            <v>2.3295190690466902E-3</v>
          </cell>
          <cell r="F414">
            <v>0.98382559992820995</v>
          </cell>
        </row>
        <row r="415">
          <cell r="A415" t="str">
            <v>JPY_TONA_EOD</v>
          </cell>
          <cell r="C415">
            <v>45168</v>
          </cell>
          <cell r="E415">
            <v>2.9237785953647498E-3</v>
          </cell>
          <cell r="F415">
            <v>0.97688120224153696</v>
          </cell>
        </row>
        <row r="416">
          <cell r="A416" t="str">
            <v>JPY_TONA_EOD</v>
          </cell>
          <cell r="C416">
            <v>45533</v>
          </cell>
          <cell r="E416">
            <v>3.5414562732442399E-3</v>
          </cell>
          <cell r="F416">
            <v>0.96862948710645003</v>
          </cell>
        </row>
        <row r="417">
          <cell r="A417" t="str">
            <v>JPY_TONA_EOD</v>
          </cell>
          <cell r="C417">
            <v>45898</v>
          </cell>
          <cell r="E417">
            <v>4.19357057839415E-3</v>
          </cell>
          <cell r="F417">
            <v>0.95893143233523304</v>
          </cell>
        </row>
        <row r="418">
          <cell r="A418" t="str">
            <v>JPY_TONA_EOD</v>
          </cell>
          <cell r="C418">
            <v>46628</v>
          </cell>
          <cell r="E418">
            <v>5.5702078730469097E-3</v>
          </cell>
          <cell r="F418">
            <v>0.935342511347244</v>
          </cell>
        </row>
        <row r="419">
          <cell r="A419" t="str">
            <v>JPY_TONA_EOD</v>
          </cell>
          <cell r="C419">
            <v>47723</v>
          </cell>
          <cell r="E419">
            <v>7.8119714342574503E-3</v>
          </cell>
          <cell r="F419">
            <v>0.88942546334545802</v>
          </cell>
        </row>
        <row r="420">
          <cell r="A420" t="str">
            <v>JPY_TONA_EOD</v>
          </cell>
          <cell r="C420">
            <v>49548</v>
          </cell>
          <cell r="E420">
            <v>1.0810446934125801E-2</v>
          </cell>
          <cell r="F420">
            <v>0.80556697018716295</v>
          </cell>
        </row>
        <row r="421">
          <cell r="A421" t="str">
            <v>JPY_TONA_EOD</v>
          </cell>
          <cell r="C421">
            <v>51373</v>
          </cell>
          <cell r="E421">
            <v>1.25413457192366E-2</v>
          </cell>
          <cell r="F421">
            <v>0.73085979028801096</v>
          </cell>
        </row>
        <row r="422">
          <cell r="A422" t="str">
            <v>JPY_TONA_EOD</v>
          </cell>
          <cell r="C422">
            <v>53198</v>
          </cell>
          <cell r="E422">
            <v>1.3509396247692099E-2</v>
          </cell>
          <cell r="F422">
            <v>0.66678882497555703</v>
          </cell>
        </row>
        <row r="423">
          <cell r="A423" t="str">
            <v>JPY_TONA_EOD</v>
          </cell>
          <cell r="C423">
            <v>55023</v>
          </cell>
          <cell r="E423">
            <v>1.42105046096233E-2</v>
          </cell>
          <cell r="F423">
            <v>0.60812935705186899</v>
          </cell>
        </row>
        <row r="424">
          <cell r="A424" t="str">
            <v>JPY_TONA_EOD</v>
          </cell>
          <cell r="C424">
            <v>56848</v>
          </cell>
          <cell r="E424">
            <v>1.4910017027563701E-2</v>
          </cell>
          <cell r="F424">
            <v>0.55079054340979905</v>
          </cell>
        </row>
        <row r="425">
          <cell r="A425" t="str">
            <v>JPY_TONA_EOD</v>
          </cell>
          <cell r="C425">
            <v>58673</v>
          </cell>
          <cell r="E425">
            <v>1.49146165612707E-2</v>
          </cell>
          <cell r="F425">
            <v>0.51111649241570001</v>
          </cell>
        </row>
        <row r="426">
          <cell r="A426" t="str">
            <v>JPY_TONA_EOD</v>
          </cell>
          <cell r="C426">
            <v>60498</v>
          </cell>
          <cell r="E426">
            <v>1.49146165612707E-2</v>
          </cell>
          <cell r="F426">
            <v>0.47438747754000099</v>
          </cell>
        </row>
        <row r="427">
          <cell r="A427" t="str">
            <v>MXN_TIIE_EOD</v>
          </cell>
          <cell r="C427">
            <v>42249</v>
          </cell>
          <cell r="E427">
            <v>3.5589567624426999E-2</v>
          </cell>
          <cell r="F427">
            <v>0.99990249908879802</v>
          </cell>
        </row>
        <row r="428">
          <cell r="A428" t="str">
            <v>MXN_TIIE_EOD</v>
          </cell>
          <cell r="C428">
            <v>42255</v>
          </cell>
          <cell r="E428">
            <v>3.5589567624426999E-2</v>
          </cell>
          <cell r="F428">
            <v>0.999317693224132</v>
          </cell>
        </row>
        <row r="429">
          <cell r="A429" t="str">
            <v>MXN_TIIE_EOD</v>
          </cell>
          <cell r="C429">
            <v>42278</v>
          </cell>
          <cell r="E429">
            <v>3.5589567624426999E-2</v>
          </cell>
          <cell r="F429">
            <v>0.997079104199315</v>
          </cell>
        </row>
        <row r="430">
          <cell r="A430" t="str">
            <v>MXN_TIIE_EOD</v>
          </cell>
          <cell r="C430">
            <v>42308</v>
          </cell>
          <cell r="E430">
            <v>3.5589567624426999E-2</v>
          </cell>
          <cell r="F430">
            <v>0.99416674003090799</v>
          </cell>
        </row>
        <row r="431">
          <cell r="A431" t="str">
            <v>MXN_TIIE_EOD</v>
          </cell>
          <cell r="C431">
            <v>42339</v>
          </cell>
          <cell r="E431">
            <v>3.5723040178119898E-2</v>
          </cell>
          <cell r="F431">
            <v>0.99113325132914998</v>
          </cell>
        </row>
        <row r="432">
          <cell r="A432" t="str">
            <v>MXN_TIIE_EOD</v>
          </cell>
          <cell r="C432">
            <v>42430</v>
          </cell>
          <cell r="E432">
            <v>3.7694284610751798E-2</v>
          </cell>
          <cell r="F432">
            <v>0.98138002775859501</v>
          </cell>
        </row>
        <row r="433">
          <cell r="A433" t="str">
            <v>MXN_TIIE_EOD</v>
          </cell>
          <cell r="C433">
            <v>42521</v>
          </cell>
          <cell r="E433">
            <v>3.92940181733255E-2</v>
          </cell>
          <cell r="F433">
            <v>0.97103790682632596</v>
          </cell>
        </row>
        <row r="434">
          <cell r="A434" t="str">
            <v>MXN_TIIE_EOD</v>
          </cell>
          <cell r="C434">
            <v>42613</v>
          </cell>
          <cell r="E434">
            <v>4.07212030820552E-2</v>
          </cell>
          <cell r="F434">
            <v>0.96009676465711502</v>
          </cell>
        </row>
        <row r="435">
          <cell r="A435" t="str">
            <v>MXN_TIIE_EOD</v>
          </cell>
          <cell r="C435">
            <v>42795</v>
          </cell>
          <cell r="E435">
            <v>4.30476199307245E-2</v>
          </cell>
          <cell r="F435">
            <v>0.93752443211572001</v>
          </cell>
        </row>
        <row r="436">
          <cell r="A436" t="str">
            <v>MXN_TIIE_EOD</v>
          </cell>
          <cell r="C436">
            <v>42978</v>
          </cell>
          <cell r="E436">
            <v>4.5385414882755298E-2</v>
          </cell>
          <cell r="F436">
            <v>0.91322697135938402</v>
          </cell>
        </row>
        <row r="437">
          <cell r="A437" t="str">
            <v>MXN_TIIE_EOD</v>
          </cell>
          <cell r="C437">
            <v>43343</v>
          </cell>
          <cell r="E437">
            <v>4.9537514490750202E-2</v>
          </cell>
          <cell r="F437">
            <v>0.86190300015546695</v>
          </cell>
        </row>
        <row r="438">
          <cell r="A438" t="str">
            <v>MXN_TIIE_EOD</v>
          </cell>
          <cell r="C438">
            <v>43708</v>
          </cell>
          <cell r="E438">
            <v>5.3519407181605201E-2</v>
          </cell>
          <cell r="F438">
            <v>0.80728571402834004</v>
          </cell>
        </row>
        <row r="439">
          <cell r="A439" t="str">
            <v>MXN_TIIE_EOD</v>
          </cell>
          <cell r="C439">
            <v>44073</v>
          </cell>
          <cell r="E439">
            <v>5.6844321843660797E-2</v>
          </cell>
          <cell r="F439">
            <v>0.75259984316156003</v>
          </cell>
        </row>
        <row r="440">
          <cell r="A440" t="str">
            <v>MXN_TIIE_EOD</v>
          </cell>
          <cell r="C440">
            <v>44438</v>
          </cell>
          <cell r="E440">
            <v>5.9502390742235699E-2</v>
          </cell>
          <cell r="F440">
            <v>0.69976245995260999</v>
          </cell>
        </row>
        <row r="441">
          <cell r="A441" t="str">
            <v>MXN_TIIE_EOD</v>
          </cell>
          <cell r="C441">
            <v>44803</v>
          </cell>
          <cell r="E441">
            <v>6.2142761063222599E-2</v>
          </cell>
          <cell r="F441">
            <v>0.64726510240085</v>
          </cell>
        </row>
        <row r="442">
          <cell r="A442" t="str">
            <v>MXN_TIIE_EOD</v>
          </cell>
          <cell r="C442">
            <v>45168</v>
          </cell>
          <cell r="E442">
            <v>6.3724166491860898E-2</v>
          </cell>
          <cell r="F442">
            <v>0.60061969489662204</v>
          </cell>
        </row>
        <row r="443">
          <cell r="A443" t="str">
            <v>MXN_TIIE_EOD</v>
          </cell>
          <cell r="C443">
            <v>45533</v>
          </cell>
          <cell r="E443">
            <v>6.53055719204991E-2</v>
          </cell>
          <cell r="F443">
            <v>0.55557584349133504</v>
          </cell>
        </row>
        <row r="444">
          <cell r="A444" t="str">
            <v>MXN_TIIE_EOD</v>
          </cell>
          <cell r="C444">
            <v>45898</v>
          </cell>
          <cell r="E444">
            <v>6.6875674410377395E-2</v>
          </cell>
          <cell r="F444">
            <v>0.51234515812715997</v>
          </cell>
        </row>
        <row r="445">
          <cell r="A445" t="str">
            <v>MXN_TIIE_EOD</v>
          </cell>
          <cell r="C445">
            <v>46628</v>
          </cell>
          <cell r="E445">
            <v>6.9121691346010095E-2</v>
          </cell>
          <cell r="F445">
            <v>0.43628468731692599</v>
          </cell>
        </row>
        <row r="446">
          <cell r="A446" t="str">
            <v>MXN_TIIE_EOD</v>
          </cell>
          <cell r="C446">
            <v>47723</v>
          </cell>
          <cell r="E446">
            <v>7.2474972489075307E-2</v>
          </cell>
          <cell r="F446">
            <v>0.337184646122341</v>
          </cell>
        </row>
        <row r="447">
          <cell r="A447" t="str">
            <v>MXN_TIIE_EOD</v>
          </cell>
          <cell r="C447">
            <v>49548</v>
          </cell>
          <cell r="E447">
            <v>7.6019601396489694E-2</v>
          </cell>
          <cell r="F447">
            <v>0.21862616258822201</v>
          </cell>
        </row>
        <row r="448">
          <cell r="A448" t="str">
            <v>NOK_NIBOR_EOD</v>
          </cell>
          <cell r="C448">
            <v>42249</v>
          </cell>
          <cell r="E448">
            <v>1.01387480735807E-2</v>
          </cell>
          <cell r="F448">
            <v>0.99997222299380595</v>
          </cell>
        </row>
        <row r="449">
          <cell r="A449" t="str">
            <v>NOK_NIBOR_EOD</v>
          </cell>
          <cell r="C449">
            <v>42255</v>
          </cell>
          <cell r="E449">
            <v>1.0870380230566501E-2</v>
          </cell>
          <cell r="F449">
            <v>0.99979154868347797</v>
          </cell>
        </row>
        <row r="450">
          <cell r="A450" t="str">
            <v>NOK_NIBOR_EOD</v>
          </cell>
          <cell r="C450">
            <v>42278</v>
          </cell>
          <cell r="E450">
            <v>1.11866443440837E-2</v>
          </cell>
          <cell r="F450">
            <v>0.999080972344773</v>
          </cell>
        </row>
        <row r="451">
          <cell r="A451" t="str">
            <v>NOK_NIBOR_EOD</v>
          </cell>
          <cell r="C451">
            <v>42308</v>
          </cell>
          <cell r="E451">
            <v>1.1220374702275399E-2</v>
          </cell>
          <cell r="F451">
            <v>0.99815725478711803</v>
          </cell>
        </row>
        <row r="452">
          <cell r="A452" t="str">
            <v>NOK_NIBOR_EOD</v>
          </cell>
          <cell r="C452">
            <v>42339</v>
          </cell>
          <cell r="E452">
            <v>1.12552294057401E-2</v>
          </cell>
          <cell r="F452">
            <v>0.99719783512356697</v>
          </cell>
        </row>
        <row r="453">
          <cell r="A453" t="str">
            <v>NOK_NIBOR_EOD</v>
          </cell>
          <cell r="C453">
            <v>42430</v>
          </cell>
          <cell r="E453">
            <v>1.05958705211873E-2</v>
          </cell>
          <cell r="F453">
            <v>0.99473051234766496</v>
          </cell>
        </row>
        <row r="454">
          <cell r="A454" t="str">
            <v>NOK_NIBOR_EOD</v>
          </cell>
          <cell r="C454">
            <v>42521</v>
          </cell>
          <cell r="E454">
            <v>9.9999598544492502E-3</v>
          </cell>
          <cell r="F454">
            <v>0.99254847924368395</v>
          </cell>
        </row>
        <row r="455">
          <cell r="A455" t="str">
            <v>NOK_NIBOR_EOD</v>
          </cell>
          <cell r="C455">
            <v>42613</v>
          </cell>
          <cell r="E455">
            <v>9.6492441293448902E-3</v>
          </cell>
          <cell r="F455">
            <v>0.99039716045047599</v>
          </cell>
        </row>
        <row r="456">
          <cell r="A456" t="str">
            <v>NOK_NIBOR_EOD</v>
          </cell>
          <cell r="C456">
            <v>42795</v>
          </cell>
          <cell r="E456">
            <v>9.8904379885808007E-3</v>
          </cell>
          <cell r="F456">
            <v>0.98528719829311595</v>
          </cell>
        </row>
        <row r="457">
          <cell r="A457" t="str">
            <v>NOK_NIBOR_EOD</v>
          </cell>
          <cell r="C457">
            <v>42978</v>
          </cell>
          <cell r="E457">
            <v>1.0245016068583201E-2</v>
          </cell>
          <cell r="F457">
            <v>0.97971846212509195</v>
          </cell>
        </row>
        <row r="458">
          <cell r="A458" t="str">
            <v>NOK_NIBOR_EOD</v>
          </cell>
          <cell r="C458">
            <v>43343</v>
          </cell>
          <cell r="E458">
            <v>1.11801244775572E-2</v>
          </cell>
          <cell r="F458">
            <v>0.9670158686932</v>
          </cell>
        </row>
        <row r="459">
          <cell r="A459" t="str">
            <v>NOK_NIBOR_EOD</v>
          </cell>
          <cell r="C459">
            <v>43708</v>
          </cell>
          <cell r="E459">
            <v>1.26943423269857E-2</v>
          </cell>
          <cell r="F459">
            <v>0.95049025528224995</v>
          </cell>
        </row>
        <row r="460">
          <cell r="A460" t="str">
            <v>NOK_NIBOR_EOD</v>
          </cell>
          <cell r="C460">
            <v>44073</v>
          </cell>
          <cell r="E460">
            <v>1.44028603798697E-2</v>
          </cell>
          <cell r="F460">
            <v>0.93051758754715996</v>
          </cell>
        </row>
        <row r="461">
          <cell r="A461" t="str">
            <v>NOK_NIBOR_EOD</v>
          </cell>
          <cell r="C461">
            <v>44438</v>
          </cell>
          <cell r="E461">
            <v>1.6141320308783499E-2</v>
          </cell>
          <cell r="F461">
            <v>0.90769403606465804</v>
          </cell>
        </row>
        <row r="462">
          <cell r="A462" t="str">
            <v>NOK_NIBOR_EOD</v>
          </cell>
          <cell r="C462">
            <v>44803</v>
          </cell>
          <cell r="E462">
            <v>1.7672809695130499E-2</v>
          </cell>
          <cell r="F462">
            <v>0.88363635167202403</v>
          </cell>
        </row>
        <row r="463">
          <cell r="A463" t="str">
            <v>NOK_NIBOR_EOD</v>
          </cell>
          <cell r="C463">
            <v>45168</v>
          </cell>
          <cell r="E463">
            <v>1.9024877567759502E-2</v>
          </cell>
          <cell r="F463">
            <v>0.85881734143863397</v>
          </cell>
        </row>
        <row r="464">
          <cell r="A464" t="str">
            <v>NOK_NIBOR_EOD</v>
          </cell>
          <cell r="C464">
            <v>45533</v>
          </cell>
          <cell r="E464">
            <v>2.01861243906385E-2</v>
          </cell>
          <cell r="F464">
            <v>0.83387220521984595</v>
          </cell>
        </row>
        <row r="465">
          <cell r="A465" t="str">
            <v>NOK_NIBOR_EOD</v>
          </cell>
          <cell r="C465">
            <v>45898</v>
          </cell>
          <cell r="E465">
            <v>2.11338400591248E-2</v>
          </cell>
          <cell r="F465">
            <v>0.80950008521865902</v>
          </cell>
        </row>
        <row r="466">
          <cell r="A466" t="str">
            <v>NOK_NIBOR_EOD</v>
          </cell>
          <cell r="C466">
            <v>46628</v>
          </cell>
          <cell r="E466">
            <v>2.2243950734083199E-2</v>
          </cell>
          <cell r="F466">
            <v>0.76572865460294803</v>
          </cell>
        </row>
        <row r="467">
          <cell r="A467" t="str">
            <v>NOK_NIBOR_EOD</v>
          </cell>
          <cell r="C467">
            <v>47723</v>
          </cell>
          <cell r="E467">
            <v>2.2929027020605001E-2</v>
          </cell>
          <cell r="F467">
            <v>0.708974722573531</v>
          </cell>
        </row>
        <row r="468">
          <cell r="A468" t="str">
            <v>NOK_NIBOR_EOD</v>
          </cell>
          <cell r="C468">
            <v>49548</v>
          </cell>
          <cell r="E468">
            <v>2.37059413848013E-2</v>
          </cell>
          <cell r="F468">
            <v>0.62243328585983804</v>
          </cell>
        </row>
        <row r="469">
          <cell r="A469" t="str">
            <v>NOK_NIBOR_EOD</v>
          </cell>
          <cell r="C469">
            <v>51373</v>
          </cell>
          <cell r="E469">
            <v>2.3594134274346801E-2</v>
          </cell>
          <cell r="F469">
            <v>0.55440857898934204</v>
          </cell>
        </row>
        <row r="470">
          <cell r="A470" t="str">
            <v>NOK_NIBOR_EOD</v>
          </cell>
          <cell r="C470">
            <v>53198</v>
          </cell>
          <cell r="E470">
            <v>2.3519413225973802E-2</v>
          </cell>
          <cell r="F470">
            <v>0.49382089079500402</v>
          </cell>
        </row>
        <row r="471">
          <cell r="A471" t="str">
            <v>NZD_BKBM_EOD</v>
          </cell>
          <cell r="C471">
            <v>42249</v>
          </cell>
          <cell r="E471">
            <v>2.9998767190878399E-2</v>
          </cell>
          <cell r="F471">
            <v>0.99991781497411203</v>
          </cell>
        </row>
        <row r="472">
          <cell r="A472" t="str">
            <v>NZD_BKBM_EOD</v>
          </cell>
          <cell r="C472">
            <v>42255</v>
          </cell>
          <cell r="E472">
            <v>3.0012050930874602E-2</v>
          </cell>
          <cell r="F472">
            <v>0.99942459203120104</v>
          </cell>
        </row>
        <row r="473">
          <cell r="A473" t="str">
            <v>NZD_BKBM_EOD</v>
          </cell>
          <cell r="C473">
            <v>42278</v>
          </cell>
          <cell r="E473">
            <v>3.00628280080311E-2</v>
          </cell>
          <cell r="F473">
            <v>0.997532132833019</v>
          </cell>
        </row>
        <row r="474">
          <cell r="A474" t="str">
            <v>NZD_BKBM_EOD</v>
          </cell>
          <cell r="C474">
            <v>42308</v>
          </cell>
          <cell r="E474">
            <v>2.9326189576972E-2</v>
          </cell>
          <cell r="F474">
            <v>0.99519085764228499</v>
          </cell>
        </row>
        <row r="475">
          <cell r="A475" t="str">
            <v>NZD_BKBM_EOD</v>
          </cell>
          <cell r="C475">
            <v>42339</v>
          </cell>
          <cell r="E475">
            <v>2.9076156548554399E-2</v>
          </cell>
          <cell r="F475">
            <v>0.99277708756257899</v>
          </cell>
        </row>
        <row r="476">
          <cell r="A476" t="str">
            <v>NZD_BKBM_EOD</v>
          </cell>
          <cell r="C476">
            <v>42430</v>
          </cell>
          <cell r="E476">
            <v>2.8397988547603999E-2</v>
          </cell>
          <cell r="F476">
            <v>0.98593968966400303</v>
          </cell>
        </row>
        <row r="477">
          <cell r="A477" t="str">
            <v>NZD_BKBM_EOD</v>
          </cell>
          <cell r="C477">
            <v>42521</v>
          </cell>
          <cell r="E477">
            <v>2.7798383985361601E-2</v>
          </cell>
          <cell r="F477">
            <v>0.97942298844492504</v>
          </cell>
        </row>
        <row r="478">
          <cell r="A478" t="str">
            <v>NZD_BKBM_EOD</v>
          </cell>
          <cell r="C478">
            <v>42613</v>
          </cell>
          <cell r="E478">
            <v>2.7192190361995699E-2</v>
          </cell>
          <cell r="F478">
            <v>0.97317418885041196</v>
          </cell>
        </row>
        <row r="479">
          <cell r="A479" t="str">
            <v>NZD_BKBM_EOD</v>
          </cell>
          <cell r="C479">
            <v>42795</v>
          </cell>
          <cell r="E479">
            <v>2.7346716118038E-2</v>
          </cell>
          <cell r="F479">
            <v>0.95984581871673502</v>
          </cell>
        </row>
        <row r="480">
          <cell r="A480" t="str">
            <v>NZD_BKBM_EOD</v>
          </cell>
          <cell r="C480">
            <v>42978</v>
          </cell>
          <cell r="E480">
            <v>2.7509611209426601E-2</v>
          </cell>
          <cell r="F480">
            <v>0.94646695439439399</v>
          </cell>
        </row>
        <row r="481">
          <cell r="A481" t="str">
            <v>NZD_BKBM_EOD</v>
          </cell>
          <cell r="C481">
            <v>43343</v>
          </cell>
          <cell r="E481">
            <v>2.8395474780150101E-2</v>
          </cell>
          <cell r="F481">
            <v>0.91834106731465404</v>
          </cell>
        </row>
        <row r="482">
          <cell r="A482" t="str">
            <v>NZD_BKBM_EOD</v>
          </cell>
          <cell r="C482">
            <v>43708</v>
          </cell>
          <cell r="E482">
            <v>2.9496472630228001E-2</v>
          </cell>
          <cell r="F482">
            <v>0.88870859174144701</v>
          </cell>
        </row>
        <row r="483">
          <cell r="A483" t="str">
            <v>NZD_BKBM_EOD</v>
          </cell>
          <cell r="C483">
            <v>44073</v>
          </cell>
          <cell r="E483">
            <v>3.07211217676653E-2</v>
          </cell>
          <cell r="F483">
            <v>0.85761018820038604</v>
          </cell>
        </row>
        <row r="484">
          <cell r="A484" t="str">
            <v>NZD_BKBM_EOD</v>
          </cell>
          <cell r="C484">
            <v>44438</v>
          </cell>
          <cell r="E484">
            <v>3.18723384066587E-2</v>
          </cell>
          <cell r="F484">
            <v>0.82593927060010797</v>
          </cell>
        </row>
        <row r="485">
          <cell r="A485" t="str">
            <v>NZD_BKBM_EOD</v>
          </cell>
          <cell r="C485">
            <v>44803</v>
          </cell>
          <cell r="E485">
            <v>3.3023146759040001E-2</v>
          </cell>
          <cell r="F485">
            <v>0.79361086898051603</v>
          </cell>
        </row>
        <row r="486">
          <cell r="A486" t="str">
            <v>NZD_BKBM_EOD</v>
          </cell>
          <cell r="C486">
            <v>45168</v>
          </cell>
          <cell r="E486">
            <v>3.3975376143771302E-2</v>
          </cell>
          <cell r="F486">
            <v>0.76200435419117396</v>
          </cell>
        </row>
        <row r="487">
          <cell r="A487" t="str">
            <v>NZD_BKBM_EOD</v>
          </cell>
          <cell r="C487">
            <v>45533</v>
          </cell>
          <cell r="E487">
            <v>3.4926511429507402E-2</v>
          </cell>
          <cell r="F487">
            <v>0.73027171419611103</v>
          </cell>
        </row>
        <row r="488">
          <cell r="A488" t="str">
            <v>NZD_BKBM_EOD</v>
          </cell>
          <cell r="C488">
            <v>45898</v>
          </cell>
          <cell r="E488">
            <v>3.5877646715243398E-2</v>
          </cell>
          <cell r="F488">
            <v>0.698530478408111</v>
          </cell>
        </row>
        <row r="489">
          <cell r="A489" t="str">
            <v>NZD_BKBM_EOD</v>
          </cell>
          <cell r="C489">
            <v>46628</v>
          </cell>
          <cell r="E489">
            <v>3.7295569329138398E-2</v>
          </cell>
          <cell r="F489">
            <v>0.63919428083498497</v>
          </cell>
        </row>
        <row r="490">
          <cell r="A490" t="str">
            <v>NZD_BKBM_EOD</v>
          </cell>
          <cell r="C490">
            <v>47723</v>
          </cell>
          <cell r="E490">
            <v>3.8855366354095998E-2</v>
          </cell>
          <cell r="F490">
            <v>0.558315817619218</v>
          </cell>
        </row>
        <row r="491">
          <cell r="A491" t="str">
            <v>NZD_BKBM_EOD</v>
          </cell>
          <cell r="C491">
            <v>49548</v>
          </cell>
          <cell r="E491">
            <v>4.0363335671875E-2</v>
          </cell>
          <cell r="F491">
            <v>0.44607565404775301</v>
          </cell>
        </row>
        <row r="492">
          <cell r="A492" t="str">
            <v>PLN_WIBOR_EOD</v>
          </cell>
          <cell r="C492">
            <v>42249</v>
          </cell>
          <cell r="E492">
            <v>1.49496938405125E-2</v>
          </cell>
          <cell r="F492">
            <v>0.99995904277345404</v>
          </cell>
        </row>
        <row r="493">
          <cell r="A493" t="str">
            <v>PLN_WIBOR_EOD</v>
          </cell>
          <cell r="C493">
            <v>42255</v>
          </cell>
          <cell r="E493">
            <v>1.5776208278222001E-2</v>
          </cell>
          <cell r="F493">
            <v>0.99969748834684602</v>
          </cell>
        </row>
        <row r="494">
          <cell r="A494" t="str">
            <v>PLN_WIBOR_EOD</v>
          </cell>
          <cell r="C494">
            <v>42278</v>
          </cell>
          <cell r="E494">
            <v>1.64292757964223E-2</v>
          </cell>
          <cell r="F494">
            <v>0.99865055987893303</v>
          </cell>
        </row>
        <row r="495">
          <cell r="A495" t="str">
            <v>PLN_WIBOR_EOD</v>
          </cell>
          <cell r="C495">
            <v>42308</v>
          </cell>
          <cell r="E495">
            <v>1.67947579249953E-2</v>
          </cell>
          <cell r="F495">
            <v>0.99724302532965703</v>
          </cell>
        </row>
        <row r="496">
          <cell r="A496" t="str">
            <v>PLN_WIBOR_EOD</v>
          </cell>
          <cell r="C496">
            <v>42339</v>
          </cell>
          <cell r="E496">
            <v>1.7097545683224701E-2</v>
          </cell>
          <cell r="F496">
            <v>0.99574639653395003</v>
          </cell>
        </row>
        <row r="497">
          <cell r="A497" t="str">
            <v>PLN_WIBOR_EOD</v>
          </cell>
          <cell r="C497">
            <v>42430</v>
          </cell>
          <cell r="E497">
            <v>1.6963810383226498E-2</v>
          </cell>
          <cell r="F497">
            <v>0.99157700677399396</v>
          </cell>
        </row>
        <row r="498">
          <cell r="A498" t="str">
            <v>PLN_WIBOR_EOD</v>
          </cell>
          <cell r="C498">
            <v>42521</v>
          </cell>
          <cell r="E498">
            <v>1.67177068037546E-2</v>
          </cell>
          <cell r="F498">
            <v>0.98757392065350302</v>
          </cell>
        </row>
        <row r="499">
          <cell r="A499" t="str">
            <v>PLN_WIBOR_EOD</v>
          </cell>
          <cell r="C499">
            <v>42613</v>
          </cell>
          <cell r="E499">
            <v>1.6559455851970599E-2</v>
          </cell>
          <cell r="F499">
            <v>0.98357689824970296</v>
          </cell>
        </row>
        <row r="500">
          <cell r="A500" t="str">
            <v>PLN_WIBOR_EOD</v>
          </cell>
          <cell r="C500">
            <v>42795</v>
          </cell>
          <cell r="E500">
            <v>1.7047501734906101E-2</v>
          </cell>
          <cell r="F500">
            <v>0.97477568622831001</v>
          </cell>
        </row>
        <row r="501">
          <cell r="A501" t="str">
            <v>PLN_WIBOR_EOD</v>
          </cell>
          <cell r="C501">
            <v>42978</v>
          </cell>
          <cell r="E501">
            <v>1.7560808304085899E-2</v>
          </cell>
          <cell r="F501">
            <v>0.96548798974266103</v>
          </cell>
        </row>
        <row r="502">
          <cell r="A502" t="str">
            <v>PLN_WIBOR_EOD</v>
          </cell>
          <cell r="C502">
            <v>43343</v>
          </cell>
          <cell r="E502">
            <v>1.8941093269407801E-2</v>
          </cell>
          <cell r="F502">
            <v>0.94476101296233095</v>
          </cell>
        </row>
        <row r="503">
          <cell r="A503" t="str">
            <v>PLN_WIBOR_EOD</v>
          </cell>
          <cell r="C503">
            <v>43708</v>
          </cell>
          <cell r="E503">
            <v>2.0629633722391301E-2</v>
          </cell>
          <cell r="F503">
            <v>0.92079437087666105</v>
          </cell>
        </row>
        <row r="504">
          <cell r="A504" t="str">
            <v>PLN_WIBOR_EOD</v>
          </cell>
          <cell r="C504">
            <v>44073</v>
          </cell>
          <cell r="E504">
            <v>2.2145285131866699E-2</v>
          </cell>
          <cell r="F504">
            <v>0.89518361470017505</v>
          </cell>
        </row>
        <row r="505">
          <cell r="A505" t="str">
            <v>PLN_WIBOR_EOD</v>
          </cell>
          <cell r="C505">
            <v>44438</v>
          </cell>
          <cell r="E505">
            <v>2.34451714665759E-2</v>
          </cell>
          <cell r="F505">
            <v>0.86877506666919802</v>
          </cell>
        </row>
        <row r="506">
          <cell r="A506" t="str">
            <v>PLN_WIBOR_EOD</v>
          </cell>
          <cell r="C506">
            <v>44803</v>
          </cell>
          <cell r="E506">
            <v>2.4615826853366499E-2</v>
          </cell>
          <cell r="F506">
            <v>0.84171753682630701</v>
          </cell>
        </row>
        <row r="507">
          <cell r="A507" t="str">
            <v>PLN_WIBOR_EOD</v>
          </cell>
          <cell r="C507">
            <v>45168</v>
          </cell>
          <cell r="E507">
            <v>2.5598212576113701E-2</v>
          </cell>
          <cell r="F507">
            <v>0.814821913542636</v>
          </cell>
        </row>
        <row r="508">
          <cell r="A508" t="str">
            <v>PLN_WIBOR_EOD</v>
          </cell>
          <cell r="C508">
            <v>45533</v>
          </cell>
          <cell r="E508">
            <v>2.62945855426709E-2</v>
          </cell>
          <cell r="F508">
            <v>0.78926648102222896</v>
          </cell>
        </row>
        <row r="509">
          <cell r="A509" t="str">
            <v>PLN_WIBOR_EOD</v>
          </cell>
          <cell r="C509">
            <v>45898</v>
          </cell>
          <cell r="E509">
            <v>2.6928273717102099E-2</v>
          </cell>
          <cell r="F509">
            <v>0.76392723448588795</v>
          </cell>
        </row>
        <row r="510">
          <cell r="A510" t="str">
            <v>PLN_WIBOR_EOD</v>
          </cell>
          <cell r="C510">
            <v>46628</v>
          </cell>
          <cell r="E510">
            <v>2.7806258031327E-2</v>
          </cell>
          <cell r="F510">
            <v>0.71628646849434596</v>
          </cell>
        </row>
        <row r="511">
          <cell r="A511" t="str">
            <v>PLN_WIBOR_EOD</v>
          </cell>
          <cell r="C511">
            <v>47723</v>
          </cell>
          <cell r="E511">
            <v>2.8725370595191299E-2</v>
          </cell>
          <cell r="F511">
            <v>0.64993653525546902</v>
          </cell>
        </row>
        <row r="512">
          <cell r="A512" t="str">
            <v>PLN_WIBOR_EOD</v>
          </cell>
          <cell r="C512">
            <v>49548</v>
          </cell>
          <cell r="E512">
            <v>2.89706447297455E-2</v>
          </cell>
          <cell r="F512">
            <v>0.56022718243805603</v>
          </cell>
        </row>
        <row r="513">
          <cell r="A513" t="str">
            <v>PLN_WIBOR_EOD</v>
          </cell>
          <cell r="C513">
            <v>51373</v>
          </cell>
          <cell r="E513">
            <v>2.8478937088533701E-2</v>
          </cell>
          <cell r="F513">
            <v>0.49067493012624203</v>
          </cell>
        </row>
        <row r="514">
          <cell r="A514" t="str">
            <v>PLN_WIBOR_EOD</v>
          </cell>
          <cell r="C514">
            <v>53198</v>
          </cell>
          <cell r="E514">
            <v>2.77145773215174E-2</v>
          </cell>
          <cell r="F514">
            <v>0.43542299431461301</v>
          </cell>
        </row>
        <row r="515">
          <cell r="A515" t="str">
            <v>SEK_STIBOR_EOD</v>
          </cell>
          <cell r="C515">
            <v>42249</v>
          </cell>
          <cell r="E515">
            <v>-3.7108521968558599E-3</v>
          </cell>
          <cell r="F515">
            <v>1.0000101667700301</v>
          </cell>
        </row>
        <row r="516">
          <cell r="A516" t="str">
            <v>SEK_STIBOR_EOD</v>
          </cell>
          <cell r="C516">
            <v>42255</v>
          </cell>
          <cell r="E516">
            <v>-3.6207853474631798E-3</v>
          </cell>
          <cell r="F516">
            <v>1.00006944212999</v>
          </cell>
        </row>
        <row r="517">
          <cell r="A517" t="str">
            <v>SEK_STIBOR_EOD</v>
          </cell>
          <cell r="C517">
            <v>42278</v>
          </cell>
          <cell r="E517">
            <v>-3.5116830288349698E-3</v>
          </cell>
          <cell r="F517">
            <v>1.0002886731399001</v>
          </cell>
        </row>
        <row r="518">
          <cell r="A518" t="str">
            <v>SEK_STIBOR_EOD</v>
          </cell>
          <cell r="C518">
            <v>42308</v>
          </cell>
          <cell r="E518">
            <v>-3.4072893447408001E-3</v>
          </cell>
          <cell r="F518">
            <v>1.0005602592446501</v>
          </cell>
        </row>
        <row r="519">
          <cell r="A519" t="str">
            <v>SEK_STIBOR_EOD</v>
          </cell>
          <cell r="C519">
            <v>42339</v>
          </cell>
          <cell r="E519">
            <v>-3.2994158711768299E-3</v>
          </cell>
          <cell r="F519">
            <v>1.00082293251722</v>
          </cell>
        </row>
        <row r="520">
          <cell r="A520" t="str">
            <v>SEK_STIBOR_EOD</v>
          </cell>
          <cell r="C520">
            <v>42430</v>
          </cell>
          <cell r="E520">
            <v>-3.3406087691228402E-3</v>
          </cell>
          <cell r="F520">
            <v>1.0016671163040201</v>
          </cell>
        </row>
        <row r="521">
          <cell r="A521" t="str">
            <v>SEK_STIBOR_EOD</v>
          </cell>
          <cell r="C521">
            <v>42521</v>
          </cell>
          <cell r="E521">
            <v>-3.3532462992609401E-3</v>
          </cell>
          <cell r="F521">
            <v>1.0025111922669501</v>
          </cell>
        </row>
        <row r="522">
          <cell r="A522" t="str">
            <v>SEK_STIBOR_EOD</v>
          </cell>
          <cell r="C522">
            <v>42613</v>
          </cell>
          <cell r="E522">
            <v>-3.26006212622545E-3</v>
          </cell>
          <cell r="F522">
            <v>1.0032653819081301</v>
          </cell>
        </row>
        <row r="523">
          <cell r="A523" t="str">
            <v>SEK_STIBOR_EOD</v>
          </cell>
          <cell r="C523">
            <v>42795</v>
          </cell>
          <cell r="E523">
            <v>-2.8070722056167501E-3</v>
          </cell>
          <cell r="F523">
            <v>1.0042156238523301</v>
          </cell>
        </row>
        <row r="524">
          <cell r="A524" t="str">
            <v>SEK_STIBOR_EOD</v>
          </cell>
          <cell r="C524">
            <v>42978</v>
          </cell>
          <cell r="E524">
            <v>-2.0201326635262101E-3</v>
          </cell>
          <cell r="F524">
            <v>1.0040484382021599</v>
          </cell>
        </row>
        <row r="525">
          <cell r="A525" t="str">
            <v>SEK_STIBOR_EOD</v>
          </cell>
          <cell r="C525">
            <v>43343</v>
          </cell>
          <cell r="E525">
            <v>9.9359386436250006E-5</v>
          </cell>
          <cell r="F525">
            <v>0.99970196626157204</v>
          </cell>
        </row>
        <row r="526">
          <cell r="A526" t="str">
            <v>SEK_STIBOR_EOD</v>
          </cell>
          <cell r="C526">
            <v>43708</v>
          </cell>
          <cell r="E526">
            <v>2.5954488805179699E-3</v>
          </cell>
          <cell r="F526">
            <v>0.98967190930553595</v>
          </cell>
        </row>
        <row r="527">
          <cell r="A527" t="str">
            <v>SEK_STIBOR_EOD</v>
          </cell>
          <cell r="C527">
            <v>44073</v>
          </cell>
          <cell r="E527">
            <v>5.2159930402755697E-3</v>
          </cell>
          <cell r="F527">
            <v>0.97425717982217697</v>
          </cell>
        </row>
        <row r="528">
          <cell r="A528" t="str">
            <v>SEK_STIBOR_EOD</v>
          </cell>
          <cell r="C528">
            <v>44438</v>
          </cell>
          <cell r="E528">
            <v>7.6929951439044398E-3</v>
          </cell>
          <cell r="F528">
            <v>0.95489110530314902</v>
          </cell>
        </row>
        <row r="529">
          <cell r="A529" t="str">
            <v>SEK_STIBOR_EOD</v>
          </cell>
          <cell r="C529">
            <v>44803</v>
          </cell>
          <cell r="E529">
            <v>9.8334523485985106E-3</v>
          </cell>
          <cell r="F529">
            <v>0.93348146979833602</v>
          </cell>
        </row>
        <row r="530">
          <cell r="A530" t="str">
            <v>SEK_STIBOR_EOD</v>
          </cell>
          <cell r="C530">
            <v>45168</v>
          </cell>
          <cell r="E530">
            <v>1.1587759534923E-2</v>
          </cell>
          <cell r="F530">
            <v>0.91146500689607002</v>
          </cell>
        </row>
        <row r="531">
          <cell r="A531" t="str">
            <v>SEK_STIBOR_EOD</v>
          </cell>
          <cell r="C531">
            <v>45533</v>
          </cell>
          <cell r="E531">
            <v>1.3039485045996601E-2</v>
          </cell>
          <cell r="F531">
            <v>0.88926912151677395</v>
          </cell>
        </row>
        <row r="532">
          <cell r="A532" t="str">
            <v>SEK_STIBOR_EOD</v>
          </cell>
          <cell r="C532">
            <v>45898</v>
          </cell>
          <cell r="E532">
            <v>1.42274895916173E-2</v>
          </cell>
          <cell r="F532">
            <v>0.86738278372481703</v>
          </cell>
        </row>
        <row r="533">
          <cell r="A533" t="str">
            <v>SEK_STIBOR_EOD</v>
          </cell>
          <cell r="C533">
            <v>46628</v>
          </cell>
          <cell r="E533">
            <v>1.6215809330255699E-2</v>
          </cell>
          <cell r="F533">
            <v>0.82317232653852501</v>
          </cell>
        </row>
        <row r="534">
          <cell r="A534" t="str">
            <v>SEK_STIBOR_EOD</v>
          </cell>
          <cell r="C534">
            <v>47723</v>
          </cell>
          <cell r="E534">
            <v>1.8322234424438099E-2</v>
          </cell>
          <cell r="F534">
            <v>0.75969859007893203</v>
          </cell>
        </row>
        <row r="535">
          <cell r="A535" t="str">
            <v>SEK_STIBOR_EOD</v>
          </cell>
          <cell r="C535">
            <v>49548</v>
          </cell>
          <cell r="E535">
            <v>2.0310092890569301E-2</v>
          </cell>
          <cell r="F535">
            <v>0.66617568108680103</v>
          </cell>
        </row>
        <row r="536">
          <cell r="A536" t="str">
            <v>SEK_STIBOR_EOD</v>
          </cell>
          <cell r="C536">
            <v>51373</v>
          </cell>
          <cell r="E536">
            <v>2.1288395500464699E-2</v>
          </cell>
          <cell r="F536">
            <v>0.58730565510488997</v>
          </cell>
        </row>
        <row r="537">
          <cell r="A537" t="str">
            <v>SEK_STIBOR_EOD</v>
          </cell>
          <cell r="C537">
            <v>53198</v>
          </cell>
          <cell r="E537">
            <v>2.14966245703819E-2</v>
          </cell>
          <cell r="F537">
            <v>0.52471567364119798</v>
          </cell>
        </row>
        <row r="538">
          <cell r="A538" t="str">
            <v>SGD_SOR_EOD</v>
          </cell>
          <cell r="C538">
            <v>42249</v>
          </cell>
          <cell r="E538">
            <v>3.4871833418313601E-3</v>
          </cell>
          <cell r="F538">
            <v>0.99999044611867505</v>
          </cell>
        </row>
        <row r="539">
          <cell r="A539" t="str">
            <v>SGD_SOR_EOD</v>
          </cell>
          <cell r="C539">
            <v>42255</v>
          </cell>
          <cell r="E539">
            <v>4.7180538241316699E-3</v>
          </cell>
          <cell r="F539">
            <v>0.99990952086945895</v>
          </cell>
        </row>
        <row r="540">
          <cell r="A540" t="str">
            <v>SGD_SOR_EOD</v>
          </cell>
          <cell r="C540">
            <v>42278</v>
          </cell>
          <cell r="E540">
            <v>1.2223132025847201E-2</v>
          </cell>
          <cell r="F540">
            <v>0.99899586349437697</v>
          </cell>
        </row>
        <row r="541">
          <cell r="A541" t="str">
            <v>SGD_SOR_EOD</v>
          </cell>
          <cell r="C541">
            <v>42308</v>
          </cell>
          <cell r="E541">
            <v>1.43365979345027E-2</v>
          </cell>
          <cell r="F541">
            <v>0.99764607380929304</v>
          </cell>
        </row>
        <row r="542">
          <cell r="A542" t="str">
            <v>SGD_SOR_EOD</v>
          </cell>
          <cell r="C542">
            <v>42339</v>
          </cell>
          <cell r="E542">
            <v>1.50597683895569E-2</v>
          </cell>
          <cell r="F542">
            <v>0.99625241261176201</v>
          </cell>
        </row>
        <row r="543">
          <cell r="A543" t="str">
            <v>SGD_SOR_EOD</v>
          </cell>
          <cell r="C543">
            <v>42430</v>
          </cell>
          <cell r="E543">
            <v>1.6103923259984301E-2</v>
          </cell>
          <cell r="F543">
            <v>0.99200225207678905</v>
          </cell>
        </row>
        <row r="544">
          <cell r="A544" t="str">
            <v>SGD_SOR_EOD</v>
          </cell>
          <cell r="C544">
            <v>42521</v>
          </cell>
          <cell r="E544">
            <v>1.6405208106364099E-2</v>
          </cell>
          <cell r="F544">
            <v>0.987804775162751</v>
          </cell>
        </row>
        <row r="545">
          <cell r="A545" t="str">
            <v>SGD_SOR_EOD</v>
          </cell>
          <cell r="C545">
            <v>42613</v>
          </cell>
          <cell r="E545">
            <v>1.66934445627335E-2</v>
          </cell>
          <cell r="F545">
            <v>0.98344511887784103</v>
          </cell>
        </row>
        <row r="546">
          <cell r="A546" t="str">
            <v>SGD_SOR_EOD</v>
          </cell>
          <cell r="C546">
            <v>42795</v>
          </cell>
          <cell r="E546">
            <v>1.8086795866719099E-2</v>
          </cell>
          <cell r="F546">
            <v>0.97325863775294597</v>
          </cell>
        </row>
        <row r="547">
          <cell r="A547" t="str">
            <v>SGD_SOR_EOD</v>
          </cell>
          <cell r="C547">
            <v>42978</v>
          </cell>
          <cell r="E547">
            <v>1.9511183375704799E-2</v>
          </cell>
          <cell r="F547">
            <v>0.96172919814790403</v>
          </cell>
        </row>
        <row r="548">
          <cell r="A548" t="str">
            <v>SGD_SOR_EOD</v>
          </cell>
          <cell r="C548">
            <v>43343</v>
          </cell>
          <cell r="E548">
            <v>2.1955366668416802E-2</v>
          </cell>
          <cell r="F548">
            <v>0.93625622060184999</v>
          </cell>
        </row>
        <row r="549">
          <cell r="A549" t="str">
            <v>SGD_SOR_EOD</v>
          </cell>
          <cell r="C549">
            <v>43708</v>
          </cell>
          <cell r="E549">
            <v>2.4232044859161101E-2</v>
          </cell>
          <cell r="F549">
            <v>0.90762118965764105</v>
          </cell>
        </row>
        <row r="550">
          <cell r="A550" t="str">
            <v>SGD_SOR_EOD</v>
          </cell>
          <cell r="C550">
            <v>44073</v>
          </cell>
          <cell r="E550">
            <v>2.5933095830415299E-2</v>
          </cell>
          <cell r="F550">
            <v>0.87838922128543195</v>
          </cell>
        </row>
        <row r="551">
          <cell r="A551" t="str">
            <v>SGD_SOR_EOD</v>
          </cell>
          <cell r="C551">
            <v>44438</v>
          </cell>
          <cell r="E551">
            <v>2.7216581319208399E-2</v>
          </cell>
          <cell r="F551">
            <v>0.84933678421814995</v>
          </cell>
        </row>
        <row r="552">
          <cell r="A552" t="str">
            <v>SGD_SOR_EOD</v>
          </cell>
          <cell r="C552">
            <v>44803</v>
          </cell>
          <cell r="E552">
            <v>2.8495492777050799E-2</v>
          </cell>
          <cell r="F552">
            <v>0.81916606555384297</v>
          </cell>
        </row>
        <row r="553">
          <cell r="A553" t="str">
            <v>SGD_SOR_EOD</v>
          </cell>
          <cell r="C553">
            <v>45168</v>
          </cell>
          <cell r="E553">
            <v>2.93166335703158E-2</v>
          </cell>
          <cell r="F553">
            <v>0.79094007820748502</v>
          </cell>
        </row>
        <row r="554">
          <cell r="A554" t="str">
            <v>SGD_SOR_EOD</v>
          </cell>
          <cell r="C554">
            <v>45533</v>
          </cell>
          <cell r="E554">
            <v>3.0130123600384501E-2</v>
          </cell>
          <cell r="F554">
            <v>0.76248601442730701</v>
          </cell>
        </row>
        <row r="555">
          <cell r="A555" t="str">
            <v>SGD_SOR_EOD</v>
          </cell>
          <cell r="C555">
            <v>45898</v>
          </cell>
          <cell r="E555">
            <v>3.0943613630453299E-2</v>
          </cell>
          <cell r="F555">
            <v>0.73386063695426695</v>
          </cell>
        </row>
        <row r="556">
          <cell r="A556" t="str">
            <v>USD_FEDFUND_EOD</v>
          </cell>
          <cell r="C556">
            <v>42249</v>
          </cell>
          <cell r="E556">
            <v>8.1111020988319002E-4</v>
          </cell>
          <cell r="F556">
            <v>0.99999777778271604</v>
          </cell>
        </row>
        <row r="557">
          <cell r="A557" t="str">
            <v>USD_FEDFUND_EOD</v>
          </cell>
          <cell r="C557">
            <v>42255</v>
          </cell>
          <cell r="E557">
            <v>1.2842441300840099E-3</v>
          </cell>
          <cell r="F557">
            <v>0.99997537096381905</v>
          </cell>
        </row>
        <row r="558">
          <cell r="A558" t="str">
            <v>USD_FEDFUND_EOD</v>
          </cell>
          <cell r="C558">
            <v>42262</v>
          </cell>
          <cell r="E558">
            <v>1.3805485251708999E-3</v>
          </cell>
          <cell r="F558">
            <v>0.99994704885579</v>
          </cell>
        </row>
        <row r="559">
          <cell r="A559" t="str">
            <v>USD_FEDFUND_EOD</v>
          </cell>
          <cell r="C559">
            <v>42269</v>
          </cell>
          <cell r="E559">
            <v>1.53179097593176E-3</v>
          </cell>
          <cell r="F559">
            <v>0.99991187344366195</v>
          </cell>
        </row>
        <row r="560">
          <cell r="A560" t="str">
            <v>USD_FEDFUND_EOD</v>
          </cell>
          <cell r="C560">
            <v>42278</v>
          </cell>
          <cell r="E560">
            <v>1.69286962655844E-3</v>
          </cell>
          <cell r="F560">
            <v>0.99986086971021004</v>
          </cell>
        </row>
        <row r="561">
          <cell r="A561" t="str">
            <v>USD_FEDFUND_EOD</v>
          </cell>
          <cell r="C561">
            <v>42308</v>
          </cell>
          <cell r="E561">
            <v>1.91487986151849E-3</v>
          </cell>
          <cell r="F561">
            <v>0.99968527476462399</v>
          </cell>
        </row>
        <row r="562">
          <cell r="A562" t="str">
            <v>USD_FEDFUND_EOD</v>
          </cell>
          <cell r="C562">
            <v>42339</v>
          </cell>
          <cell r="E562">
            <v>2.1540216218511E-3</v>
          </cell>
          <cell r="F562">
            <v>0.99946311412663902</v>
          </cell>
        </row>
        <row r="563">
          <cell r="A563" t="str">
            <v>USD_FEDFUND_EOD</v>
          </cell>
          <cell r="C563">
            <v>42369</v>
          </cell>
          <cell r="E563">
            <v>2.34442442594947E-3</v>
          </cell>
          <cell r="F563">
            <v>0.99922310918115897</v>
          </cell>
        </row>
        <row r="564">
          <cell r="A564" t="str">
            <v>USD_FEDFUND_EOD</v>
          </cell>
          <cell r="C564">
            <v>42400</v>
          </cell>
          <cell r="E564">
            <v>2.53420491255751E-3</v>
          </cell>
          <cell r="F564">
            <v>0.99894521654757895</v>
          </cell>
        </row>
        <row r="565">
          <cell r="A565" t="str">
            <v>USD_FEDFUND_EOD</v>
          </cell>
          <cell r="C565">
            <v>42430</v>
          </cell>
          <cell r="E565">
            <v>2.6873275600446602E-3</v>
          </cell>
          <cell r="F565">
            <v>0.99866091486630304</v>
          </cell>
        </row>
        <row r="566">
          <cell r="A566" t="str">
            <v>USD_FEDFUND_EOD</v>
          </cell>
          <cell r="C566">
            <v>42460</v>
          </cell>
          <cell r="E566">
            <v>2.8294070563248401E-3</v>
          </cell>
          <cell r="F566">
            <v>0.99835796797946996</v>
          </cell>
        </row>
        <row r="567">
          <cell r="A567" t="str">
            <v>USD_FEDFUND_EOD</v>
          </cell>
          <cell r="C567">
            <v>42491</v>
          </cell>
          <cell r="E567">
            <v>3.0237199653691299E-3</v>
          </cell>
          <cell r="F567">
            <v>0.99798897290794697</v>
          </cell>
        </row>
        <row r="568">
          <cell r="A568" t="str">
            <v>USD_FEDFUND_EOD</v>
          </cell>
          <cell r="C568">
            <v>42521</v>
          </cell>
          <cell r="E568">
            <v>3.2048781567703198E-3</v>
          </cell>
          <cell r="F568">
            <v>0.99760579743437805</v>
          </cell>
        </row>
        <row r="569">
          <cell r="A569" t="str">
            <v>USD_FEDFUND_EOD</v>
          </cell>
          <cell r="C569">
            <v>42552</v>
          </cell>
          <cell r="E569">
            <v>3.3647268440859602E-3</v>
          </cell>
          <cell r="F569">
            <v>0.99720152043294397</v>
          </cell>
        </row>
        <row r="570">
          <cell r="A570" t="str">
            <v>USD_FEDFUND_EOD</v>
          </cell>
          <cell r="C570">
            <v>42582</v>
          </cell>
          <cell r="E570">
            <v>3.5643077299489499E-3</v>
          </cell>
          <cell r="F570">
            <v>0.99674372748903395</v>
          </cell>
        </row>
        <row r="571">
          <cell r="A571" t="str">
            <v>USD_FEDFUND_EOD</v>
          </cell>
          <cell r="C571">
            <v>42613</v>
          </cell>
          <cell r="E571">
            <v>3.7394587234063702E-3</v>
          </cell>
          <cell r="F571">
            <v>0.99626752434535504</v>
          </cell>
        </row>
        <row r="572">
          <cell r="A572" t="str">
            <v>USD_FEDFUND_EOD</v>
          </cell>
          <cell r="C572">
            <v>42704</v>
          </cell>
          <cell r="E572">
            <v>4.4114002033967797E-3</v>
          </cell>
          <cell r="F572">
            <v>0.99450393021294403</v>
          </cell>
        </row>
        <row r="573">
          <cell r="A573" t="str">
            <v>USD_FEDFUND_EOD</v>
          </cell>
          <cell r="C573">
            <v>42795</v>
          </cell>
          <cell r="E573">
            <v>5.09533783485378E-3</v>
          </cell>
          <cell r="F573">
            <v>0.99239305354887897</v>
          </cell>
        </row>
        <row r="574">
          <cell r="A574" t="str">
            <v>USD_FEDFUND_EOD</v>
          </cell>
          <cell r="C574">
            <v>42886</v>
          </cell>
          <cell r="E574">
            <v>5.8274043699745202E-3</v>
          </cell>
          <cell r="F574">
            <v>0.98986571790910105</v>
          </cell>
        </row>
        <row r="575">
          <cell r="A575" t="str">
            <v>USD_FEDFUND_EOD</v>
          </cell>
          <cell r="C575">
            <v>42978</v>
          </cell>
          <cell r="E575">
            <v>6.5686090258385401E-3</v>
          </cell>
          <cell r="F575">
            <v>0.98694869855081602</v>
          </cell>
        </row>
        <row r="576">
          <cell r="A576" t="str">
            <v>USD_FEDFUND_EOD</v>
          </cell>
          <cell r="C576">
            <v>43343</v>
          </cell>
          <cell r="E576">
            <v>9.3368926848476693E-3</v>
          </cell>
          <cell r="F576">
            <v>0.97237798364066497</v>
          </cell>
        </row>
        <row r="577">
          <cell r="A577" t="str">
            <v>USD_FEDFUND_EOD</v>
          </cell>
          <cell r="C577">
            <v>43708</v>
          </cell>
          <cell r="E577">
            <v>1.16956959205551E-2</v>
          </cell>
          <cell r="F577">
            <v>0.95429466345166403</v>
          </cell>
        </row>
        <row r="578">
          <cell r="A578" t="str">
            <v>USD_FEDFUND_EOD</v>
          </cell>
          <cell r="C578">
            <v>44073</v>
          </cell>
          <cell r="E578">
            <v>1.3738242216915299E-2</v>
          </cell>
          <cell r="F578">
            <v>0.93361492551268599</v>
          </cell>
        </row>
        <row r="579">
          <cell r="A579" t="str">
            <v>USD_FEDFUND_EOD</v>
          </cell>
          <cell r="C579">
            <v>44438</v>
          </cell>
          <cell r="E579">
            <v>1.5522463059290901E-2</v>
          </cell>
          <cell r="F579">
            <v>0.91107069941004104</v>
          </cell>
        </row>
        <row r="580">
          <cell r="A580" t="str">
            <v>USD_FEDFUND_EOD</v>
          </cell>
          <cell r="C580">
            <v>44803</v>
          </cell>
          <cell r="E580">
            <v>1.70375650542746E-2</v>
          </cell>
          <cell r="F580">
            <v>0.88757437761568403</v>
          </cell>
        </row>
        <row r="581">
          <cell r="A581" t="str">
            <v>USD_FEDFUND_EOD</v>
          </cell>
          <cell r="C581">
            <v>45168</v>
          </cell>
          <cell r="E581">
            <v>1.8276801473276399E-2</v>
          </cell>
          <cell r="F581">
            <v>0.86397243745022301</v>
          </cell>
        </row>
        <row r="582">
          <cell r="A582" t="str">
            <v>USD_FEDFUND_EOD</v>
          </cell>
          <cell r="C582">
            <v>45533</v>
          </cell>
          <cell r="E582">
            <v>1.9285680579425299E-2</v>
          </cell>
          <cell r="F582">
            <v>0.84065735710035405</v>
          </cell>
        </row>
        <row r="583">
          <cell r="A583" t="str">
            <v>USD_FEDFUND_EOD</v>
          </cell>
          <cell r="C583">
            <v>45898</v>
          </cell>
          <cell r="E583">
            <v>2.01060011133209E-2</v>
          </cell>
          <cell r="F583">
            <v>0.81786334917473602</v>
          </cell>
        </row>
        <row r="584">
          <cell r="A584" t="str">
            <v>USD_FEDFUND_EOD</v>
          </cell>
          <cell r="C584">
            <v>46628</v>
          </cell>
          <cell r="E584">
            <v>2.1484490566833998E-2</v>
          </cell>
          <cell r="F584">
            <v>0.77273903565778301</v>
          </cell>
        </row>
        <row r="585">
          <cell r="A585" t="str">
            <v>USD_FEDFUND_EOD</v>
          </cell>
          <cell r="C585">
            <v>47723</v>
          </cell>
          <cell r="E585">
            <v>2.2885003765616599E-2</v>
          </cell>
          <cell r="F585">
            <v>0.70944304781040601</v>
          </cell>
        </row>
        <row r="586">
          <cell r="A586" t="str">
            <v>USD_FEDFUND_EOD</v>
          </cell>
          <cell r="C586">
            <v>49548</v>
          </cell>
          <cell r="E586">
            <v>2.4089893077286099E-2</v>
          </cell>
          <cell r="F586">
            <v>0.61767190439051101</v>
          </cell>
        </row>
        <row r="587">
          <cell r="A587" t="str">
            <v>USD_FEDFUND_EOD</v>
          </cell>
          <cell r="C587">
            <v>51373</v>
          </cell>
          <cell r="E587">
            <v>2.4629120008513802E-2</v>
          </cell>
          <cell r="F587">
            <v>0.54024745185329504</v>
          </cell>
        </row>
        <row r="588">
          <cell r="A588" t="str">
            <v>USD_FEDFUND_EOD</v>
          </cell>
          <cell r="C588">
            <v>53198</v>
          </cell>
          <cell r="E588">
            <v>2.49892376958799E-2</v>
          </cell>
          <cell r="F588">
            <v>0.47251908993936798</v>
          </cell>
        </row>
        <row r="589">
          <cell r="A589" t="str">
            <v>USD_FEDFUND_EOD</v>
          </cell>
          <cell r="C589">
            <v>55023</v>
          </cell>
          <cell r="E589">
            <v>2.5131593395118699E-2</v>
          </cell>
          <cell r="F589">
            <v>0.41494646427114701</v>
          </cell>
        </row>
        <row r="590">
          <cell r="A590" t="str">
            <v>USD_FEDFUND_EOD</v>
          </cell>
          <cell r="C590">
            <v>56848</v>
          </cell>
          <cell r="E590">
            <v>2.52725141828198E-2</v>
          </cell>
          <cell r="F590">
            <v>0.36389112351420499</v>
          </cell>
        </row>
        <row r="591">
          <cell r="A591" t="str">
            <v>USD_FEDFUND_EOD</v>
          </cell>
          <cell r="C591">
            <v>58673</v>
          </cell>
          <cell r="E591">
            <v>2.50983061307875E-2</v>
          </cell>
          <cell r="F591">
            <v>0.32321944961375998</v>
          </cell>
        </row>
        <row r="592">
          <cell r="A592" t="str">
            <v>USD_FEDFUND_EOD</v>
          </cell>
          <cell r="C592">
            <v>60498</v>
          </cell>
          <cell r="E592">
            <v>2.4922012283897701E-2</v>
          </cell>
          <cell r="F592">
            <v>0.28762417061487</v>
          </cell>
        </row>
        <row r="593">
          <cell r="A593" t="str">
            <v>USD_LIBOR_EOD</v>
          </cell>
          <cell r="C593">
            <v>42249</v>
          </cell>
          <cell r="E593">
            <v>1.3383308797532E-3</v>
          </cell>
          <cell r="F593">
            <v>0.99999633334677795</v>
          </cell>
        </row>
        <row r="594">
          <cell r="A594" t="str">
            <v>USD_LIBOR_EOD</v>
          </cell>
          <cell r="C594">
            <v>42255</v>
          </cell>
          <cell r="E594">
            <v>1.4622390087236301E-3</v>
          </cell>
          <cell r="F594">
            <v>0.99997195745330603</v>
          </cell>
        </row>
        <row r="595">
          <cell r="A595" t="str">
            <v>USD_LIBOR_EOD</v>
          </cell>
          <cell r="C595">
            <v>42278</v>
          </cell>
          <cell r="E595">
            <v>1.9122132033024099E-3</v>
          </cell>
          <cell r="F595">
            <v>0.99984284414178504</v>
          </cell>
        </row>
        <row r="596">
          <cell r="A596" t="str">
            <v>USD_LIBOR_EOD</v>
          </cell>
          <cell r="C596">
            <v>42308</v>
          </cell>
          <cell r="E596">
            <v>2.4842288361535E-3</v>
          </cell>
          <cell r="F596">
            <v>0.99959171698617799</v>
          </cell>
        </row>
        <row r="597">
          <cell r="A597" t="str">
            <v>USD_LIBOR_EOD</v>
          </cell>
          <cell r="C597">
            <v>42339</v>
          </cell>
          <cell r="E597">
            <v>3.0753116567662801E-3</v>
          </cell>
          <cell r="F597">
            <v>0.99923357231950605</v>
          </cell>
        </row>
        <row r="598">
          <cell r="A598" t="str">
            <v>USD_LIBOR_EOD</v>
          </cell>
          <cell r="C598">
            <v>42430</v>
          </cell>
          <cell r="E598">
            <v>3.8780251599185101E-3</v>
          </cell>
          <cell r="F598">
            <v>0.99806816817703903</v>
          </cell>
        </row>
        <row r="599">
          <cell r="A599" t="str">
            <v>USD_LIBOR_EOD</v>
          </cell>
          <cell r="C599">
            <v>42521</v>
          </cell>
          <cell r="E599">
            <v>4.5004280412520399E-3</v>
          </cell>
          <cell r="F599">
            <v>0.996639585298423</v>
          </cell>
        </row>
        <row r="600">
          <cell r="A600" t="str">
            <v>USD_LIBOR_EOD</v>
          </cell>
          <cell r="C600">
            <v>42613</v>
          </cell>
          <cell r="E600">
            <v>5.1809614832900803E-3</v>
          </cell>
          <cell r="F600">
            <v>0.99483243654943898</v>
          </cell>
        </row>
        <row r="601">
          <cell r="A601" t="str">
            <v>USD_LIBOR_EOD</v>
          </cell>
          <cell r="C601">
            <v>42795</v>
          </cell>
          <cell r="E601">
            <v>6.7441664370131802E-3</v>
          </cell>
          <cell r="F601">
            <v>0.98994389312427</v>
          </cell>
        </row>
        <row r="602">
          <cell r="A602" t="str">
            <v>USD_LIBOR_EOD</v>
          </cell>
          <cell r="C602">
            <v>42978</v>
          </cell>
          <cell r="E602">
            <v>8.40187726361292E-3</v>
          </cell>
          <cell r="F602">
            <v>0.98333664106489904</v>
          </cell>
        </row>
        <row r="603">
          <cell r="A603" t="str">
            <v>USD_LIBOR_EOD</v>
          </cell>
          <cell r="C603">
            <v>43343</v>
          </cell>
          <cell r="E603">
            <v>1.1421908707859699E-2</v>
          </cell>
          <cell r="F603">
            <v>0.96631469546038196</v>
          </cell>
        </row>
        <row r="604">
          <cell r="A604" t="str">
            <v>USD_LIBOR_EOD</v>
          </cell>
          <cell r="C604">
            <v>43708</v>
          </cell>
          <cell r="E604">
            <v>1.3852378657179899E-2</v>
          </cell>
          <cell r="F604">
            <v>0.94609762779253403</v>
          </cell>
        </row>
        <row r="605">
          <cell r="A605" t="str">
            <v>USD_LIBOR_EOD</v>
          </cell>
          <cell r="C605">
            <v>44073</v>
          </cell>
          <cell r="E605">
            <v>1.5974366658066601E-2</v>
          </cell>
          <cell r="F605">
            <v>0.923234666753596</v>
          </cell>
        </row>
        <row r="606">
          <cell r="A606" t="str">
            <v>USD_LIBOR_EOD</v>
          </cell>
          <cell r="C606">
            <v>44438</v>
          </cell>
          <cell r="E606">
            <v>1.7781432538338599E-2</v>
          </cell>
          <cell r="F606">
            <v>0.89880552174167005</v>
          </cell>
        </row>
        <row r="607">
          <cell r="A607" t="str">
            <v>USD_LIBOR_EOD</v>
          </cell>
          <cell r="C607">
            <v>44803</v>
          </cell>
          <cell r="E607">
            <v>1.9319231699097699E-2</v>
          </cell>
          <cell r="F607">
            <v>0.873510942852321</v>
          </cell>
        </row>
        <row r="608">
          <cell r="A608" t="str">
            <v>USD_LIBOR_EOD</v>
          </cell>
          <cell r="C608">
            <v>45168</v>
          </cell>
          <cell r="E608">
            <v>2.0575388619265399E-2</v>
          </cell>
          <cell r="F608">
            <v>0.84823029229692803</v>
          </cell>
        </row>
        <row r="609">
          <cell r="A609" t="str">
            <v>USD_LIBOR_EOD</v>
          </cell>
          <cell r="C609">
            <v>45533</v>
          </cell>
          <cell r="E609">
            <v>2.1601055549770799E-2</v>
          </cell>
          <cell r="F609">
            <v>0.82332068544991699</v>
          </cell>
        </row>
        <row r="610">
          <cell r="A610" t="str">
            <v>USD_LIBOR_EOD</v>
          </cell>
          <cell r="C610">
            <v>45898</v>
          </cell>
          <cell r="E610">
            <v>2.2437926105922799E-2</v>
          </cell>
          <cell r="F610">
            <v>0.79901204274390603</v>
          </cell>
        </row>
        <row r="611">
          <cell r="A611" t="str">
            <v>USD_LIBOR_EOD</v>
          </cell>
          <cell r="C611">
            <v>46628</v>
          </cell>
          <cell r="E611">
            <v>2.38505468814088E-2</v>
          </cell>
          <cell r="F611">
            <v>0.75110744923137296</v>
          </cell>
        </row>
        <row r="612">
          <cell r="A612" t="str">
            <v>USD_LIBOR_EOD</v>
          </cell>
          <cell r="C612">
            <v>47723</v>
          </cell>
          <cell r="E612">
            <v>2.5242042351125999E-2</v>
          </cell>
          <cell r="F612">
            <v>0.68479850637593598</v>
          </cell>
        </row>
        <row r="613">
          <cell r="A613" t="str">
            <v>USD_LIBOR_EOD</v>
          </cell>
          <cell r="C613">
            <v>49548</v>
          </cell>
          <cell r="E613">
            <v>2.6499988367444102E-2</v>
          </cell>
          <cell r="F613">
            <v>0.58860510661797605</v>
          </cell>
        </row>
        <row r="614">
          <cell r="A614" t="str">
            <v>USD_LIBOR_EOD</v>
          </cell>
          <cell r="C614">
            <v>51373</v>
          </cell>
          <cell r="E614">
            <v>2.7072119611761401E-2</v>
          </cell>
          <cell r="F614">
            <v>0.50823924360212902</v>
          </cell>
        </row>
        <row r="615">
          <cell r="A615" t="str">
            <v>USD_LIBOR_EOD</v>
          </cell>
          <cell r="C615">
            <v>53198</v>
          </cell>
          <cell r="E615">
            <v>2.7431579774560799E-2</v>
          </cell>
          <cell r="F615">
            <v>0.43913544039094798</v>
          </cell>
        </row>
        <row r="616">
          <cell r="A616" t="str">
            <v>USD_LIBOR_EOD</v>
          </cell>
          <cell r="C616">
            <v>55023</v>
          </cell>
          <cell r="E616">
            <v>2.7571301622760998E-2</v>
          </cell>
          <cell r="F616">
            <v>0.38098489252893297</v>
          </cell>
        </row>
        <row r="617">
          <cell r="A617" t="str">
            <v>USD_LIBOR_EOD</v>
          </cell>
          <cell r="C617">
            <v>56848</v>
          </cell>
          <cell r="E617">
            <v>2.77095766990345E-2</v>
          </cell>
          <cell r="F617">
            <v>0.33009226656113699</v>
          </cell>
        </row>
        <row r="618">
          <cell r="A618" t="str">
            <v>USD_LIBOR_EOD</v>
          </cell>
          <cell r="C618">
            <v>58673</v>
          </cell>
          <cell r="E618">
            <v>2.7518990854307299E-2</v>
          </cell>
          <cell r="F618">
            <v>0.28986076602677002</v>
          </cell>
        </row>
        <row r="619">
          <cell r="A619" t="str">
            <v>USD_LIBOR_EOD</v>
          </cell>
          <cell r="C619">
            <v>60498</v>
          </cell>
          <cell r="E619">
            <v>2.7326228323947401E-2</v>
          </cell>
          <cell r="F619">
            <v>0.25504598514055699</v>
          </cell>
        </row>
        <row r="620">
          <cell r="A620" t="str">
            <v>ZAR_JIBAR_EOD</v>
          </cell>
          <cell r="C620">
            <v>42249</v>
          </cell>
          <cell r="E620">
            <v>5.78954081431554E-2</v>
          </cell>
          <cell r="F620">
            <v>0.99984139502254299</v>
          </cell>
        </row>
        <row r="621">
          <cell r="A621" t="str">
            <v>ZAR_JIBAR_EOD</v>
          </cell>
          <cell r="C621">
            <v>42255</v>
          </cell>
          <cell r="E621">
            <v>5.8560207457823102E-2</v>
          </cell>
          <cell r="F621">
            <v>0.99887755793807398</v>
          </cell>
        </row>
        <row r="622">
          <cell r="A622" t="str">
            <v>ZAR_JIBAR_EOD</v>
          </cell>
          <cell r="C622">
            <v>42278</v>
          </cell>
          <cell r="E622">
            <v>6.10963416854267E-2</v>
          </cell>
          <cell r="F622">
            <v>0.99499097011619597</v>
          </cell>
        </row>
        <row r="623">
          <cell r="A623" t="str">
            <v>ZAR_JIBAR_EOD</v>
          </cell>
          <cell r="C623">
            <v>42308</v>
          </cell>
          <cell r="E623">
            <v>6.1768853819936097E-2</v>
          </cell>
          <cell r="F623">
            <v>0.98989759144437195</v>
          </cell>
        </row>
        <row r="624">
          <cell r="A624" t="str">
            <v>ZAR_JIBAR_EOD</v>
          </cell>
          <cell r="C624">
            <v>42339</v>
          </cell>
          <cell r="E624">
            <v>6.2510354780352204E-2</v>
          </cell>
          <cell r="F624">
            <v>0.98453604076249002</v>
          </cell>
        </row>
        <row r="625">
          <cell r="A625" t="str">
            <v>ZAR_JIBAR_EOD</v>
          </cell>
          <cell r="C625">
            <v>42430</v>
          </cell>
          <cell r="E625">
            <v>6.4075156452416099E-2</v>
          </cell>
          <cell r="F625">
            <v>0.96855519841770399</v>
          </cell>
        </row>
        <row r="626">
          <cell r="A626" t="str">
            <v>ZAR_JIBAR_EOD</v>
          </cell>
          <cell r="C626">
            <v>42521</v>
          </cell>
          <cell r="E626">
            <v>6.5214514798846504E-2</v>
          </cell>
          <cell r="F626">
            <v>0.95239360055823996</v>
          </cell>
        </row>
        <row r="627">
          <cell r="A627" t="str">
            <v>ZAR_JIBAR_EOD</v>
          </cell>
          <cell r="C627">
            <v>42613</v>
          </cell>
          <cell r="E627">
            <v>6.64891927935857E-2</v>
          </cell>
          <cell r="F627">
            <v>0.93567302781323702</v>
          </cell>
        </row>
        <row r="628">
          <cell r="A628" t="str">
            <v>ZAR_JIBAR_EOD</v>
          </cell>
          <cell r="C628">
            <v>42795</v>
          </cell>
          <cell r="E628">
            <v>6.85200679116824E-2</v>
          </cell>
          <cell r="F628">
            <v>0.902410070368729</v>
          </cell>
        </row>
        <row r="629">
          <cell r="A629" t="str">
            <v>ZAR_JIBAR_EOD</v>
          </cell>
          <cell r="C629">
            <v>42978</v>
          </cell>
          <cell r="E629">
            <v>7.0559360517215799E-2</v>
          </cell>
          <cell r="F629">
            <v>0.86838620986848902</v>
          </cell>
        </row>
        <row r="630">
          <cell r="A630" t="str">
            <v>ZAR_JIBAR_EOD</v>
          </cell>
          <cell r="C630">
            <v>43343</v>
          </cell>
          <cell r="E630">
            <v>7.3926582066187393E-2</v>
          </cell>
          <cell r="F630">
            <v>0.801091788416608</v>
          </cell>
        </row>
        <row r="631">
          <cell r="A631" t="str">
            <v>ZAR_JIBAR_EOD</v>
          </cell>
          <cell r="C631">
            <v>43708</v>
          </cell>
          <cell r="E631">
            <v>7.6484851950483199E-2</v>
          </cell>
          <cell r="F631">
            <v>0.73643124009181804</v>
          </cell>
        </row>
        <row r="632">
          <cell r="A632" t="str">
            <v>ZAR_JIBAR_EOD</v>
          </cell>
          <cell r="C632">
            <v>44073</v>
          </cell>
          <cell r="E632">
            <v>7.8521496417125899E-2</v>
          </cell>
          <cell r="F632">
            <v>0.67529376047002498</v>
          </cell>
        </row>
        <row r="633">
          <cell r="A633" t="str">
            <v>ZAR_JIBAR_EOD</v>
          </cell>
          <cell r="C633">
            <v>44438</v>
          </cell>
          <cell r="E633">
            <v>8.0143441849164707E-2</v>
          </cell>
          <cell r="F633">
            <v>0.61825106430940302</v>
          </cell>
        </row>
        <row r="634">
          <cell r="A634" t="str">
            <v>ZAR_JIBAR_EOD</v>
          </cell>
          <cell r="C634">
            <v>44803</v>
          </cell>
          <cell r="E634">
            <v>8.1464954540913806E-2</v>
          </cell>
          <cell r="F634">
            <v>0.56538142800978497</v>
          </cell>
        </row>
        <row r="635">
          <cell r="A635" t="str">
            <v>ZAR_JIBAR_EOD</v>
          </cell>
          <cell r="C635">
            <v>45168</v>
          </cell>
          <cell r="E635">
            <v>8.26365764029727E-2</v>
          </cell>
          <cell r="F635">
            <v>0.51628692531865505</v>
          </cell>
        </row>
        <row r="636">
          <cell r="A636" t="str">
            <v>ZAR_JIBAR_EOD</v>
          </cell>
          <cell r="C636">
            <v>45533</v>
          </cell>
          <cell r="E636">
            <v>8.3631781823055598E-2</v>
          </cell>
          <cell r="F636">
            <v>0.47109946147112503</v>
          </cell>
        </row>
        <row r="637">
          <cell r="A637" t="str">
            <v>ZAR_JIBAR_EOD</v>
          </cell>
          <cell r="C637">
            <v>45898</v>
          </cell>
          <cell r="E637">
            <v>8.4543352090259996E-2</v>
          </cell>
          <cell r="F637">
            <v>0.42937117647684198</v>
          </cell>
        </row>
        <row r="638">
          <cell r="A638" t="str">
            <v>ZAR_JIBAR_EOD</v>
          </cell>
          <cell r="C638">
            <v>46628</v>
          </cell>
          <cell r="E638">
            <v>8.6429322946858303E-2</v>
          </cell>
          <cell r="F638">
            <v>0.35446279988806101</v>
          </cell>
        </row>
        <row r="639">
          <cell r="A639" t="str">
            <v>ZAR_JIBAR_EOD</v>
          </cell>
          <cell r="C639">
            <v>47723</v>
          </cell>
          <cell r="E639">
            <v>8.8217382742230899E-2</v>
          </cell>
          <cell r="F639">
            <v>0.26626566150527398</v>
          </cell>
        </row>
        <row r="640">
          <cell r="A640" t="str">
            <v>ZAR_JIBAR_EOD</v>
          </cell>
          <cell r="C640">
            <v>49548</v>
          </cell>
          <cell r="E640">
            <v>8.8831693909805595E-2</v>
          </cell>
          <cell r="F640">
            <v>0.16920676028652001</v>
          </cell>
        </row>
        <row r="641">
          <cell r="A641" t="str">
            <v>ZAR_JIBAR_EOD</v>
          </cell>
          <cell r="C641">
            <v>51373</v>
          </cell>
          <cell r="E641">
            <v>8.7013750930647601E-2</v>
          </cell>
          <cell r="F641">
            <v>0.113569104937051</v>
          </cell>
        </row>
        <row r="642">
          <cell r="A642" t="str">
            <v>ZAR_JIBAR_EOD</v>
          </cell>
          <cell r="C642">
            <v>53198</v>
          </cell>
          <cell r="E642">
            <v>8.3085388707763497E-2</v>
          </cell>
          <cell r="F642">
            <v>8.2697851127928004E-2</v>
          </cell>
        </row>
      </sheetData>
      <sheetData sheetId="7"/>
      <sheetData sheetId="8">
        <row r="2">
          <cell r="A2" t="str">
            <v>AUD_AONIA_EOD</v>
          </cell>
          <cell r="C2">
            <v>42249</v>
          </cell>
          <cell r="E2">
            <v>1.9999452074823499E-2</v>
          </cell>
          <cell r="F2">
            <v>0.99994520848172697</v>
          </cell>
        </row>
        <row r="3">
          <cell r="A3" t="str">
            <v>AUD_AONIA_EOD</v>
          </cell>
          <cell r="C3">
            <v>42256</v>
          </cell>
          <cell r="E3">
            <v>2.00075095080046E-2</v>
          </cell>
          <cell r="F3">
            <v>0.99956157537983403</v>
          </cell>
        </row>
        <row r="4">
          <cell r="A4" t="str">
            <v>AUD_AONIA_EOD</v>
          </cell>
          <cell r="C4">
            <v>42279</v>
          </cell>
          <cell r="E4">
            <v>1.99744301090987E-2</v>
          </cell>
          <cell r="F4">
            <v>0.99830497972462895</v>
          </cell>
        </row>
        <row r="5">
          <cell r="A5" t="str">
            <v>AUD_AONIA_EOD</v>
          </cell>
          <cell r="C5">
            <v>42310</v>
          </cell>
          <cell r="E5">
            <v>1.9701758788572499E-2</v>
          </cell>
          <cell r="F5">
            <v>0.99665899350158704</v>
          </cell>
        </row>
        <row r="6">
          <cell r="A6" t="str">
            <v>AUD_AONIA_EOD</v>
          </cell>
          <cell r="C6">
            <v>42340</v>
          </cell>
          <cell r="E6">
            <v>1.93031648947261E-2</v>
          </cell>
          <cell r="F6">
            <v>0.995146361893266</v>
          </cell>
        </row>
        <row r="7">
          <cell r="A7" t="str">
            <v>AUD_AONIA_EOD</v>
          </cell>
          <cell r="C7">
            <v>42373</v>
          </cell>
          <cell r="E7">
            <v>1.8893215547433201E-2</v>
          </cell>
          <cell r="F7">
            <v>0.99355060788710703</v>
          </cell>
        </row>
        <row r="8">
          <cell r="A8" t="str">
            <v>AUD_AONIA_EOD</v>
          </cell>
          <cell r="C8">
            <v>42402</v>
          </cell>
          <cell r="E8">
            <v>1.8664259854573598E-2</v>
          </cell>
          <cell r="F8">
            <v>0.99215614126975604</v>
          </cell>
        </row>
        <row r="9">
          <cell r="A9" t="str">
            <v>AUD_AONIA_EOD</v>
          </cell>
          <cell r="C9">
            <v>42431</v>
          </cell>
          <cell r="E9">
            <v>1.8418183897708301E-2</v>
          </cell>
          <cell r="F9">
            <v>0.99080818307990104</v>
          </cell>
        </row>
        <row r="10">
          <cell r="A10" t="str">
            <v>AUD_AONIA_EOD</v>
          </cell>
          <cell r="C10">
            <v>42523</v>
          </cell>
          <cell r="E10">
            <v>1.7787887780964101E-2</v>
          </cell>
          <cell r="F10">
            <v>0.98668757146633201</v>
          </cell>
        </row>
        <row r="11">
          <cell r="A11" t="str">
            <v>AUD_AONIA_EOD</v>
          </cell>
          <cell r="C11">
            <v>42615</v>
          </cell>
          <cell r="E11">
            <v>1.7379954089144101E-2</v>
          </cell>
          <cell r="F11">
            <v>0.98267661879826196</v>
          </cell>
        </row>
        <row r="12">
          <cell r="A12" t="str">
            <v>AUD_AONIA_EOD</v>
          </cell>
          <cell r="C12">
            <v>42796</v>
          </cell>
          <cell r="E12">
            <v>1.7311551717138801E-2</v>
          </cell>
          <cell r="F12">
            <v>0.974343817712233</v>
          </cell>
        </row>
        <row r="13">
          <cell r="A13" t="str">
            <v>AUD_AONIA_EOD</v>
          </cell>
          <cell r="C13">
            <v>42982</v>
          </cell>
          <cell r="E13">
            <v>1.7585716039167702E-2</v>
          </cell>
          <cell r="F13">
            <v>0.96525385288384102</v>
          </cell>
        </row>
        <row r="14">
          <cell r="A14" t="str">
            <v>AUD_AONIA_EOD</v>
          </cell>
          <cell r="C14">
            <v>43346</v>
          </cell>
          <cell r="E14">
            <v>1.8426369914376399E-2</v>
          </cell>
          <cell r="F14">
            <v>0.94607771763277004</v>
          </cell>
        </row>
        <row r="15">
          <cell r="A15" t="str">
            <v>AUD_AONIA_EOD</v>
          </cell>
          <cell r="C15">
            <v>43710</v>
          </cell>
          <cell r="E15">
            <v>1.98334616613812E-2</v>
          </cell>
          <cell r="F15">
            <v>0.92363110585156505</v>
          </cell>
        </row>
        <row r="16">
          <cell r="A16" t="str">
            <v>AUD_AONIA_EOD</v>
          </cell>
          <cell r="C16">
            <v>44076</v>
          </cell>
          <cell r="E16">
            <v>2.1395978167555299E-2</v>
          </cell>
          <cell r="F16">
            <v>0.89838574013817896</v>
          </cell>
        </row>
        <row r="17">
          <cell r="A17" t="str">
            <v>AUD_AONIA_EOD</v>
          </cell>
          <cell r="C17">
            <v>44806</v>
          </cell>
          <cell r="E17">
            <v>2.4532352149795902E-2</v>
          </cell>
          <cell r="F17">
            <v>0.84203971295726399</v>
          </cell>
        </row>
        <row r="18">
          <cell r="A18" t="str">
            <v>AUD_AONIA_EOD</v>
          </cell>
          <cell r="C18">
            <v>45902</v>
          </cell>
          <cell r="E18">
            <v>2.76908990288194E-2</v>
          </cell>
          <cell r="F18">
            <v>0.75789346387493295</v>
          </cell>
        </row>
        <row r="19">
          <cell r="A19" t="str">
            <v>AUD_AONIA_EOD</v>
          </cell>
          <cell r="C19">
            <v>46632</v>
          </cell>
          <cell r="E19">
            <v>2.9332958302573101E-2</v>
          </cell>
          <cell r="F19">
            <v>0.70305724794653601</v>
          </cell>
        </row>
        <row r="20">
          <cell r="A20" t="str">
            <v>AUD_AONIA_EOD</v>
          </cell>
          <cell r="C20">
            <v>47728</v>
          </cell>
          <cell r="E20">
            <v>3.10836770279528E-2</v>
          </cell>
          <cell r="F20">
            <v>0.62708012263655</v>
          </cell>
        </row>
        <row r="21">
          <cell r="A21" t="str">
            <v>AUD_AONIA_EOD</v>
          </cell>
          <cell r="C21">
            <v>49555</v>
          </cell>
          <cell r="E21">
            <v>3.2648795812618897E-2</v>
          </cell>
          <cell r="F21">
            <v>0.52016872049547602</v>
          </cell>
        </row>
        <row r="22">
          <cell r="A22" t="str">
            <v>AUD_AONIA_EOD</v>
          </cell>
          <cell r="C22">
            <v>51382</v>
          </cell>
          <cell r="E22">
            <v>3.2866999972338301E-2</v>
          </cell>
          <cell r="F22">
            <v>0.43933835674416999</v>
          </cell>
        </row>
        <row r="23">
          <cell r="A23" t="str">
            <v>AUD_AONIA_EOD</v>
          </cell>
          <cell r="C23">
            <v>53209</v>
          </cell>
          <cell r="E23">
            <v>3.2585283965186403E-2</v>
          </cell>
          <cell r="F23">
            <v>0.37585924983741298</v>
          </cell>
        </row>
        <row r="24">
          <cell r="A24" t="str">
            <v>AUD_AONIA_EOD</v>
          </cell>
          <cell r="C24">
            <v>56859</v>
          </cell>
          <cell r="E24">
            <v>3.1469256750928397E-2</v>
          </cell>
          <cell r="F24">
            <v>0.28373384134870699</v>
          </cell>
        </row>
        <row r="25">
          <cell r="A25" t="str">
            <v>AUD_BBSW_3M_EOD</v>
          </cell>
          <cell r="C25">
            <v>42339</v>
          </cell>
          <cell r="E25">
            <v>2.1243643552508601E-2</v>
          </cell>
          <cell r="F25">
            <v>0.99471764054065703</v>
          </cell>
        </row>
        <row r="26">
          <cell r="A26" t="str">
            <v>AUD_BBSW_3M_EOD</v>
          </cell>
          <cell r="C26">
            <v>42348</v>
          </cell>
          <cell r="E26">
            <v>2.1062246301071501E-2</v>
          </cell>
          <cell r="F26">
            <v>0.99424613879356505</v>
          </cell>
        </row>
        <row r="27">
          <cell r="A27" t="str">
            <v>AUD_BBSW_3M_EOD</v>
          </cell>
          <cell r="C27">
            <v>42439</v>
          </cell>
          <cell r="E27">
            <v>2.0242084962392298E-2</v>
          </cell>
          <cell r="F27">
            <v>0.98946346876840496</v>
          </cell>
        </row>
        <row r="28">
          <cell r="A28" t="str">
            <v>AUD_BBSW_3M_EOD</v>
          </cell>
          <cell r="C28">
            <v>42530</v>
          </cell>
          <cell r="E28">
            <v>1.9656389718633E-2</v>
          </cell>
          <cell r="F28">
            <v>0.98492815402175804</v>
          </cell>
        </row>
        <row r="29">
          <cell r="A29" t="str">
            <v>AUD_BBSW_3M_EOD</v>
          </cell>
          <cell r="C29">
            <v>42621</v>
          </cell>
          <cell r="E29">
            <v>1.93018306463551E-2</v>
          </cell>
          <cell r="F29">
            <v>0.98046837828381395</v>
          </cell>
        </row>
        <row r="30">
          <cell r="A30" t="str">
            <v>AUD_BBSW_3M_EOD</v>
          </cell>
          <cell r="C30">
            <v>42712</v>
          </cell>
          <cell r="E30">
            <v>1.9138862782150799E-2</v>
          </cell>
          <cell r="F30">
            <v>0.97596363587147905</v>
          </cell>
        </row>
        <row r="31">
          <cell r="A31" t="str">
            <v>AUD_BBSW_3M_EOD</v>
          </cell>
          <cell r="C31">
            <v>42803</v>
          </cell>
          <cell r="E31">
            <v>1.91373787622439E-2</v>
          </cell>
          <cell r="F31">
            <v>0.971320005703325</v>
          </cell>
        </row>
        <row r="32">
          <cell r="A32" t="str">
            <v>AUD_BBSW_3M_EOD</v>
          </cell>
          <cell r="C32">
            <v>42979</v>
          </cell>
          <cell r="E32">
            <v>1.9456679976930999E-2</v>
          </cell>
          <cell r="F32">
            <v>0.96178276874962398</v>
          </cell>
        </row>
        <row r="33">
          <cell r="A33" t="str">
            <v>AUD_BBSW_3M_EOD</v>
          </cell>
          <cell r="C33">
            <v>43346</v>
          </cell>
          <cell r="E33">
            <v>2.0467902715963E-2</v>
          </cell>
          <cell r="F33">
            <v>0.94028530154634204</v>
          </cell>
        </row>
        <row r="34">
          <cell r="A34" t="str">
            <v>AUD_BBSW_3M_EOD</v>
          </cell>
          <cell r="C34">
            <v>43710</v>
          </cell>
          <cell r="E34">
            <v>2.1873342072668701E-2</v>
          </cell>
          <cell r="F34">
            <v>0.91611514118877702</v>
          </cell>
        </row>
        <row r="35">
          <cell r="A35" t="str">
            <v>AUD_BBSW_3M_EOD</v>
          </cell>
          <cell r="C35">
            <v>44075</v>
          </cell>
          <cell r="E35">
            <v>2.3435577944966101E-2</v>
          </cell>
          <cell r="F35">
            <v>0.88931275152043998</v>
          </cell>
        </row>
        <row r="36">
          <cell r="A36" t="str">
            <v>AUD_BBSW_3M_EOD</v>
          </cell>
          <cell r="C36">
            <v>44805</v>
          </cell>
          <cell r="E36">
            <v>2.6518024708428602E-2</v>
          </cell>
          <cell r="F36">
            <v>0.83046335310652397</v>
          </cell>
        </row>
        <row r="37">
          <cell r="A37" t="str">
            <v>AUD_BBSW_3M_EOD</v>
          </cell>
          <cell r="C37">
            <v>45901</v>
          </cell>
          <cell r="E37">
            <v>2.9704490977501798E-2</v>
          </cell>
          <cell r="F37">
            <v>0.74282926186565601</v>
          </cell>
        </row>
        <row r="38">
          <cell r="A38" t="str">
            <v>AUD_BBSW_3M_EOD</v>
          </cell>
          <cell r="C38">
            <v>46631</v>
          </cell>
          <cell r="E38">
            <v>3.13747033142701E-2</v>
          </cell>
          <cell r="F38">
            <v>0.68608461454483305</v>
          </cell>
        </row>
        <row r="39">
          <cell r="A39" t="str">
            <v>AUD_BBSW_3M_EOD</v>
          </cell>
          <cell r="C39">
            <v>47728</v>
          </cell>
          <cell r="E39">
            <v>3.3122937461559199E-2</v>
          </cell>
          <cell r="F39">
            <v>0.608171842783651</v>
          </cell>
        </row>
        <row r="40">
          <cell r="A40" t="str">
            <v>AUD_BBSW_3M_EOD</v>
          </cell>
          <cell r="C40">
            <v>49555</v>
          </cell>
          <cell r="E40">
            <v>3.4720141914897501E-2</v>
          </cell>
          <cell r="F40">
            <v>0.49904016073549001</v>
          </cell>
        </row>
        <row r="41">
          <cell r="A41" t="str">
            <v>AUD_BBSW_3M_EOD</v>
          </cell>
          <cell r="C41">
            <v>51382</v>
          </cell>
          <cell r="E41">
            <v>3.4971317396910097E-2</v>
          </cell>
          <cell r="F41">
            <v>0.41680147846052101</v>
          </cell>
        </row>
        <row r="42">
          <cell r="A42" t="str">
            <v>AUD_BBSW_3M_EOD</v>
          </cell>
          <cell r="C42">
            <v>53206</v>
          </cell>
          <cell r="E42">
            <v>3.4645945011859997E-2</v>
          </cell>
          <cell r="F42">
            <v>0.353406009816851</v>
          </cell>
        </row>
        <row r="43">
          <cell r="A43" t="str">
            <v>AUD_BBSW_3M_EOD</v>
          </cell>
          <cell r="C43">
            <v>56858</v>
          </cell>
          <cell r="E43">
            <v>3.3531586508804299E-2</v>
          </cell>
          <cell r="F43">
            <v>0.26127490921908098</v>
          </cell>
        </row>
        <row r="44">
          <cell r="A44" t="str">
            <v>AUD_BBSW_6M_EOD</v>
          </cell>
          <cell r="C44">
            <v>42430</v>
          </cell>
          <cell r="E44">
            <v>2.1731828923236701E-2</v>
          </cell>
          <cell r="F44">
            <v>0.98922235469068898</v>
          </cell>
        </row>
        <row r="45">
          <cell r="A45" t="str">
            <v>AUD_BBSW_6M_EOD</v>
          </cell>
          <cell r="C45">
            <v>42614</v>
          </cell>
          <cell r="E45">
            <v>2.0644302591505601E-2</v>
          </cell>
          <cell r="F45">
            <v>0.97951192967046097</v>
          </cell>
        </row>
        <row r="46">
          <cell r="A46" t="str">
            <v>AUD_BBSW_6M_EOD</v>
          </cell>
          <cell r="C46">
            <v>42979</v>
          </cell>
          <cell r="E46">
            <v>2.0620216069816202E-2</v>
          </cell>
          <cell r="F46">
            <v>0.95954417414401205</v>
          </cell>
        </row>
        <row r="47">
          <cell r="A47" t="str">
            <v>AUD_BBSW_6M_EOD</v>
          </cell>
          <cell r="C47">
            <v>43346</v>
          </cell>
          <cell r="E47">
            <v>2.1550652898863199E-2</v>
          </cell>
          <cell r="F47">
            <v>0.93722763374746099</v>
          </cell>
        </row>
        <row r="48">
          <cell r="A48" t="str">
            <v>AUD_BBSW_6M_EOD</v>
          </cell>
          <cell r="C48">
            <v>43710</v>
          </cell>
          <cell r="E48">
            <v>2.2858646228348701E-2</v>
          </cell>
          <cell r="F48">
            <v>0.91250671215208201</v>
          </cell>
        </row>
        <row r="49">
          <cell r="A49" t="str">
            <v>AUD_BBSW_6M_EOD</v>
          </cell>
          <cell r="C49">
            <v>44075</v>
          </cell>
          <cell r="E49">
            <v>2.43603376568894E-2</v>
          </cell>
          <cell r="F49">
            <v>0.88520575489738096</v>
          </cell>
        </row>
        <row r="50">
          <cell r="A50" t="str">
            <v>AUD_BBSW_6M_EOD</v>
          </cell>
          <cell r="C50">
            <v>44805</v>
          </cell>
          <cell r="E50">
            <v>2.7318819282739E-2</v>
          </cell>
          <cell r="F50">
            <v>0.82581753884914</v>
          </cell>
        </row>
        <row r="51">
          <cell r="A51" t="str">
            <v>AUD_BBSW_6M_EOD</v>
          </cell>
          <cell r="C51">
            <v>45901</v>
          </cell>
          <cell r="E51">
            <v>3.03754564442873E-2</v>
          </cell>
          <cell r="F51">
            <v>0.73785774845732699</v>
          </cell>
        </row>
        <row r="52">
          <cell r="A52" t="str">
            <v>AUD_BBSW_6M_EOD</v>
          </cell>
          <cell r="C52">
            <v>46631</v>
          </cell>
          <cell r="E52">
            <v>3.1955722226930501E-2</v>
          </cell>
          <cell r="F52">
            <v>0.68131446054676204</v>
          </cell>
        </row>
        <row r="53">
          <cell r="A53" t="str">
            <v>AUD_BBSW_6M_EOD</v>
          </cell>
          <cell r="C53">
            <v>47728</v>
          </cell>
          <cell r="E53">
            <v>3.3581153453493301E-2</v>
          </cell>
          <cell r="F53">
            <v>0.604002273124568</v>
          </cell>
        </row>
        <row r="54">
          <cell r="A54" t="str">
            <v>AUD_BBSW_6M_EOD</v>
          </cell>
          <cell r="C54">
            <v>49555</v>
          </cell>
          <cell r="E54">
            <v>3.50779144941058E-2</v>
          </cell>
          <cell r="F54">
            <v>0.49547864847447598</v>
          </cell>
        </row>
        <row r="55">
          <cell r="A55" t="str">
            <v>AUD_BBSW_6M_EOD</v>
          </cell>
          <cell r="C55">
            <v>51382</v>
          </cell>
          <cell r="E55">
            <v>3.5229331998549697E-2</v>
          </cell>
          <cell r="F55">
            <v>0.41411897449945001</v>
          </cell>
        </row>
        <row r="56">
          <cell r="A56" t="str">
            <v>AUD_BBSW_6M_EOD</v>
          </cell>
          <cell r="C56">
            <v>53206</v>
          </cell>
          <cell r="E56">
            <v>3.4841658354281803E-2</v>
          </cell>
          <cell r="F56">
            <v>0.35133559421791</v>
          </cell>
        </row>
        <row r="57">
          <cell r="A57" t="str">
            <v>AUD_BBSW_6M_EOD</v>
          </cell>
          <cell r="C57">
            <v>56858</v>
          </cell>
          <cell r="E57">
            <v>3.3763811668997501E-2</v>
          </cell>
          <cell r="F57">
            <v>0.258857515285145</v>
          </cell>
        </row>
        <row r="58">
          <cell r="A58" t="str">
            <v>AUD_BBSW_EOD</v>
          </cell>
          <cell r="C58">
            <v>42249</v>
          </cell>
          <cell r="E58">
            <v>1.9999452074823499E-2</v>
          </cell>
          <cell r="F58">
            <v>0.99994520848172697</v>
          </cell>
        </row>
        <row r="59">
          <cell r="A59" t="str">
            <v>AUD_BBSW_EOD</v>
          </cell>
          <cell r="C59">
            <v>42255</v>
          </cell>
          <cell r="E59">
            <v>2.00995738779546E-2</v>
          </cell>
          <cell r="F59">
            <v>0.99961460300465699</v>
          </cell>
        </row>
        <row r="60">
          <cell r="A60" t="str">
            <v>AUD_BBSW_EOD</v>
          </cell>
          <cell r="C60">
            <v>42348</v>
          </cell>
          <cell r="E60">
            <v>2.0962322994182801E-2</v>
          </cell>
          <cell r="F60">
            <v>0.99427335789547</v>
          </cell>
        </row>
        <row r="61">
          <cell r="A61" t="str">
            <v>AUD_BBSW_EOD</v>
          </cell>
          <cell r="C61">
            <v>42439</v>
          </cell>
          <cell r="E61">
            <v>2.01897690949207E-2</v>
          </cell>
          <cell r="F61">
            <v>0.98949055693695098</v>
          </cell>
        </row>
        <row r="62">
          <cell r="A62" t="str">
            <v>AUD_BBSW_EOD</v>
          </cell>
          <cell r="C62">
            <v>42530</v>
          </cell>
          <cell r="E62">
            <v>1.9620955921967401E-2</v>
          </cell>
          <cell r="F62">
            <v>0.98495511802862701</v>
          </cell>
        </row>
        <row r="63">
          <cell r="A63" t="str">
            <v>AUD_BBSW_EOD</v>
          </cell>
          <cell r="C63">
            <v>42621</v>
          </cell>
          <cell r="E63">
            <v>1.9275041556171001E-2</v>
          </cell>
          <cell r="F63">
            <v>0.98049522019702695</v>
          </cell>
        </row>
        <row r="64">
          <cell r="A64" t="str">
            <v>AUD_BBSW_EOD</v>
          </cell>
          <cell r="C64">
            <v>42712</v>
          </cell>
          <cell r="E64">
            <v>1.91173275867224E-2</v>
          </cell>
          <cell r="F64">
            <v>0.97599035446016402</v>
          </cell>
        </row>
        <row r="65">
          <cell r="A65" t="str">
            <v>AUD_BBSW_EOD</v>
          </cell>
          <cell r="C65">
            <v>42803</v>
          </cell>
          <cell r="E65">
            <v>1.9119374562804901E-2</v>
          </cell>
          <cell r="F65">
            <v>0.97134659716512295</v>
          </cell>
        </row>
        <row r="66">
          <cell r="A66" t="str">
            <v>AUD_BBSW_EOD</v>
          </cell>
          <cell r="C66">
            <v>42979</v>
          </cell>
          <cell r="E66">
            <v>1.9457180234574101E-2</v>
          </cell>
          <cell r="F66">
            <v>0.96178180515355605</v>
          </cell>
        </row>
        <row r="67">
          <cell r="A67" t="str">
            <v>AUD_BBSW_EOD</v>
          </cell>
          <cell r="C67">
            <v>43346</v>
          </cell>
          <cell r="E67">
            <v>2.0472090046330702E-2</v>
          </cell>
          <cell r="F67">
            <v>0.94027345740409796</v>
          </cell>
        </row>
        <row r="68">
          <cell r="A68" t="str">
            <v>AUD_BBSW_EOD</v>
          </cell>
          <cell r="C68">
            <v>43710</v>
          </cell>
          <cell r="E68">
            <v>2.2912031162853699E-2</v>
          </cell>
          <cell r="F68">
            <v>0.91231160964154001</v>
          </cell>
        </row>
        <row r="69">
          <cell r="A69" t="str">
            <v>AUD_BBSW_EOD</v>
          </cell>
          <cell r="C69">
            <v>44075</v>
          </cell>
          <cell r="E69">
            <v>2.4414261879599001E-2</v>
          </cell>
          <cell r="F69">
            <v>0.88496685542260201</v>
          </cell>
        </row>
        <row r="70">
          <cell r="A70" t="str">
            <v>AUD_BBSW_EOD</v>
          </cell>
          <cell r="C70">
            <v>44805</v>
          </cell>
          <cell r="E70">
            <v>2.73839428364967E-2</v>
          </cell>
          <cell r="F70">
            <v>0.82544086888210699</v>
          </cell>
        </row>
        <row r="71">
          <cell r="A71" t="str">
            <v>AUD_BBSW_EOD</v>
          </cell>
          <cell r="C71">
            <v>45901</v>
          </cell>
          <cell r="E71">
            <v>3.0454664727249298E-2</v>
          </cell>
          <cell r="F71">
            <v>0.73727305542236998</v>
          </cell>
        </row>
        <row r="72">
          <cell r="A72" t="str">
            <v>AUD_BBSW_EOD</v>
          </cell>
          <cell r="C72">
            <v>46631</v>
          </cell>
          <cell r="E72">
            <v>3.2046526678344102E-2</v>
          </cell>
          <cell r="F72">
            <v>0.680571960310563</v>
          </cell>
        </row>
        <row r="73">
          <cell r="A73" t="str">
            <v>AUD_BBSW_EOD</v>
          </cell>
          <cell r="C73">
            <v>47728</v>
          </cell>
          <cell r="E73">
            <v>3.3684082187304898E-2</v>
          </cell>
          <cell r="F73">
            <v>0.60306960448510505</v>
          </cell>
        </row>
        <row r="74">
          <cell r="A74" t="str">
            <v>AUD_BBSW_EOD</v>
          </cell>
          <cell r="C74">
            <v>49555</v>
          </cell>
          <cell r="E74">
            <v>3.5191360289501601E-2</v>
          </cell>
          <cell r="F74">
            <v>0.494354647924719</v>
          </cell>
        </row>
        <row r="75">
          <cell r="A75" t="str">
            <v>AUD_BBSW_EOD</v>
          </cell>
          <cell r="C75">
            <v>51382</v>
          </cell>
          <cell r="E75">
            <v>3.5330052578394402E-2</v>
          </cell>
          <cell r="F75">
            <v>0.41307650277116897</v>
          </cell>
        </row>
        <row r="76">
          <cell r="A76" t="str">
            <v>AUD_BBSW_EOD</v>
          </cell>
          <cell r="C76">
            <v>53206</v>
          </cell>
          <cell r="E76">
            <v>3.4917725634153199E-2</v>
          </cell>
          <cell r="F76">
            <v>0.35053416962134298</v>
          </cell>
        </row>
        <row r="77">
          <cell r="A77" t="str">
            <v>AUD_BBSW_EOD</v>
          </cell>
          <cell r="C77">
            <v>56858</v>
          </cell>
          <cell r="E77">
            <v>3.3781924320083E-2</v>
          </cell>
          <cell r="F77">
            <v>0.25866991101123599</v>
          </cell>
        </row>
        <row r="78">
          <cell r="A78" t="str">
            <v>CAD_CDOR_1M_EOD</v>
          </cell>
          <cell r="C78">
            <v>42278</v>
          </cell>
          <cell r="E78">
            <v>7.4377261214683098E-3</v>
          </cell>
          <cell r="F78">
            <v>0.99938886686278405</v>
          </cell>
        </row>
        <row r="79">
          <cell r="A79" t="str">
            <v>CAD_CDOR_1M_EOD</v>
          </cell>
          <cell r="C79">
            <v>42310</v>
          </cell>
          <cell r="E79">
            <v>7.1456616014023196E-3</v>
          </cell>
          <cell r="F79">
            <v>0.99878695272289797</v>
          </cell>
        </row>
        <row r="80">
          <cell r="A80" t="str">
            <v>CAD_CDOR_1M_EOD</v>
          </cell>
          <cell r="C80">
            <v>42339</v>
          </cell>
          <cell r="E80">
            <v>6.89633471428403E-3</v>
          </cell>
          <cell r="F80">
            <v>0.99828211709127501</v>
          </cell>
        </row>
        <row r="81">
          <cell r="A81" t="str">
            <v>CAD_CDOR_1M_EOD</v>
          </cell>
          <cell r="C81">
            <v>42430</v>
          </cell>
          <cell r="E81">
            <v>6.3131307562140603E-3</v>
          </cell>
          <cell r="F81">
            <v>0.99685703224283795</v>
          </cell>
        </row>
        <row r="82">
          <cell r="A82" t="str">
            <v>CAD_CDOR_1M_EOD</v>
          </cell>
          <cell r="C82">
            <v>42522</v>
          </cell>
          <cell r="E82">
            <v>6.1814958068108399E-3</v>
          </cell>
          <cell r="F82">
            <v>0.995370394060341</v>
          </cell>
        </row>
        <row r="83">
          <cell r="A83" t="str">
            <v>CAD_CDOR_1M_EOD</v>
          </cell>
          <cell r="C83">
            <v>42614</v>
          </cell>
          <cell r="E83">
            <v>6.7778213680165502E-3</v>
          </cell>
          <cell r="F83">
            <v>0.99322665248877695</v>
          </cell>
        </row>
        <row r="84">
          <cell r="A84" t="str">
            <v>CAD_CDOR_1M_EOD</v>
          </cell>
          <cell r="C84">
            <v>42979</v>
          </cell>
          <cell r="E84">
            <v>6.6823160207288498E-3</v>
          </cell>
          <cell r="F84">
            <v>0.986706213627077</v>
          </cell>
        </row>
        <row r="85">
          <cell r="A85" t="str">
            <v>CAD_CDOR_1M_EOD</v>
          </cell>
          <cell r="C85">
            <v>43347</v>
          </cell>
          <cell r="E85">
            <v>7.80134247203494E-3</v>
          </cell>
          <cell r="F85">
            <v>0.97678420977024105</v>
          </cell>
        </row>
        <row r="86">
          <cell r="A86" t="str">
            <v>CAD_CDOR_1M_EOD</v>
          </cell>
          <cell r="C86">
            <v>43711</v>
          </cell>
          <cell r="E86">
            <v>9.0493956877203408E-3</v>
          </cell>
          <cell r="F86">
            <v>0.96437798428151</v>
          </cell>
        </row>
        <row r="87">
          <cell r="A87" t="str">
            <v>CAD_CDOR_1M_EOD</v>
          </cell>
          <cell r="C87">
            <v>44075</v>
          </cell>
          <cell r="E87">
            <v>1.05369159562048E-2</v>
          </cell>
          <cell r="F87">
            <v>0.94862442603580199</v>
          </cell>
        </row>
        <row r="88">
          <cell r="A88" t="str">
            <v>CAD_CDOR_1M_EOD</v>
          </cell>
          <cell r="C88">
            <v>44440</v>
          </cell>
          <cell r="E88">
            <v>1.23225242889171E-2</v>
          </cell>
          <cell r="F88">
            <v>0.92866921762088295</v>
          </cell>
        </row>
        <row r="89">
          <cell r="A89" t="str">
            <v>CAD_CDOR_1M_EOD</v>
          </cell>
          <cell r="C89">
            <v>44805</v>
          </cell>
          <cell r="E89">
            <v>1.4172489525329599E-2</v>
          </cell>
          <cell r="F89">
            <v>0.90548453193245204</v>
          </cell>
        </row>
        <row r="90">
          <cell r="A90" t="str">
            <v>CAD_CDOR_1M_EOD</v>
          </cell>
          <cell r="C90">
            <v>45170</v>
          </cell>
          <cell r="E90">
            <v>1.5911337073305901E-2</v>
          </cell>
          <cell r="F90">
            <v>0.880400922074008</v>
          </cell>
        </row>
        <row r="91">
          <cell r="A91" t="str">
            <v>CAD_CDOR_1M_EOD</v>
          </cell>
          <cell r="C91">
            <v>45538</v>
          </cell>
          <cell r="E91">
            <v>1.7535106626798899E-2</v>
          </cell>
          <cell r="F91">
            <v>0.85380182549208705</v>
          </cell>
        </row>
        <row r="92">
          <cell r="A92" t="str">
            <v>CAD_CDOR_1M_EOD</v>
          </cell>
          <cell r="C92">
            <v>45902</v>
          </cell>
          <cell r="E92">
            <v>1.8971401894828401E-2</v>
          </cell>
          <cell r="F92">
            <v>0.82702370152778104</v>
          </cell>
        </row>
        <row r="93">
          <cell r="A93" t="str">
            <v>CAD_CDOR_1M_EOD</v>
          </cell>
          <cell r="C93">
            <v>46631</v>
          </cell>
          <cell r="E93">
            <v>2.1382078402045999E-2</v>
          </cell>
          <cell r="F93">
            <v>0.77355331535139904</v>
          </cell>
        </row>
        <row r="94">
          <cell r="A94" t="str">
            <v>CAD_CDOR_1M_EOD</v>
          </cell>
          <cell r="C94">
            <v>47729</v>
          </cell>
          <cell r="E94">
            <v>2.3931268797853001E-2</v>
          </cell>
          <cell r="F94">
            <v>0.69812129050236105</v>
          </cell>
        </row>
        <row r="95">
          <cell r="A95" t="str">
            <v>CAD_CDOR_1M_EOD</v>
          </cell>
          <cell r="C95">
            <v>49556</v>
          </cell>
          <cell r="E95">
            <v>2.5611989811190301E-2</v>
          </cell>
          <cell r="F95">
            <v>0.59881585136320503</v>
          </cell>
        </row>
        <row r="96">
          <cell r="A96" t="str">
            <v>CAD_CDOR_1M_EOD</v>
          </cell>
          <cell r="C96">
            <v>51383</v>
          </cell>
          <cell r="E96">
            <v>2.59065278509528E-2</v>
          </cell>
          <cell r="F96">
            <v>0.52289585531645799</v>
          </cell>
        </row>
        <row r="97">
          <cell r="A97" t="str">
            <v>CAD_CDOR_1M_EOD</v>
          </cell>
          <cell r="C97">
            <v>53206</v>
          </cell>
          <cell r="E97">
            <v>2.6143559379262198E-2</v>
          </cell>
          <cell r="F97">
            <v>0.45617453482081299</v>
          </cell>
        </row>
        <row r="98">
          <cell r="A98" t="str">
            <v>CAD_CDOR_3M_EOD</v>
          </cell>
          <cell r="C98">
            <v>42339</v>
          </cell>
          <cell r="E98">
            <v>7.4331082777186596E-3</v>
          </cell>
          <cell r="F98">
            <v>0.998148530189372</v>
          </cell>
        </row>
        <row r="99">
          <cell r="A99" t="str">
            <v>CAD_CDOR_3M_EOD</v>
          </cell>
          <cell r="C99">
            <v>42352</v>
          </cell>
          <cell r="E99">
            <v>7.0924735617384996E-3</v>
          </cell>
          <cell r="F99">
            <v>0.99798117140207099</v>
          </cell>
        </row>
        <row r="100">
          <cell r="A100" t="str">
            <v>CAD_CDOR_3M_EOD</v>
          </cell>
          <cell r="C100">
            <v>42443</v>
          </cell>
          <cell r="E100">
            <v>6.6956513653953203E-3</v>
          </cell>
          <cell r="F100">
            <v>0.99642926149170097</v>
          </cell>
        </row>
        <row r="101">
          <cell r="A101" t="str">
            <v>CAD_CDOR_3M_EOD</v>
          </cell>
          <cell r="C101">
            <v>42534</v>
          </cell>
          <cell r="E101">
            <v>6.5182960918305803E-3</v>
          </cell>
          <cell r="F101">
            <v>0.99490553423230399</v>
          </cell>
        </row>
        <row r="102">
          <cell r="A102" t="str">
            <v>CAD_CDOR_3M_EOD</v>
          </cell>
          <cell r="C102">
            <v>42632</v>
          </cell>
          <cell r="E102">
            <v>6.4832227834941102E-3</v>
          </cell>
          <cell r="F102">
            <v>0.99320250260376197</v>
          </cell>
        </row>
        <row r="103">
          <cell r="A103" t="str">
            <v>CAD_CDOR_3M_EOD</v>
          </cell>
          <cell r="C103">
            <v>42979</v>
          </cell>
          <cell r="E103">
            <v>7.1638882585249204E-3</v>
          </cell>
          <cell r="F103">
            <v>0.98575502991678299</v>
          </cell>
        </row>
        <row r="104">
          <cell r="A104" t="str">
            <v>CAD_CDOR_3M_EOD</v>
          </cell>
          <cell r="C104">
            <v>43347</v>
          </cell>
          <cell r="E104">
            <v>8.3033407506506503E-3</v>
          </cell>
          <cell r="F104">
            <v>0.97530891939056796</v>
          </cell>
        </row>
        <row r="105">
          <cell r="A105" t="str">
            <v>CAD_CDOR_3M_EOD</v>
          </cell>
          <cell r="C105">
            <v>43711</v>
          </cell>
          <cell r="E105">
            <v>9.6297933499378107E-3</v>
          </cell>
          <cell r="F105">
            <v>0.962137100473476</v>
          </cell>
        </row>
        <row r="106">
          <cell r="A106" t="str">
            <v>CAD_CDOR_3M_EOD</v>
          </cell>
          <cell r="C106">
            <v>44075</v>
          </cell>
          <cell r="E106">
            <v>1.11798455635241E-2</v>
          </cell>
          <cell r="F106">
            <v>0.94557649748439498</v>
          </cell>
        </row>
        <row r="107">
          <cell r="A107" t="str">
            <v>CAD_CDOR_3M_EOD</v>
          </cell>
          <cell r="C107">
            <v>44440</v>
          </cell>
          <cell r="E107">
            <v>1.29374414590449E-2</v>
          </cell>
          <cell r="F107">
            <v>0.92524608515656004</v>
          </cell>
        </row>
        <row r="108">
          <cell r="A108" t="str">
            <v>CAD_CDOR_3M_EOD</v>
          </cell>
          <cell r="C108">
            <v>44805</v>
          </cell>
          <cell r="E108">
            <v>1.47697247600489E-2</v>
          </cell>
          <cell r="F108">
            <v>0.90170397213903997</v>
          </cell>
        </row>
        <row r="109">
          <cell r="A109" t="str">
            <v>CAD_CDOR_3M_EOD</v>
          </cell>
          <cell r="C109">
            <v>45170</v>
          </cell>
          <cell r="E109">
            <v>1.64994936898804E-2</v>
          </cell>
          <cell r="F109">
            <v>0.87626531955105702</v>
          </cell>
        </row>
        <row r="110">
          <cell r="A110" t="str">
            <v>CAD_CDOR_3M_EOD</v>
          </cell>
          <cell r="C110">
            <v>45538</v>
          </cell>
          <cell r="E110">
            <v>1.8096052624150101E-2</v>
          </cell>
          <cell r="F110">
            <v>0.84949572967699005</v>
          </cell>
        </row>
        <row r="111">
          <cell r="A111" t="str">
            <v>CAD_CDOR_3M_EOD</v>
          </cell>
          <cell r="C111">
            <v>45902</v>
          </cell>
          <cell r="E111">
            <v>1.9497630509011401E-2</v>
          </cell>
          <cell r="F111">
            <v>0.82267835262415201</v>
          </cell>
        </row>
        <row r="112">
          <cell r="A112" t="str">
            <v>CAD_CDOR_3M_EOD</v>
          </cell>
          <cell r="C112">
            <v>46631</v>
          </cell>
          <cell r="E112">
            <v>2.18660458184558E-2</v>
          </cell>
          <cell r="F112">
            <v>0.76907078104099402</v>
          </cell>
        </row>
        <row r="113">
          <cell r="A113" t="str">
            <v>CAD_CDOR_3M_EOD</v>
          </cell>
          <cell r="C113">
            <v>47729</v>
          </cell>
          <cell r="E113">
            <v>2.4346952335091401E-2</v>
          </cell>
          <cell r="F113">
            <v>0.69377712963885196</v>
          </cell>
        </row>
        <row r="114">
          <cell r="A114" t="str">
            <v>CAD_CDOR_3M_EOD</v>
          </cell>
          <cell r="C114">
            <v>49556</v>
          </cell>
          <cell r="E114">
            <v>2.58938365292808E-2</v>
          </cell>
          <cell r="F114">
            <v>0.59544618320119902</v>
          </cell>
        </row>
        <row r="115">
          <cell r="A115" t="str">
            <v>CAD_CDOR_3M_EOD</v>
          </cell>
          <cell r="C115">
            <v>51383</v>
          </cell>
          <cell r="E115">
            <v>2.6162996823816599E-2</v>
          </cell>
          <cell r="F115">
            <v>0.51955026583018304</v>
          </cell>
        </row>
        <row r="116">
          <cell r="A116" t="str">
            <v>CAD_CDOR_3M_EOD</v>
          </cell>
          <cell r="C116">
            <v>53206</v>
          </cell>
          <cell r="E116">
            <v>2.62799875946437E-2</v>
          </cell>
          <cell r="F116">
            <v>0.45430993957913901</v>
          </cell>
        </row>
        <row r="117">
          <cell r="A117" t="str">
            <v>CAD_CDOR_EOD</v>
          </cell>
          <cell r="C117">
            <v>42249</v>
          </cell>
          <cell r="E117">
            <v>5.9559514061049501E-3</v>
          </cell>
          <cell r="F117">
            <v>0.99998368245804703</v>
          </cell>
        </row>
        <row r="118">
          <cell r="A118" t="str">
            <v>CAD_CDOR_EOD</v>
          </cell>
          <cell r="C118">
            <v>42255</v>
          </cell>
          <cell r="E118">
            <v>6.2626583742195199E-3</v>
          </cell>
          <cell r="F118">
            <v>0.99987990143536998</v>
          </cell>
        </row>
        <row r="119">
          <cell r="A119" t="str">
            <v>CAD_CDOR_EOD</v>
          </cell>
          <cell r="C119">
            <v>42352</v>
          </cell>
          <cell r="E119">
            <v>6.9575809776532497E-3</v>
          </cell>
          <cell r="F119">
            <v>0.99801952969249097</v>
          </cell>
        </row>
        <row r="120">
          <cell r="A120" t="str">
            <v>CAD_CDOR_EOD</v>
          </cell>
          <cell r="C120">
            <v>42443</v>
          </cell>
          <cell r="E120">
            <v>6.6237086538838696E-3</v>
          </cell>
          <cell r="F120">
            <v>0.99646756013308901</v>
          </cell>
        </row>
        <row r="121">
          <cell r="A121" t="str">
            <v>CAD_CDOR_EOD</v>
          </cell>
          <cell r="C121">
            <v>42534</v>
          </cell>
          <cell r="E121">
            <v>6.4692442430737303E-3</v>
          </cell>
          <cell r="F121">
            <v>0.99494377430788405</v>
          </cell>
        </row>
        <row r="122">
          <cell r="A122" t="str">
            <v>CAD_CDOR_EOD</v>
          </cell>
          <cell r="C122">
            <v>42632</v>
          </cell>
          <cell r="E122">
            <v>6.4466893753044501E-3</v>
          </cell>
          <cell r="F122">
            <v>0.99324067722181397</v>
          </cell>
        </row>
        <row r="123">
          <cell r="A123" t="str">
            <v>CAD_CDOR_EOD</v>
          </cell>
          <cell r="C123">
            <v>42979</v>
          </cell>
          <cell r="E123">
            <v>7.1651437581173802E-3</v>
          </cell>
          <cell r="F123">
            <v>0.985752551299096</v>
          </cell>
        </row>
        <row r="124">
          <cell r="A124" t="str">
            <v>CAD_CDOR_EOD</v>
          </cell>
          <cell r="C124">
            <v>43347</v>
          </cell>
          <cell r="E124">
            <v>8.3074848895869392E-3</v>
          </cell>
          <cell r="F124">
            <v>0.97529674972561997</v>
          </cell>
        </row>
        <row r="125">
          <cell r="A125" t="str">
            <v>CAD_CDOR_EOD</v>
          </cell>
          <cell r="C125">
            <v>43711</v>
          </cell>
          <cell r="E125">
            <v>9.63982549963514E-3</v>
          </cell>
          <cell r="F125">
            <v>0.96209841270363305</v>
          </cell>
        </row>
        <row r="126">
          <cell r="A126" t="str">
            <v>CAD_CDOR_EOD</v>
          </cell>
          <cell r="C126">
            <v>44075</v>
          </cell>
          <cell r="E126">
            <v>1.1197670445923499E-2</v>
          </cell>
          <cell r="F126">
            <v>0.94549213494360196</v>
          </cell>
        </row>
        <row r="127">
          <cell r="A127" t="str">
            <v>CAD_CDOR_EOD</v>
          </cell>
          <cell r="C127">
            <v>44440</v>
          </cell>
          <cell r="E127">
            <v>1.29651649776609E-2</v>
          </cell>
          <cell r="F127">
            <v>0.92509205096348002</v>
          </cell>
        </row>
        <row r="128">
          <cell r="A128" t="str">
            <v>CAD_CDOR_EOD</v>
          </cell>
          <cell r="C128">
            <v>44805</v>
          </cell>
          <cell r="E128">
            <v>1.4809678865013101E-2</v>
          </cell>
          <cell r="F128">
            <v>0.90145162262367295</v>
          </cell>
        </row>
        <row r="129">
          <cell r="A129" t="str">
            <v>CAD_CDOR_EOD</v>
          </cell>
          <cell r="C129">
            <v>45170</v>
          </cell>
          <cell r="E129">
            <v>1.6552759528878299E-2</v>
          </cell>
          <cell r="F129">
            <v>0.87589174339371501</v>
          </cell>
        </row>
        <row r="130">
          <cell r="A130" t="str">
            <v>CAD_CDOR_EOD</v>
          </cell>
          <cell r="C130">
            <v>45538</v>
          </cell>
          <cell r="E130">
            <v>1.81631529876068E-2</v>
          </cell>
          <cell r="F130">
            <v>0.84898209093073995</v>
          </cell>
        </row>
        <row r="131">
          <cell r="A131" t="str">
            <v>CAD_CDOR_EOD</v>
          </cell>
          <cell r="C131">
            <v>45902</v>
          </cell>
          <cell r="E131">
            <v>1.9577738093227302E-2</v>
          </cell>
          <cell r="F131">
            <v>0.82201886712157601</v>
          </cell>
        </row>
        <row r="132">
          <cell r="A132" t="str">
            <v>CAD_CDOR_EOD</v>
          </cell>
          <cell r="C132">
            <v>46631</v>
          </cell>
          <cell r="E132">
            <v>2.1969066011119E-2</v>
          </cell>
          <cell r="F132">
            <v>0.76811996024284102</v>
          </cell>
        </row>
        <row r="133">
          <cell r="A133" t="str">
            <v>CAD_CDOR_EOD</v>
          </cell>
          <cell r="C133">
            <v>47729</v>
          </cell>
          <cell r="E133">
            <v>2.4477133539991001E-2</v>
          </cell>
          <cell r="F133">
            <v>0.69242221860089104</v>
          </cell>
        </row>
        <row r="134">
          <cell r="A134" t="str">
            <v>CAD_CDOR_EOD</v>
          </cell>
          <cell r="C134">
            <v>49556</v>
          </cell>
          <cell r="E134">
            <v>2.6033550672628698E-2</v>
          </cell>
          <cell r="F134">
            <v>0.59378284229534595</v>
          </cell>
        </row>
        <row r="135">
          <cell r="A135" t="str">
            <v>CAD_CDOR_EOD</v>
          </cell>
          <cell r="C135">
            <v>51383</v>
          </cell>
          <cell r="E135">
            <v>2.62892520793413E-2</v>
          </cell>
          <cell r="F135">
            <v>0.51791116091038403</v>
          </cell>
        </row>
        <row r="136">
          <cell r="A136" t="str">
            <v>CAD_CDOR_EOD</v>
          </cell>
          <cell r="C136">
            <v>53206</v>
          </cell>
          <cell r="E136">
            <v>2.6396187093526501E-2</v>
          </cell>
          <cell r="F136">
            <v>0.45272782613671197</v>
          </cell>
        </row>
        <row r="137">
          <cell r="A137" t="str">
            <v>CAD_CORRA_EOD</v>
          </cell>
          <cell r="C137">
            <v>42249</v>
          </cell>
          <cell r="E137">
            <v>5.9559514061049501E-3</v>
          </cell>
          <cell r="F137">
            <v>0.99998368245804703</v>
          </cell>
        </row>
        <row r="138">
          <cell r="A138" t="str">
            <v>CAD_CORRA_EOD</v>
          </cell>
          <cell r="C138">
            <v>42256</v>
          </cell>
          <cell r="E138">
            <v>5.2417722690265298E-3</v>
          </cell>
          <cell r="F138">
            <v>0.999885118440071</v>
          </cell>
        </row>
        <row r="139">
          <cell r="A139" t="str">
            <v>CAD_CORRA_EOD</v>
          </cell>
          <cell r="C139">
            <v>42279</v>
          </cell>
          <cell r="E139">
            <v>4.6428990422113002E-3</v>
          </cell>
          <cell r="F139">
            <v>0.99960574932542601</v>
          </cell>
        </row>
        <row r="140">
          <cell r="A140" t="str">
            <v>CAD_CORRA_EOD</v>
          </cell>
          <cell r="C140">
            <v>42310</v>
          </cell>
          <cell r="E140">
            <v>4.4759394337754504E-3</v>
          </cell>
          <cell r="F140">
            <v>0.99923999239084305</v>
          </cell>
        </row>
        <row r="141">
          <cell r="A141" t="str">
            <v>CAD_CORRA_EOD</v>
          </cell>
          <cell r="C141">
            <v>42340</v>
          </cell>
          <cell r="E141">
            <v>4.32395515507437E-3</v>
          </cell>
          <cell r="F141">
            <v>0.99891072006842996</v>
          </cell>
        </row>
        <row r="142">
          <cell r="A142" t="str">
            <v>CAD_CORRA_EOD</v>
          </cell>
          <cell r="C142">
            <v>42373</v>
          </cell>
          <cell r="E142">
            <v>4.16154827401417E-3</v>
          </cell>
          <cell r="F142">
            <v>0.99857582733271699</v>
          </cell>
        </row>
        <row r="143">
          <cell r="A143" t="str">
            <v>CAD_CORRA_EOD</v>
          </cell>
          <cell r="C143">
            <v>42402</v>
          </cell>
          <cell r="E143">
            <v>4.0490464596988698E-3</v>
          </cell>
          <cell r="F143">
            <v>0.99829309361687901</v>
          </cell>
        </row>
        <row r="144">
          <cell r="A144" t="str">
            <v>CAD_CORRA_EOD</v>
          </cell>
          <cell r="C144">
            <v>42431</v>
          </cell>
          <cell r="E144">
            <v>3.9339375297103704E-3</v>
          </cell>
          <cell r="F144">
            <v>0.998029586098934</v>
          </cell>
        </row>
        <row r="145">
          <cell r="A145" t="str">
            <v>CAD_CORRA_EOD</v>
          </cell>
          <cell r="C145">
            <v>42464</v>
          </cell>
          <cell r="E145">
            <v>3.84547980254049E-3</v>
          </cell>
          <cell r="F145">
            <v>0.99772690620117099</v>
          </cell>
        </row>
        <row r="146">
          <cell r="A146" t="str">
            <v>CAD_CORRA_EOD</v>
          </cell>
          <cell r="C146">
            <v>42492</v>
          </cell>
          <cell r="E146">
            <v>3.7891559831082899E-3</v>
          </cell>
          <cell r="F146">
            <v>0.99747018057876502</v>
          </cell>
        </row>
        <row r="147">
          <cell r="A147" t="str">
            <v>CAD_CORRA_EOD</v>
          </cell>
          <cell r="C147">
            <v>42523</v>
          </cell>
          <cell r="E147">
            <v>3.7461486329579499E-3</v>
          </cell>
          <cell r="F147">
            <v>0.99718153859033898</v>
          </cell>
        </row>
        <row r="148">
          <cell r="A148" t="str">
            <v>CAD_CORRA_EOD</v>
          </cell>
          <cell r="C148">
            <v>42555</v>
          </cell>
          <cell r="E148">
            <v>3.7215133634771998E-3</v>
          </cell>
          <cell r="F148">
            <v>0.99687474421466504</v>
          </cell>
        </row>
        <row r="149">
          <cell r="A149" t="str">
            <v>CAD_CORRA_EOD</v>
          </cell>
          <cell r="C149">
            <v>42584</v>
          </cell>
          <cell r="E149">
            <v>3.7104010353828198E-3</v>
          </cell>
          <cell r="F149">
            <v>0.99659022448407497</v>
          </cell>
        </row>
        <row r="150">
          <cell r="A150" t="str">
            <v>CAD_CORRA_EOD</v>
          </cell>
          <cell r="C150">
            <v>42615</v>
          </cell>
          <cell r="E150">
            <v>3.7042867710631198E-3</v>
          </cell>
          <cell r="F150">
            <v>0.99628234342747801</v>
          </cell>
        </row>
        <row r="151">
          <cell r="A151" t="str">
            <v>CAD_CORRA_EOD</v>
          </cell>
          <cell r="C151">
            <v>42796</v>
          </cell>
          <cell r="E151">
            <v>3.9467929464497998E-3</v>
          </cell>
          <cell r="F151">
            <v>0.99409192573257898</v>
          </cell>
        </row>
        <row r="152">
          <cell r="A152" t="str">
            <v>CAD_CORRA_EOD</v>
          </cell>
          <cell r="C152">
            <v>42983</v>
          </cell>
          <cell r="E152">
            <v>4.4090284637123703E-3</v>
          </cell>
          <cell r="F152">
            <v>0.99116084251508496</v>
          </cell>
        </row>
        <row r="153">
          <cell r="A153" t="str">
            <v>CAD_CORRA_EOD</v>
          </cell>
          <cell r="C153">
            <v>43347</v>
          </cell>
          <cell r="E153">
            <v>5.5634174332509397E-3</v>
          </cell>
          <cell r="F153">
            <v>0.98338830031038005</v>
          </cell>
        </row>
        <row r="154">
          <cell r="A154" t="str">
            <v>CAD_CORRA_EOD</v>
          </cell>
          <cell r="C154">
            <v>43711</v>
          </cell>
          <cell r="E154">
            <v>6.8581983547295203E-3</v>
          </cell>
          <cell r="F154">
            <v>0.97288522645856101</v>
          </cell>
        </row>
        <row r="155">
          <cell r="A155" t="str">
            <v>CAD_CORRA_EOD</v>
          </cell>
          <cell r="C155">
            <v>44076</v>
          </cell>
          <cell r="E155">
            <v>8.3763296689609301E-3</v>
          </cell>
          <cell r="F155">
            <v>0.95891725070141698</v>
          </cell>
        </row>
        <row r="156">
          <cell r="A156" t="str">
            <v>CAD_CORRA_EOD</v>
          </cell>
          <cell r="C156">
            <v>44806</v>
          </cell>
          <cell r="E156">
            <v>1.1986849460430399E-2</v>
          </cell>
          <cell r="F156">
            <v>0.91942530898164698</v>
          </cell>
        </row>
        <row r="157">
          <cell r="A157" t="str">
            <v>CAD_CORRA_EOD</v>
          </cell>
          <cell r="C157">
            <v>45902</v>
          </cell>
          <cell r="E157">
            <v>1.67178822205994E-2</v>
          </cell>
          <cell r="F157">
            <v>0.84589331555374203</v>
          </cell>
        </row>
        <row r="158">
          <cell r="A158" t="str">
            <v>CAD_CORRA_EOD</v>
          </cell>
          <cell r="C158">
            <v>46632</v>
          </cell>
          <cell r="E158">
            <v>1.9177101194761299E-2</v>
          </cell>
          <cell r="F158">
            <v>0.79426718099062699</v>
          </cell>
        </row>
        <row r="159">
          <cell r="A159" t="str">
            <v>CAD_CORRA_EOD</v>
          </cell>
          <cell r="C159">
            <v>47729</v>
          </cell>
          <cell r="E159">
            <v>2.1607887850897099E-2</v>
          </cell>
          <cell r="F159">
            <v>0.72290785294581905</v>
          </cell>
        </row>
        <row r="160">
          <cell r="A160" t="str">
            <v>CAD_CORRA_EOD</v>
          </cell>
          <cell r="C160">
            <v>49556</v>
          </cell>
          <cell r="E160">
            <v>2.31876137655798E-2</v>
          </cell>
          <cell r="F160">
            <v>0.62859978478971101</v>
          </cell>
        </row>
        <row r="161">
          <cell r="A161" t="str">
            <v>CAD_CORRA_EOD</v>
          </cell>
          <cell r="C161">
            <v>53210</v>
          </cell>
          <cell r="E161">
            <v>2.3599217216502301E-2</v>
          </cell>
          <cell r="F161">
            <v>0.49225796481328299</v>
          </cell>
        </row>
        <row r="162">
          <cell r="A162" t="str">
            <v>CHF_LIBOR_12M_EOD</v>
          </cell>
          <cell r="C162">
            <v>42618</v>
          </cell>
          <cell r="E162">
            <v>-5.7042884408374803E-3</v>
          </cell>
          <cell r="F162">
            <v>1.0057991798938</v>
          </cell>
        </row>
        <row r="163">
          <cell r="A163" t="str">
            <v>CHF_LIBOR_12M_EOD</v>
          </cell>
          <cell r="C163">
            <v>42982</v>
          </cell>
          <cell r="E163">
            <v>-5.07328106386445E-3</v>
          </cell>
          <cell r="F163">
            <v>1.0102543791926799</v>
          </cell>
        </row>
        <row r="164">
          <cell r="A164" t="str">
            <v>CHF_LIBOR_12M_EOD</v>
          </cell>
          <cell r="C164">
            <v>43346</v>
          </cell>
          <cell r="E164">
            <v>-4.2105679720561198E-3</v>
          </cell>
          <cell r="F164">
            <v>1.01274686880819</v>
          </cell>
        </row>
        <row r="165">
          <cell r="A165" t="str">
            <v>CHF_LIBOR_12M_EOD</v>
          </cell>
          <cell r="C165">
            <v>43711</v>
          </cell>
          <cell r="E165">
            <v>-3.0687361220614298E-3</v>
          </cell>
          <cell r="F165">
            <v>1.01237612514398</v>
          </cell>
        </row>
        <row r="166">
          <cell r="A166" t="str">
            <v>CHF_LIBOR_12M_EOD</v>
          </cell>
          <cell r="C166">
            <v>44077</v>
          </cell>
          <cell r="E166">
            <v>-1.7106365654109301E-3</v>
          </cell>
          <cell r="F166">
            <v>1.0086087737170799</v>
          </cell>
        </row>
        <row r="167">
          <cell r="A167" t="str">
            <v>CHF_LIBOR_12M_EOD</v>
          </cell>
          <cell r="C167">
            <v>44442</v>
          </cell>
          <cell r="E167">
            <v>-3.0663314807609002E-4</v>
          </cell>
          <cell r="F167">
            <v>1.00184485891383</v>
          </cell>
        </row>
        <row r="168">
          <cell r="A168" t="str">
            <v>CHF_LIBOR_12M_EOD</v>
          </cell>
          <cell r="C168">
            <v>44809</v>
          </cell>
          <cell r="E168">
            <v>1.0521430081223599E-3</v>
          </cell>
          <cell r="F168">
            <v>0.99264488566267595</v>
          </cell>
        </row>
        <row r="169">
          <cell r="A169" t="str">
            <v>CHF_LIBOR_12M_EOD</v>
          </cell>
          <cell r="C169">
            <v>45173</v>
          </cell>
          <cell r="E169">
            <v>2.2433978620962801E-3</v>
          </cell>
          <cell r="F169">
            <v>0.98218272423874398</v>
          </cell>
        </row>
        <row r="170">
          <cell r="A170" t="str">
            <v>CHF_LIBOR_12M_EOD</v>
          </cell>
          <cell r="C170">
            <v>45538</v>
          </cell>
          <cell r="E170">
            <v>3.2636600086421402E-3</v>
          </cell>
          <cell r="F170">
            <v>0.97101083927687204</v>
          </cell>
        </row>
        <row r="171">
          <cell r="A171" t="str">
            <v>CHF_LIBOR_12M_EOD</v>
          </cell>
          <cell r="C171">
            <v>45903</v>
          </cell>
          <cell r="E171">
            <v>4.0980975518628499E-3</v>
          </cell>
          <cell r="F171">
            <v>0.95979350766287996</v>
          </cell>
        </row>
        <row r="172">
          <cell r="A172" t="str">
            <v>CHF_LIBOR_12M_EOD</v>
          </cell>
          <cell r="C172">
            <v>46633</v>
          </cell>
          <cell r="E172">
            <v>5.5256646173726899E-3</v>
          </cell>
          <cell r="F172">
            <v>0.93577176837456899</v>
          </cell>
        </row>
        <row r="173">
          <cell r="A173" t="str">
            <v>CHF_LIBOR_12M_EOD</v>
          </cell>
          <cell r="C173">
            <v>47729</v>
          </cell>
          <cell r="E173">
            <v>6.9731718077576804E-3</v>
          </cell>
          <cell r="F173">
            <v>0.90058366913285404</v>
          </cell>
        </row>
        <row r="174">
          <cell r="A174" t="str">
            <v>CHF_LIBOR_12M_EOD</v>
          </cell>
          <cell r="C174">
            <v>49555</v>
          </cell>
          <cell r="E174">
            <v>8.4199425893206597E-3</v>
          </cell>
          <cell r="F174">
            <v>0.84488029013731403</v>
          </cell>
        </row>
        <row r="175">
          <cell r="A175" t="str">
            <v>CHF_LIBOR_12M_EOD</v>
          </cell>
          <cell r="C175">
            <v>51382</v>
          </cell>
          <cell r="E175">
            <v>9.0353489497900698E-3</v>
          </cell>
          <cell r="F175">
            <v>0.79763313870608998</v>
          </cell>
        </row>
        <row r="176">
          <cell r="A176" t="str">
            <v>CHF_LIBOR_12M_EOD</v>
          </cell>
          <cell r="C176">
            <v>53209</v>
          </cell>
          <cell r="E176">
            <v>9.2923204850793098E-3</v>
          </cell>
          <cell r="F176">
            <v>0.756502336579574</v>
          </cell>
        </row>
        <row r="177">
          <cell r="A177" t="str">
            <v>CHF_LIBOR_12M_EOD</v>
          </cell>
          <cell r="C177">
            <v>56860</v>
          </cell>
          <cell r="E177">
            <v>9.9094000218009903E-3</v>
          </cell>
          <cell r="F177">
            <v>0.67253455268692697</v>
          </cell>
        </row>
        <row r="178">
          <cell r="A178" t="str">
            <v>CHF_LIBOR_3M_EOD</v>
          </cell>
          <cell r="C178">
            <v>42341</v>
          </cell>
          <cell r="E178">
            <v>-7.3472807782197103E-3</v>
          </cell>
          <cell r="F178">
            <v>1.0018738002569501</v>
          </cell>
        </row>
        <row r="179">
          <cell r="A179" t="str">
            <v>CHF_LIBOR_3M_EOD</v>
          </cell>
          <cell r="C179">
            <v>42354</v>
          </cell>
          <cell r="E179">
            <v>-7.3996017709860099E-3</v>
          </cell>
          <cell r="F179">
            <v>1.0021512360409099</v>
          </cell>
        </row>
        <row r="180">
          <cell r="A180" t="str">
            <v>CHF_LIBOR_3M_EOD</v>
          </cell>
          <cell r="C180">
            <v>42445</v>
          </cell>
          <cell r="E180">
            <v>-7.4514456856607401E-3</v>
          </cell>
          <cell r="F180">
            <v>1.00402983722373</v>
          </cell>
        </row>
        <row r="181">
          <cell r="A181" t="str">
            <v>CHF_LIBOR_3M_EOD</v>
          </cell>
          <cell r="C181">
            <v>42536</v>
          </cell>
          <cell r="E181">
            <v>-7.5036116932333903E-3</v>
          </cell>
          <cell r="F181">
            <v>1.0059382197310101</v>
          </cell>
        </row>
        <row r="182">
          <cell r="A182" t="str">
            <v>CHF_LIBOR_3M_EOD</v>
          </cell>
          <cell r="C182">
            <v>42634</v>
          </cell>
          <cell r="E182">
            <v>-7.5072665910552701E-3</v>
          </cell>
          <cell r="F182">
            <v>1.0079707904672099</v>
          </cell>
        </row>
        <row r="183">
          <cell r="A183" t="str">
            <v>CHF_LIBOR_3M_EOD</v>
          </cell>
          <cell r="C183">
            <v>42982</v>
          </cell>
          <cell r="E183">
            <v>-7.2523665139776197E-3</v>
          </cell>
          <cell r="F183">
            <v>1.01469107952156</v>
          </cell>
        </row>
        <row r="184">
          <cell r="A184" t="str">
            <v>CHF_LIBOR_3M_EOD</v>
          </cell>
          <cell r="C184">
            <v>43346</v>
          </cell>
          <cell r="E184">
            <v>-6.5640004984449897E-3</v>
          </cell>
          <cell r="F184">
            <v>1.01994219302407</v>
          </cell>
        </row>
        <row r="185">
          <cell r="A185" t="str">
            <v>CHF_LIBOR_3M_EOD</v>
          </cell>
          <cell r="C185">
            <v>43711</v>
          </cell>
          <cell r="E185">
            <v>-5.5216684203551704E-3</v>
          </cell>
          <cell r="F185">
            <v>1.0223787880949999</v>
          </cell>
        </row>
        <row r="186">
          <cell r="A186" t="str">
            <v>CHF_LIBOR_3M_EOD</v>
          </cell>
          <cell r="C186">
            <v>44077</v>
          </cell>
          <cell r="E186">
            <v>-4.2348428224374002E-3</v>
          </cell>
          <cell r="F186">
            <v>1.0214473819218699</v>
          </cell>
        </row>
        <row r="187">
          <cell r="A187" t="str">
            <v>CHF_LIBOR_3M_EOD</v>
          </cell>
          <cell r="C187">
            <v>44442</v>
          </cell>
          <cell r="E187">
            <v>-2.85331103861309E-3</v>
          </cell>
          <cell r="F187">
            <v>1.0172990606013801</v>
          </cell>
        </row>
        <row r="188">
          <cell r="A188" t="str">
            <v>CHF_LIBOR_3M_EOD</v>
          </cell>
          <cell r="C188">
            <v>44809</v>
          </cell>
          <cell r="E188">
            <v>-1.49176573308252E-3</v>
          </cell>
          <cell r="F188">
            <v>1.0105218517394301</v>
          </cell>
        </row>
        <row r="189">
          <cell r="A189" t="str">
            <v>CHF_LIBOR_3M_EOD</v>
          </cell>
          <cell r="C189">
            <v>45173</v>
          </cell>
          <cell r="E189">
            <v>-2.7291543073690002E-4</v>
          </cell>
          <cell r="F189">
            <v>1.0021894553780599</v>
          </cell>
        </row>
        <row r="190">
          <cell r="A190" t="str">
            <v>CHF_LIBOR_3M_EOD</v>
          </cell>
          <cell r="C190">
            <v>45538</v>
          </cell>
          <cell r="E190">
            <v>7.5031725354680998E-4</v>
          </cell>
          <cell r="F190">
            <v>0.99325968491704597</v>
          </cell>
        </row>
        <row r="191">
          <cell r="A191" t="str">
            <v>CHF_LIBOR_3M_EOD</v>
          </cell>
          <cell r="C191">
            <v>45903</v>
          </cell>
          <cell r="E191">
            <v>1.63700430980426E-3</v>
          </cell>
          <cell r="F191">
            <v>0.98374115753981595</v>
          </cell>
        </row>
        <row r="192">
          <cell r="A192" t="str">
            <v>CHF_LIBOR_3M_EOD</v>
          </cell>
          <cell r="C192">
            <v>46633</v>
          </cell>
          <cell r="E192">
            <v>3.1436477276162601E-3</v>
          </cell>
          <cell r="F192">
            <v>0.96293743667843301</v>
          </cell>
        </row>
        <row r="193">
          <cell r="A193" t="str">
            <v>CHF_LIBOR_3M_EOD</v>
          </cell>
          <cell r="C193">
            <v>47729</v>
          </cell>
          <cell r="E193">
            <v>4.7495172026774998E-3</v>
          </cell>
          <cell r="F193">
            <v>0.93116309700465005</v>
          </cell>
        </row>
        <row r="194">
          <cell r="A194" t="str">
            <v>CHF_LIBOR_3M_EOD</v>
          </cell>
          <cell r="C194">
            <v>49555</v>
          </cell>
          <cell r="E194">
            <v>6.4086967433313602E-3</v>
          </cell>
          <cell r="F194">
            <v>0.879592241014028</v>
          </cell>
        </row>
        <row r="195">
          <cell r="A195" t="str">
            <v>CHF_LIBOR_3M_EOD</v>
          </cell>
          <cell r="C195">
            <v>51382</v>
          </cell>
          <cell r="E195">
            <v>7.1304504312596703E-3</v>
          </cell>
          <cell r="F195">
            <v>0.83657669253727795</v>
          </cell>
        </row>
        <row r="196">
          <cell r="A196" t="str">
            <v>CHF_LIBOR_3M_EOD</v>
          </cell>
          <cell r="C196">
            <v>53209</v>
          </cell>
          <cell r="E196">
            <v>7.4667899749207801E-3</v>
          </cell>
          <cell r="F196">
            <v>0.79913233128663796</v>
          </cell>
        </row>
        <row r="197">
          <cell r="A197" t="str">
            <v>CHF_LIBOR_3M_EOD</v>
          </cell>
          <cell r="C197">
            <v>56860</v>
          </cell>
          <cell r="E197">
            <v>7.4238762118649399E-3</v>
          </cell>
          <cell r="F197">
            <v>0.742896071337665</v>
          </cell>
        </row>
        <row r="198">
          <cell r="A198" t="str">
            <v>CHF_LIBOR_6M_EOD</v>
          </cell>
          <cell r="C198">
            <v>42432</v>
          </cell>
          <cell r="E198">
            <v>-6.8452802016115604E-3</v>
          </cell>
          <cell r="F198">
            <v>1.00345673215534</v>
          </cell>
        </row>
        <row r="199">
          <cell r="A199" t="str">
            <v>CHF_LIBOR_6M_EOD</v>
          </cell>
          <cell r="C199">
            <v>42618</v>
          </cell>
          <cell r="E199">
            <v>-6.7078347256213098E-3</v>
          </cell>
          <cell r="F199">
            <v>1.00682289347624</v>
          </cell>
        </row>
        <row r="200">
          <cell r="A200" t="str">
            <v>CHF_LIBOR_6M_EOD</v>
          </cell>
          <cell r="C200">
            <v>42797</v>
          </cell>
          <cell r="E200">
            <v>-6.5465693582293701E-3</v>
          </cell>
          <cell r="F200">
            <v>1.00989539657995</v>
          </cell>
        </row>
        <row r="201">
          <cell r="A201" t="str">
            <v>CHF_LIBOR_6M_EOD</v>
          </cell>
          <cell r="C201">
            <v>42982</v>
          </cell>
          <cell r="E201">
            <v>-6.3020500050119596E-3</v>
          </cell>
          <cell r="F201">
            <v>1.01275380842423</v>
          </cell>
        </row>
        <row r="202">
          <cell r="A202" t="str">
            <v>CHF_LIBOR_6M_EOD</v>
          </cell>
          <cell r="C202">
            <v>43346</v>
          </cell>
          <cell r="E202">
            <v>-5.48927701196466E-3</v>
          </cell>
          <cell r="F202">
            <v>1.0166500406731001</v>
          </cell>
        </row>
        <row r="203">
          <cell r="A203" t="str">
            <v>CHF_LIBOR_6M_EOD</v>
          </cell>
          <cell r="C203">
            <v>43711</v>
          </cell>
          <cell r="E203">
            <v>-4.37222339826042E-3</v>
          </cell>
          <cell r="F203">
            <v>1.0176792904838801</v>
          </cell>
        </row>
        <row r="204">
          <cell r="A204" t="str">
            <v>CHF_LIBOR_6M_EOD</v>
          </cell>
          <cell r="C204">
            <v>44077</v>
          </cell>
          <cell r="E204">
            <v>-3.0365235762318402E-3</v>
          </cell>
          <cell r="F204">
            <v>1.0153322459596299</v>
          </cell>
        </row>
        <row r="205">
          <cell r="A205" t="str">
            <v>CHF_LIBOR_6M_EOD</v>
          </cell>
          <cell r="C205">
            <v>44442</v>
          </cell>
          <cell r="E205">
            <v>-1.60575885337776E-3</v>
          </cell>
          <cell r="F205">
            <v>1.0096988827165001</v>
          </cell>
        </row>
        <row r="206">
          <cell r="A206" t="str">
            <v>CHF_LIBOR_6M_EOD</v>
          </cell>
          <cell r="C206">
            <v>44809</v>
          </cell>
          <cell r="E206">
            <v>-2.1998557445428E-4</v>
          </cell>
          <cell r="F206">
            <v>1.00154470705515</v>
          </cell>
        </row>
        <row r="207">
          <cell r="A207" t="str">
            <v>CHF_LIBOR_6M_EOD</v>
          </cell>
          <cell r="C207">
            <v>45173</v>
          </cell>
          <cell r="E207">
            <v>9.979978561231301E-4</v>
          </cell>
          <cell r="F207">
            <v>0.99203424209458702</v>
          </cell>
        </row>
        <row r="208">
          <cell r="A208" t="str">
            <v>CHF_LIBOR_6M_EOD</v>
          </cell>
          <cell r="C208">
            <v>45538</v>
          </cell>
          <cell r="E208">
            <v>1.9949977778903399E-3</v>
          </cell>
          <cell r="F208">
            <v>0.98217840818044799</v>
          </cell>
        </row>
        <row r="209">
          <cell r="A209" t="str">
            <v>CHF_LIBOR_6M_EOD</v>
          </cell>
          <cell r="C209">
            <v>45903</v>
          </cell>
          <cell r="E209">
            <v>2.8558694960651499E-3</v>
          </cell>
          <cell r="F209">
            <v>0.97180723075313502</v>
          </cell>
        </row>
        <row r="210">
          <cell r="A210" t="str">
            <v>CHF_LIBOR_6M_EOD</v>
          </cell>
          <cell r="C210">
            <v>46633</v>
          </cell>
          <cell r="E210">
            <v>4.2594155727483998E-3</v>
          </cell>
          <cell r="F210">
            <v>0.95011586845371399</v>
          </cell>
        </row>
        <row r="211">
          <cell r="A211" t="str">
            <v>CHF_LIBOR_6M_EOD</v>
          </cell>
          <cell r="C211">
            <v>47729</v>
          </cell>
          <cell r="E211">
            <v>5.6830678413035199E-3</v>
          </cell>
          <cell r="F211">
            <v>0.91820055941735901</v>
          </cell>
        </row>
        <row r="212">
          <cell r="A212" t="str">
            <v>CHF_LIBOR_6M_EOD</v>
          </cell>
          <cell r="C212">
            <v>49555</v>
          </cell>
          <cell r="E212">
            <v>7.1319308154814401E-3</v>
          </cell>
          <cell r="F212">
            <v>0.86694876973506796</v>
          </cell>
        </row>
        <row r="213">
          <cell r="A213" t="str">
            <v>CHF_LIBOR_6M_EOD</v>
          </cell>
          <cell r="C213">
            <v>51382</v>
          </cell>
          <cell r="E213">
            <v>7.7484390963109698E-3</v>
          </cell>
          <cell r="F213">
            <v>0.82373859802406602</v>
          </cell>
        </row>
        <row r="214">
          <cell r="A214" t="str">
            <v>CHF_LIBOR_6M_EOD</v>
          </cell>
          <cell r="C214">
            <v>53209</v>
          </cell>
          <cell r="E214">
            <v>8.0053617930018004E-3</v>
          </cell>
          <cell r="F214">
            <v>0.78631161272707994</v>
          </cell>
        </row>
        <row r="215">
          <cell r="A215" t="str">
            <v>CHF_LIBOR_6M_EOD</v>
          </cell>
          <cell r="C215">
            <v>56860</v>
          </cell>
          <cell r="E215">
            <v>7.9711075420369898E-3</v>
          </cell>
          <cell r="F215">
            <v>0.72679823894323203</v>
          </cell>
        </row>
        <row r="216">
          <cell r="A216" t="str">
            <v>CHF_LIBOR_EOD</v>
          </cell>
          <cell r="C216">
            <v>42249</v>
          </cell>
          <cell r="E216">
            <v>-7.8678625761820307E-3</v>
          </cell>
          <cell r="F216">
            <v>1.0000215560202099</v>
          </cell>
        </row>
        <row r="217">
          <cell r="A217" t="str">
            <v>CHF_LIBOR_EOD</v>
          </cell>
          <cell r="C217">
            <v>42250</v>
          </cell>
          <cell r="E217">
            <v>-7.8678625761728002E-3</v>
          </cell>
          <cell r="F217">
            <v>1.0000431125050799</v>
          </cell>
        </row>
        <row r="218">
          <cell r="A218" t="str">
            <v>CHF_LIBOR_EOD</v>
          </cell>
          <cell r="C218">
            <v>42257</v>
          </cell>
          <cell r="E218">
            <v>-8.0654336342791608E-3</v>
          </cell>
          <cell r="F218">
            <v>1.0001988934827399</v>
          </cell>
        </row>
        <row r="219">
          <cell r="A219" t="str">
            <v>CHF_LIBOR_EOD</v>
          </cell>
          <cell r="C219">
            <v>42354</v>
          </cell>
          <cell r="E219">
            <v>-7.5035342562502398E-3</v>
          </cell>
          <cell r="F219">
            <v>1.0021814845611501</v>
          </cell>
        </row>
        <row r="220">
          <cell r="A220" t="str">
            <v>CHF_LIBOR_EOD</v>
          </cell>
          <cell r="C220">
            <v>42445</v>
          </cell>
          <cell r="E220">
            <v>-7.5073687487977603E-3</v>
          </cell>
          <cell r="F220">
            <v>1.0040601424469</v>
          </cell>
        </row>
        <row r="221">
          <cell r="A221" t="str">
            <v>CHF_LIBOR_EOD</v>
          </cell>
          <cell r="C221">
            <v>42536</v>
          </cell>
          <cell r="E221">
            <v>-7.5418646218373799E-3</v>
          </cell>
          <cell r="F221">
            <v>1.0059685825560101</v>
          </cell>
        </row>
        <row r="222">
          <cell r="A222" t="str">
            <v>CHF_LIBOR_EOD</v>
          </cell>
          <cell r="C222">
            <v>42634</v>
          </cell>
          <cell r="E222">
            <v>-7.5358076362314697E-3</v>
          </cell>
          <cell r="F222">
            <v>1.0080012146424899</v>
          </cell>
        </row>
        <row r="223">
          <cell r="A223" t="str">
            <v>CHF_LIBOR_EOD</v>
          </cell>
          <cell r="C223">
            <v>42982</v>
          </cell>
          <cell r="E223">
            <v>-6.3071583761488102E-3</v>
          </cell>
          <cell r="F223">
            <v>1.0127642122184499</v>
          </cell>
        </row>
        <row r="224">
          <cell r="A224" t="str">
            <v>CHF_LIBOR_EOD</v>
          </cell>
          <cell r="C224">
            <v>43346</v>
          </cell>
          <cell r="E224">
            <v>-5.4911851873025701E-3</v>
          </cell>
          <cell r="F224">
            <v>1.01665587647422</v>
          </cell>
        </row>
        <row r="225">
          <cell r="A225" t="str">
            <v>CHF_LIBOR_EOD</v>
          </cell>
          <cell r="C225">
            <v>43711</v>
          </cell>
          <cell r="E225">
            <v>-4.3714615549685599E-3</v>
          </cell>
          <cell r="F225">
            <v>1.01767618286763</v>
          </cell>
        </row>
        <row r="226">
          <cell r="A226" t="str">
            <v>CHF_LIBOR_EOD</v>
          </cell>
          <cell r="C226">
            <v>44077</v>
          </cell>
          <cell r="E226">
            <v>-3.0322130630338799E-3</v>
          </cell>
          <cell r="F226">
            <v>1.0153103152184799</v>
          </cell>
        </row>
        <row r="227">
          <cell r="A227" t="str">
            <v>CHF_LIBOR_EOD</v>
          </cell>
          <cell r="C227">
            <v>44442</v>
          </cell>
          <cell r="E227">
            <v>-1.59629290052205E-3</v>
          </cell>
          <cell r="F227">
            <v>1.00964143303622</v>
          </cell>
        </row>
        <row r="228">
          <cell r="A228" t="str">
            <v>CHF_LIBOR_EOD</v>
          </cell>
          <cell r="C228">
            <v>44809</v>
          </cell>
          <cell r="E228">
            <v>-2.0421317076198999E-4</v>
          </cell>
          <cell r="F228">
            <v>1.00143387614294</v>
          </cell>
        </row>
        <row r="229">
          <cell r="A229" t="str">
            <v>CHF_LIBOR_EOD</v>
          </cell>
          <cell r="C229">
            <v>45173</v>
          </cell>
          <cell r="E229">
            <v>1.02038598263896E-3</v>
          </cell>
          <cell r="F229">
            <v>0.99185627551107503</v>
          </cell>
        </row>
        <row r="230">
          <cell r="A230" t="str">
            <v>CHF_LIBOR_EOD</v>
          </cell>
          <cell r="C230">
            <v>45538</v>
          </cell>
          <cell r="E230">
            <v>2.02270875884348E-3</v>
          </cell>
          <cell r="F230">
            <v>0.98193311183477805</v>
          </cell>
        </row>
        <row r="231">
          <cell r="A231" t="str">
            <v>CHF_LIBOR_EOD</v>
          </cell>
          <cell r="C231">
            <v>45903</v>
          </cell>
          <cell r="E231">
            <v>2.8881987090725201E-3</v>
          </cell>
          <cell r="F231">
            <v>0.97149267366248504</v>
          </cell>
        </row>
        <row r="232">
          <cell r="A232" t="str">
            <v>CHF_LIBOR_EOD</v>
          </cell>
          <cell r="C232">
            <v>46633</v>
          </cell>
          <cell r="E232">
            <v>4.2984995142625604E-3</v>
          </cell>
          <cell r="F232">
            <v>0.94966985320842501</v>
          </cell>
        </row>
        <row r="233">
          <cell r="A233" t="str">
            <v>CHF_LIBOR_EOD</v>
          </cell>
          <cell r="C233">
            <v>47729</v>
          </cell>
          <cell r="E233">
            <v>5.7264213624543901E-3</v>
          </cell>
          <cell r="F233">
            <v>0.91760299117556898</v>
          </cell>
        </row>
        <row r="234">
          <cell r="A234" t="str">
            <v>CHF_LIBOR_EOD</v>
          </cell>
          <cell r="C234">
            <v>49555</v>
          </cell>
          <cell r="E234">
            <v>7.1771710302072902E-3</v>
          </cell>
          <cell r="F234">
            <v>0.86616395402892798</v>
          </cell>
        </row>
        <row r="235">
          <cell r="A235" t="str">
            <v>CHF_LIBOR_EOD</v>
          </cell>
          <cell r="C235">
            <v>51382</v>
          </cell>
          <cell r="E235">
            <v>7.7906560240188303E-3</v>
          </cell>
          <cell r="F235">
            <v>0.822868807251948</v>
          </cell>
        </row>
        <row r="236">
          <cell r="A236" t="str">
            <v>CHF_LIBOR_EOD</v>
          </cell>
          <cell r="C236">
            <v>53209</v>
          </cell>
          <cell r="E236">
            <v>8.0433636139513893E-3</v>
          </cell>
          <cell r="F236">
            <v>0.78541478582874702</v>
          </cell>
        </row>
        <row r="237">
          <cell r="A237" t="str">
            <v>CHF_LIBOR_EOD</v>
          </cell>
          <cell r="C237">
            <v>56860</v>
          </cell>
          <cell r="E237">
            <v>7.9986244348962399E-3</v>
          </cell>
          <cell r="F237">
            <v>0.72599805307891396</v>
          </cell>
        </row>
        <row r="238">
          <cell r="A238" t="str">
            <v>CHF_TOIS_EOD</v>
          </cell>
          <cell r="C238">
            <v>42249</v>
          </cell>
          <cell r="E238">
            <v>-5.3229554799769704E-3</v>
          </cell>
          <cell r="F238">
            <v>1.0000145835460099</v>
          </cell>
        </row>
        <row r="239">
          <cell r="A239" t="str">
            <v>CHF_TOIS_EOD</v>
          </cell>
          <cell r="C239">
            <v>42250</v>
          </cell>
          <cell r="E239">
            <v>-5.3356292763684903E-3</v>
          </cell>
          <cell r="F239">
            <v>1.0000292367521899</v>
          </cell>
        </row>
        <row r="240">
          <cell r="A240" t="str">
            <v>CHF_TOIS_EOD</v>
          </cell>
          <cell r="C240">
            <v>42282</v>
          </cell>
          <cell r="E240">
            <v>-5.3964360658103998E-3</v>
          </cell>
          <cell r="F240">
            <v>1.0005028080813501</v>
          </cell>
        </row>
        <row r="241">
          <cell r="A241" t="str">
            <v>CHF_TOIS_EOD</v>
          </cell>
          <cell r="C241">
            <v>42311</v>
          </cell>
          <cell r="E241">
            <v>-5.5565239963923704E-3</v>
          </cell>
          <cell r="F241">
            <v>1.00095953132104</v>
          </cell>
        </row>
        <row r="242">
          <cell r="A242" t="str">
            <v>CHF_TOIS_EOD</v>
          </cell>
          <cell r="C242">
            <v>42341</v>
          </cell>
          <cell r="E242">
            <v>-5.5948771548313203E-3</v>
          </cell>
          <cell r="F242">
            <v>1.0014265606131001</v>
          </cell>
        </row>
        <row r="243">
          <cell r="A243" t="str">
            <v>CHF_TOIS_EOD</v>
          </cell>
          <cell r="C243">
            <v>42373</v>
          </cell>
          <cell r="E243">
            <v>-5.67099121004458E-3</v>
          </cell>
          <cell r="F243">
            <v>1.0019440074144801</v>
          </cell>
        </row>
        <row r="244">
          <cell r="A244" t="str">
            <v>CHF_TOIS_EOD</v>
          </cell>
          <cell r="C244">
            <v>42403</v>
          </cell>
          <cell r="E244">
            <v>-5.7364732752349101E-3</v>
          </cell>
          <cell r="F244">
            <v>1.0024390061443</v>
          </cell>
        </row>
        <row r="245">
          <cell r="A245" t="str">
            <v>CHF_TOIS_EOD</v>
          </cell>
          <cell r="C245">
            <v>42432</v>
          </cell>
          <cell r="E245">
            <v>-5.7134525208045904E-3</v>
          </cell>
          <cell r="F245">
            <v>1.0028843579811899</v>
          </cell>
        </row>
        <row r="246">
          <cell r="A246" t="str">
            <v>CHF_TOIS_EOD</v>
          </cell>
          <cell r="C246">
            <v>42464</v>
          </cell>
          <cell r="E246">
            <v>-5.72094853413113E-3</v>
          </cell>
          <cell r="F246">
            <v>1.003391285065</v>
          </cell>
        </row>
        <row r="247">
          <cell r="A247" t="str">
            <v>CHF_TOIS_EOD</v>
          </cell>
          <cell r="C247">
            <v>42493</v>
          </cell>
          <cell r="E247">
            <v>-5.7293975451703696E-3</v>
          </cell>
          <cell r="F247">
            <v>1.00385316441988</v>
          </cell>
        </row>
        <row r="248">
          <cell r="A248" t="str">
            <v>CHF_TOIS_EOD</v>
          </cell>
          <cell r="C248">
            <v>42524</v>
          </cell>
          <cell r="E248">
            <v>-5.7442065311877396E-3</v>
          </cell>
          <cell r="F248">
            <v>1.0043530113393699</v>
          </cell>
        </row>
        <row r="249">
          <cell r="A249" t="str">
            <v>CHF_TOIS_EOD</v>
          </cell>
          <cell r="C249">
            <v>42555</v>
          </cell>
          <cell r="E249">
            <v>-5.7762680597045202E-3</v>
          </cell>
          <cell r="F249">
            <v>1.00487021646567</v>
          </cell>
        </row>
        <row r="250">
          <cell r="A250" t="str">
            <v>CHF_TOIS_EOD</v>
          </cell>
          <cell r="C250">
            <v>42585</v>
          </cell>
          <cell r="E250">
            <v>-5.7445405719586101E-3</v>
          </cell>
          <cell r="F250">
            <v>1.0053179538710699</v>
          </cell>
        </row>
        <row r="251">
          <cell r="A251" t="str">
            <v>CHF_TOIS_EOD</v>
          </cell>
          <cell r="C251">
            <v>42618</v>
          </cell>
          <cell r="E251">
            <v>-5.8679662884227003E-3</v>
          </cell>
          <cell r="F251">
            <v>1.0059660759489799</v>
          </cell>
        </row>
        <row r="252">
          <cell r="A252" t="str">
            <v>CHF_TOIS_EOD</v>
          </cell>
          <cell r="C252">
            <v>42709</v>
          </cell>
          <cell r="E252">
            <v>-5.7965767450900603E-3</v>
          </cell>
          <cell r="F252">
            <v>1.0073480210169601</v>
          </cell>
        </row>
        <row r="253">
          <cell r="A253" t="str">
            <v>CHF_TOIS_EOD</v>
          </cell>
          <cell r="C253">
            <v>42797</v>
          </cell>
          <cell r="E253">
            <v>-5.7761838354640997E-3</v>
          </cell>
          <cell r="F253">
            <v>1.00872586381953</v>
          </cell>
        </row>
        <row r="254">
          <cell r="A254" t="str">
            <v>CHF_TOIS_EOD</v>
          </cell>
          <cell r="C254">
            <v>42892</v>
          </cell>
          <cell r="E254">
            <v>-5.69130378868126E-3</v>
          </cell>
          <cell r="F254">
            <v>1.0100922293266199</v>
          </cell>
        </row>
        <row r="255">
          <cell r="A255" t="str">
            <v>CHF_TOIS_EOD</v>
          </cell>
          <cell r="C255">
            <v>42982</v>
          </cell>
          <cell r="E255">
            <v>-5.6783223026968602E-3</v>
          </cell>
          <cell r="F255">
            <v>1.01148431698538</v>
          </cell>
        </row>
        <row r="256">
          <cell r="A256" t="str">
            <v>CHF_TOIS_EOD</v>
          </cell>
          <cell r="C256">
            <v>43346</v>
          </cell>
          <cell r="E256">
            <v>-5.1114854587404899E-3</v>
          </cell>
          <cell r="F256">
            <v>1.0154952947395499</v>
          </cell>
        </row>
        <row r="257">
          <cell r="A257" t="str">
            <v>CHF_TOIS_EOD</v>
          </cell>
          <cell r="C257">
            <v>43711</v>
          </cell>
          <cell r="E257">
            <v>-4.4533738722714001E-3</v>
          </cell>
          <cell r="F257">
            <v>1.0180103637342399</v>
          </cell>
        </row>
        <row r="258">
          <cell r="A258" t="str">
            <v>CHF_TOIS_EOD</v>
          </cell>
          <cell r="C258">
            <v>44077</v>
          </cell>
          <cell r="E258">
            <v>-3.5724261554921002E-3</v>
          </cell>
          <cell r="F258">
            <v>1.01806246896686</v>
          </cell>
        </row>
        <row r="259">
          <cell r="A259" t="str">
            <v>CHF_TOIS_EOD</v>
          </cell>
          <cell r="C259">
            <v>44442</v>
          </cell>
          <cell r="E259">
            <v>-2.4517832862454699E-3</v>
          </cell>
          <cell r="F259">
            <v>1.0148467020005401</v>
          </cell>
        </row>
        <row r="260">
          <cell r="A260" t="str">
            <v>CHF_TOIS_EOD</v>
          </cell>
          <cell r="C260">
            <v>44809</v>
          </cell>
          <cell r="E260">
            <v>-1.3070167868156799E-3</v>
          </cell>
          <cell r="F260">
            <v>1.0092127815287</v>
          </cell>
        </row>
        <row r="261">
          <cell r="A261" t="str">
            <v>CHF_TOIS_EOD</v>
          </cell>
          <cell r="C261">
            <v>45173</v>
          </cell>
          <cell r="E261">
            <v>-2.3410272109844E-4</v>
          </cell>
          <cell r="F261">
            <v>1.0018777894980899</v>
          </cell>
        </row>
        <row r="262">
          <cell r="A262" t="str">
            <v>CHF_TOIS_EOD</v>
          </cell>
          <cell r="C262">
            <v>45538</v>
          </cell>
          <cell r="E262">
            <v>6.8959861039492995E-4</v>
          </cell>
          <cell r="F262">
            <v>0.99380344428228695</v>
          </cell>
        </row>
        <row r="263">
          <cell r="A263" t="str">
            <v>CHF_TOIS_EOD</v>
          </cell>
          <cell r="C263">
            <v>45903</v>
          </cell>
          <cell r="E263">
            <v>1.5141885913556299E-3</v>
          </cell>
          <cell r="F263">
            <v>0.98495174562522703</v>
          </cell>
        </row>
        <row r="264">
          <cell r="A264" t="str">
            <v>CHF_TOIS_EOD</v>
          </cell>
          <cell r="C264">
            <v>46633</v>
          </cell>
          <cell r="E264">
            <v>2.9929839274792799E-3</v>
          </cell>
          <cell r="F264">
            <v>0.96468196017839303</v>
          </cell>
        </row>
        <row r="265">
          <cell r="A265" t="str">
            <v>CHF_TOIS_EOD</v>
          </cell>
          <cell r="C265">
            <v>47729</v>
          </cell>
          <cell r="E265">
            <v>4.5378981759140102E-3</v>
          </cell>
          <cell r="F265">
            <v>0.93412682015042603</v>
          </cell>
        </row>
        <row r="266">
          <cell r="A266" t="str">
            <v>CHF_TOIS_EOD</v>
          </cell>
          <cell r="C266">
            <v>49555</v>
          </cell>
          <cell r="E266">
            <v>6.0983775082711598E-3</v>
          </cell>
          <cell r="F266">
            <v>0.885073571889892</v>
          </cell>
        </row>
        <row r="267">
          <cell r="A267" t="str">
            <v>CHF_TOIS_EOD</v>
          </cell>
          <cell r="C267">
            <v>51382</v>
          </cell>
          <cell r="E267">
            <v>6.8360678028212699E-3</v>
          </cell>
          <cell r="F267">
            <v>0.84276236257707304</v>
          </cell>
        </row>
        <row r="268">
          <cell r="A268" t="str">
            <v>CHF_TOIS_EOD</v>
          </cell>
          <cell r="C268">
            <v>53209</v>
          </cell>
          <cell r="E268">
            <v>7.0824313998618703E-3</v>
          </cell>
          <cell r="F268">
            <v>0.80840962674218597</v>
          </cell>
        </row>
        <row r="269">
          <cell r="A269" t="str">
            <v>CHF_TOIS_EOD</v>
          </cell>
          <cell r="C269">
            <v>56860</v>
          </cell>
          <cell r="E269">
            <v>6.8894415720280799E-3</v>
          </cell>
          <cell r="F269">
            <v>0.758961547390266</v>
          </cell>
        </row>
        <row r="270">
          <cell r="A270" t="str">
            <v>CZK_PRIBOR_3M_EOD</v>
          </cell>
          <cell r="C270">
            <v>42341</v>
          </cell>
          <cell r="E270">
            <v>3.1418247318771202E-3</v>
          </cell>
          <cell r="F270">
            <v>0.99919980060422897</v>
          </cell>
        </row>
        <row r="271">
          <cell r="A271" t="str">
            <v>CZK_PRIBOR_3M_EOD</v>
          </cell>
          <cell r="C271">
            <v>42432</v>
          </cell>
          <cell r="E271">
            <v>3.1509937711797702E-3</v>
          </cell>
          <cell r="F271">
            <v>0.99841281473784604</v>
          </cell>
        </row>
        <row r="272">
          <cell r="A272" t="str">
            <v>CZK_PRIBOR_3M_EOD</v>
          </cell>
          <cell r="C272">
            <v>42524</v>
          </cell>
          <cell r="E272">
            <v>2.9953870937442801E-3</v>
          </cell>
          <cell r="F272">
            <v>0.99773755815305798</v>
          </cell>
        </row>
        <row r="273">
          <cell r="A273" t="str">
            <v>CZK_PRIBOR_3M_EOD</v>
          </cell>
          <cell r="C273">
            <v>42618</v>
          </cell>
          <cell r="E273">
            <v>2.86287842595986E-3</v>
          </cell>
          <cell r="F273">
            <v>0.99710211107107505</v>
          </cell>
        </row>
        <row r="274">
          <cell r="A274" t="str">
            <v>CZK_PRIBOR_3M_EOD</v>
          </cell>
          <cell r="C274">
            <v>42982</v>
          </cell>
          <cell r="E274">
            <v>2.6654057029416702E-3</v>
          </cell>
          <cell r="F274">
            <v>0.99465431795188097</v>
          </cell>
        </row>
        <row r="275">
          <cell r="A275" t="str">
            <v>CZK_PRIBOR_3M_EOD</v>
          </cell>
          <cell r="C275">
            <v>43346</v>
          </cell>
          <cell r="E275">
            <v>3.4722462257256899E-3</v>
          </cell>
          <cell r="F275">
            <v>0.98960908478405496</v>
          </cell>
        </row>
        <row r="276">
          <cell r="A276" t="str">
            <v>CZK_PRIBOR_3M_EOD</v>
          </cell>
          <cell r="C276">
            <v>43711</v>
          </cell>
          <cell r="E276">
            <v>4.5545284068134904E-3</v>
          </cell>
          <cell r="F276">
            <v>0.98191007503260797</v>
          </cell>
        </row>
        <row r="277">
          <cell r="A277" t="str">
            <v>CZK_PRIBOR_3M_EOD</v>
          </cell>
          <cell r="C277">
            <v>44077</v>
          </cell>
          <cell r="E277">
            <v>5.6843191570256999E-3</v>
          </cell>
          <cell r="F277">
            <v>0.97191795191591601</v>
          </cell>
        </row>
        <row r="278">
          <cell r="A278" t="str">
            <v>CZK_PRIBOR_3M_EOD</v>
          </cell>
          <cell r="C278">
            <v>44442</v>
          </cell>
          <cell r="E278">
            <v>6.7280112466933497E-3</v>
          </cell>
          <cell r="F278">
            <v>0.96036505698569197</v>
          </cell>
        </row>
        <row r="279">
          <cell r="A279" t="str">
            <v>CZK_PRIBOR_3M_EOD</v>
          </cell>
          <cell r="C279">
            <v>44809</v>
          </cell>
          <cell r="E279">
            <v>7.6835752654384297E-3</v>
          </cell>
          <cell r="F279">
            <v>0.94751611694214599</v>
          </cell>
        </row>
        <row r="280">
          <cell r="A280" t="str">
            <v>CZK_PRIBOR_3M_EOD</v>
          </cell>
          <cell r="C280">
            <v>45173</v>
          </cell>
          <cell r="E280">
            <v>8.7073515349829697E-3</v>
          </cell>
          <cell r="F280">
            <v>0.93260074938161397</v>
          </cell>
        </row>
        <row r="281">
          <cell r="A281" t="str">
            <v>CZK_PRIBOR_3M_EOD</v>
          </cell>
          <cell r="C281">
            <v>45538</v>
          </cell>
          <cell r="E281">
            <v>9.7615120354940608E-3</v>
          </cell>
          <cell r="F281">
            <v>0.91577248162784797</v>
          </cell>
        </row>
        <row r="282">
          <cell r="A282" t="str">
            <v>CZK_PRIBOR_3M_EOD</v>
          </cell>
          <cell r="C282">
            <v>45903</v>
          </cell>
          <cell r="E282">
            <v>1.07038144443666E-2</v>
          </cell>
          <cell r="F282">
            <v>0.898359665907004</v>
          </cell>
        </row>
        <row r="283">
          <cell r="A283" t="str">
            <v>CZK_PRIBOR_3M_EOD</v>
          </cell>
          <cell r="C283">
            <v>46633</v>
          </cell>
          <cell r="E283">
            <v>1.2142335140961601E-2</v>
          </cell>
          <cell r="F283">
            <v>0.86426628705773301</v>
          </cell>
        </row>
        <row r="284">
          <cell r="A284" t="str">
            <v>CZK_PRIBOR_3M_EOD</v>
          </cell>
          <cell r="C284">
            <v>47729</v>
          </cell>
          <cell r="E284">
            <v>1.40031776509789E-2</v>
          </cell>
          <cell r="F284">
            <v>0.81035905319298196</v>
          </cell>
        </row>
        <row r="285">
          <cell r="A285" t="str">
            <v>CZK_PRIBOR_3M_EOD</v>
          </cell>
          <cell r="C285">
            <v>49555</v>
          </cell>
          <cell r="E285">
            <v>1.5852354621053801E-2</v>
          </cell>
          <cell r="F285">
            <v>0.72807507567094798</v>
          </cell>
        </row>
        <row r="286">
          <cell r="A286" t="str">
            <v>CZK_PRIBOR_3M_EOD</v>
          </cell>
          <cell r="C286">
            <v>51382</v>
          </cell>
          <cell r="E286">
            <v>1.58593665970185E-2</v>
          </cell>
          <cell r="F286">
            <v>0.67241792618574203</v>
          </cell>
        </row>
        <row r="287">
          <cell r="A287" t="str">
            <v>CZK_PRIBOR_3M_EOD</v>
          </cell>
          <cell r="C287">
            <v>53209</v>
          </cell>
          <cell r="E287">
            <v>1.58938745417684E-2</v>
          </cell>
          <cell r="F287">
            <v>0.62045932421072703</v>
          </cell>
        </row>
        <row r="288">
          <cell r="A288" t="str">
            <v>CZK_PRIBOR_6M_EOD</v>
          </cell>
          <cell r="C288">
            <v>42432</v>
          </cell>
          <cell r="E288">
            <v>3.9502736336967702E-3</v>
          </cell>
          <cell r="F288">
            <v>0.99801061064528995</v>
          </cell>
        </row>
        <row r="289">
          <cell r="A289" t="str">
            <v>CZK_PRIBOR_6M_EOD</v>
          </cell>
          <cell r="C289">
            <v>42618</v>
          </cell>
          <cell r="E289">
            <v>3.6704281479188298E-3</v>
          </cell>
          <cell r="F289">
            <v>0.996286205271667</v>
          </cell>
        </row>
        <row r="290">
          <cell r="A290" t="str">
            <v>CZK_PRIBOR_6M_EOD</v>
          </cell>
          <cell r="C290">
            <v>42797</v>
          </cell>
          <cell r="E290">
            <v>3.5199977185226298E-3</v>
          </cell>
          <cell r="F290">
            <v>0.99471952864137303</v>
          </cell>
        </row>
        <row r="291">
          <cell r="A291" t="str">
            <v>CZK_PRIBOR_6M_EOD</v>
          </cell>
          <cell r="C291">
            <v>42982</v>
          </cell>
          <cell r="E291">
            <v>3.5930482419348499E-3</v>
          </cell>
          <cell r="F291">
            <v>0.992800568613184</v>
          </cell>
        </row>
        <row r="292">
          <cell r="A292" t="str">
            <v>CZK_PRIBOR_6M_EOD</v>
          </cell>
          <cell r="C292">
            <v>43346</v>
          </cell>
          <cell r="E292">
            <v>4.40188737353362E-3</v>
          </cell>
          <cell r="F292">
            <v>0.98684544546604702</v>
          </cell>
        </row>
        <row r="293">
          <cell r="A293" t="str">
            <v>CZK_PRIBOR_6M_EOD</v>
          </cell>
          <cell r="C293">
            <v>43711</v>
          </cell>
          <cell r="E293">
            <v>5.5512702509446102E-3</v>
          </cell>
          <cell r="F293">
            <v>0.97799501325405502</v>
          </cell>
        </row>
        <row r="294">
          <cell r="A294" t="str">
            <v>CZK_PRIBOR_6M_EOD</v>
          </cell>
          <cell r="C294">
            <v>44077</v>
          </cell>
          <cell r="E294">
            <v>6.7571195771162799E-3</v>
          </cell>
          <cell r="F294">
            <v>0.96670717390779604</v>
          </cell>
        </row>
        <row r="295">
          <cell r="A295" t="str">
            <v>CZK_PRIBOR_6M_EOD</v>
          </cell>
          <cell r="C295">
            <v>44442</v>
          </cell>
          <cell r="E295">
            <v>7.8532577227686008E-3</v>
          </cell>
          <cell r="F295">
            <v>0.95389124838542105</v>
          </cell>
        </row>
        <row r="296">
          <cell r="A296" t="str">
            <v>CZK_PRIBOR_6M_EOD</v>
          </cell>
          <cell r="C296">
            <v>44809</v>
          </cell>
          <cell r="E296">
            <v>8.8910012583646499E-3</v>
          </cell>
          <cell r="F296">
            <v>0.93952282813063703</v>
          </cell>
        </row>
        <row r="297">
          <cell r="A297" t="str">
            <v>CZK_PRIBOR_6M_EOD</v>
          </cell>
          <cell r="C297">
            <v>45173</v>
          </cell>
          <cell r="E297">
            <v>9.9552295356414699E-3</v>
          </cell>
          <cell r="F297">
            <v>0.92332110772047504</v>
          </cell>
        </row>
        <row r="298">
          <cell r="A298" t="str">
            <v>CZK_PRIBOR_6M_EOD</v>
          </cell>
          <cell r="C298">
            <v>45538</v>
          </cell>
          <cell r="E298">
            <v>1.10822923712127E-2</v>
          </cell>
          <cell r="F298">
            <v>0.90493474435667998</v>
          </cell>
        </row>
        <row r="299">
          <cell r="A299" t="str">
            <v>CZK_PRIBOR_6M_EOD</v>
          </cell>
          <cell r="C299">
            <v>45903</v>
          </cell>
          <cell r="E299">
            <v>1.19781548173549E-2</v>
          </cell>
          <cell r="F299">
            <v>0.88696865768713096</v>
          </cell>
        </row>
        <row r="300">
          <cell r="A300" t="str">
            <v>CZK_PRIBOR_6M_EOD</v>
          </cell>
          <cell r="C300">
            <v>46633</v>
          </cell>
          <cell r="E300">
            <v>1.34677905181285E-2</v>
          </cell>
          <cell r="F300">
            <v>0.85061303100600605</v>
          </cell>
        </row>
        <row r="301">
          <cell r="A301" t="str">
            <v>CZK_PRIBOR_6M_EOD</v>
          </cell>
          <cell r="C301">
            <v>47729</v>
          </cell>
          <cell r="E301">
            <v>1.52122265774573E-2</v>
          </cell>
          <cell r="F301">
            <v>0.79577924447682102</v>
          </cell>
        </row>
        <row r="302">
          <cell r="A302" t="str">
            <v>CZK_PRIBOR_6M_EOD</v>
          </cell>
          <cell r="C302">
            <v>49555</v>
          </cell>
          <cell r="E302">
            <v>1.68745689344574E-2</v>
          </cell>
          <cell r="F302">
            <v>0.71332724083301202</v>
          </cell>
        </row>
        <row r="303">
          <cell r="A303" t="str">
            <v>CZK_PRIBOR_6M_EOD</v>
          </cell>
          <cell r="C303">
            <v>51382</v>
          </cell>
          <cell r="E303">
            <v>1.6727707701617901E-2</v>
          </cell>
          <cell r="F303">
            <v>0.657963936726084</v>
          </cell>
        </row>
        <row r="304">
          <cell r="A304" t="str">
            <v>CZK_PRIBOR_6M_EOD</v>
          </cell>
          <cell r="C304">
            <v>53209</v>
          </cell>
          <cell r="E304">
            <v>1.6656408158517599E-2</v>
          </cell>
          <cell r="F304">
            <v>0.60641287155507695</v>
          </cell>
        </row>
        <row r="305">
          <cell r="A305" t="str">
            <v>CZK_PRIBOR_EOD</v>
          </cell>
          <cell r="C305">
            <v>42249</v>
          </cell>
          <cell r="E305">
            <v>1.4194416844029499E-3</v>
          </cell>
          <cell r="F305">
            <v>0.99999611112623399</v>
          </cell>
        </row>
        <row r="306">
          <cell r="A306" t="str">
            <v>CZK_PRIBOR_EOD</v>
          </cell>
          <cell r="C306">
            <v>42250</v>
          </cell>
          <cell r="E306">
            <v>1.4194416844152901E-3</v>
          </cell>
          <cell r="F306">
            <v>0.99999222226759199</v>
          </cell>
        </row>
        <row r="307">
          <cell r="A307" t="str">
            <v>CZK_PRIBOR_EOD</v>
          </cell>
          <cell r="C307">
            <v>42257</v>
          </cell>
          <cell r="E307">
            <v>1.4982846059457999E-3</v>
          </cell>
          <cell r="F307">
            <v>0.99996305667843899</v>
          </cell>
        </row>
        <row r="308">
          <cell r="A308" t="str">
            <v>CZK_PRIBOR_EOD</v>
          </cell>
          <cell r="C308">
            <v>42282</v>
          </cell>
          <cell r="E308">
            <v>2.1826377322307902E-3</v>
          </cell>
          <cell r="F308">
            <v>0.99979670646721697</v>
          </cell>
        </row>
        <row r="309">
          <cell r="A309" t="str">
            <v>CZK_PRIBOR_EOD</v>
          </cell>
          <cell r="C309">
            <v>42311</v>
          </cell>
          <cell r="E309">
            <v>2.4006673561561601E-3</v>
          </cell>
          <cell r="F309">
            <v>0.99958572407313595</v>
          </cell>
        </row>
        <row r="310">
          <cell r="A310" t="str">
            <v>CZK_PRIBOR_EOD</v>
          </cell>
          <cell r="C310">
            <v>42341</v>
          </cell>
          <cell r="E310">
            <v>3.1047842362323498E-3</v>
          </cell>
          <cell r="F310">
            <v>0.99920923081200297</v>
          </cell>
        </row>
        <row r="311">
          <cell r="A311" t="str">
            <v>CZK_PRIBOR_EOD</v>
          </cell>
          <cell r="C311">
            <v>42432</v>
          </cell>
          <cell r="E311">
            <v>3.13227221631599E-3</v>
          </cell>
          <cell r="F311">
            <v>0.998422237518237</v>
          </cell>
        </row>
        <row r="312">
          <cell r="A312" t="str">
            <v>CZK_PRIBOR_EOD</v>
          </cell>
          <cell r="C312">
            <v>42524</v>
          </cell>
          <cell r="E312">
            <v>2.9829060571693001E-3</v>
          </cell>
          <cell r="F312">
            <v>0.99774697456053896</v>
          </cell>
        </row>
        <row r="313">
          <cell r="A313" t="str">
            <v>CZK_PRIBOR_EOD</v>
          </cell>
          <cell r="C313">
            <v>42618</v>
          </cell>
          <cell r="E313">
            <v>2.8535682473259101E-3</v>
          </cell>
          <cell r="F313">
            <v>0.99711152148135795</v>
          </cell>
        </row>
        <row r="314">
          <cell r="A314" t="str">
            <v>CZK_PRIBOR_EOD</v>
          </cell>
          <cell r="C314">
            <v>42982</v>
          </cell>
          <cell r="E314">
            <v>3.5882349194965601E-3</v>
          </cell>
          <cell r="F314">
            <v>0.992810178367178</v>
          </cell>
        </row>
        <row r="315">
          <cell r="A315" t="str">
            <v>CZK_PRIBOR_EOD</v>
          </cell>
          <cell r="C315">
            <v>43346</v>
          </cell>
          <cell r="E315">
            <v>4.3999526075568897E-3</v>
          </cell>
          <cell r="F315">
            <v>0.98685118912073799</v>
          </cell>
        </row>
        <row r="316">
          <cell r="A316" t="str">
            <v>CZK_PRIBOR_EOD</v>
          </cell>
          <cell r="C316">
            <v>43711</v>
          </cell>
          <cell r="E316">
            <v>5.5503408344006102E-3</v>
          </cell>
          <cell r="F316">
            <v>0.97799865659076601</v>
          </cell>
        </row>
        <row r="317">
          <cell r="A317" t="str">
            <v>CZK_PRIBOR_EOD</v>
          </cell>
          <cell r="C317">
            <v>44077</v>
          </cell>
          <cell r="E317">
            <v>6.75636604289645E-3</v>
          </cell>
          <cell r="F317">
            <v>0.96671082413234799</v>
          </cell>
        </row>
        <row r="318">
          <cell r="A318" t="str">
            <v>CZK_PRIBOR_EOD</v>
          </cell>
          <cell r="C318">
            <v>44442</v>
          </cell>
          <cell r="E318">
            <v>7.8526320200833204E-3</v>
          </cell>
          <cell r="F318">
            <v>0.95389483604690795</v>
          </cell>
        </row>
        <row r="319">
          <cell r="A319" t="str">
            <v>CZK_PRIBOR_EOD</v>
          </cell>
          <cell r="C319">
            <v>44809</v>
          </cell>
          <cell r="E319">
            <v>8.8904651536955304E-3</v>
          </cell>
          <cell r="F319">
            <v>0.93952636219502195</v>
          </cell>
        </row>
        <row r="320">
          <cell r="A320" t="str">
            <v>CZK_PRIBOR_EOD</v>
          </cell>
          <cell r="C320">
            <v>45173</v>
          </cell>
          <cell r="E320">
            <v>9.9555104944149507E-3</v>
          </cell>
          <cell r="F320">
            <v>0.92331902884785499</v>
          </cell>
        </row>
        <row r="321">
          <cell r="A321" t="str">
            <v>CZK_PRIBOR_EOD</v>
          </cell>
          <cell r="C321">
            <v>45538</v>
          </cell>
          <cell r="E321">
            <v>1.10825402589403E-2</v>
          </cell>
          <cell r="F321">
            <v>0.90493272238607503</v>
          </cell>
        </row>
        <row r="322">
          <cell r="A322" t="str">
            <v>CZK_PRIBOR_EOD</v>
          </cell>
          <cell r="C322">
            <v>45903</v>
          </cell>
          <cell r="E322">
            <v>1.1978378133235001E-2</v>
          </cell>
          <cell r="F322">
            <v>0.886966674234139</v>
          </cell>
        </row>
        <row r="323">
          <cell r="A323" t="str">
            <v>CZK_PRIBOR_EOD</v>
          </cell>
          <cell r="C323">
            <v>46633</v>
          </cell>
          <cell r="E323">
            <v>1.3467976594814499E-2</v>
          </cell>
          <cell r="F323">
            <v>0.85061112948887596</v>
          </cell>
        </row>
        <row r="324">
          <cell r="A324" t="str">
            <v>CZK_PRIBOR_EOD</v>
          </cell>
          <cell r="C324">
            <v>47729</v>
          </cell>
          <cell r="E324">
            <v>1.5212499271745601E-2</v>
          </cell>
          <cell r="F324">
            <v>0.79577598584947595</v>
          </cell>
        </row>
        <row r="325">
          <cell r="A325" t="str">
            <v>CZK_PRIBOR_EOD</v>
          </cell>
          <cell r="C325">
            <v>49555</v>
          </cell>
          <cell r="E325">
            <v>1.6874605113032001E-2</v>
          </cell>
          <cell r="F325">
            <v>0.71332672419501097</v>
          </cell>
        </row>
        <row r="326">
          <cell r="A326" t="str">
            <v>CZK_PRIBOR_EOD</v>
          </cell>
          <cell r="C326">
            <v>51382</v>
          </cell>
          <cell r="E326">
            <v>1.6727774106996902E-2</v>
          </cell>
          <cell r="F326">
            <v>0.65796284334103405</v>
          </cell>
        </row>
        <row r="327">
          <cell r="A327" t="str">
            <v>CZK_PRIBOR_EOD</v>
          </cell>
          <cell r="C327">
            <v>53209</v>
          </cell>
          <cell r="E327">
            <v>1.6656502355136198E-2</v>
          </cell>
          <cell r="F327">
            <v>0.60641115617475705</v>
          </cell>
        </row>
        <row r="328">
          <cell r="A328" t="str">
            <v>DKK_CIBOR_3M_EOD</v>
          </cell>
          <cell r="C328">
            <v>42341</v>
          </cell>
          <cell r="E328">
            <v>-6.5908192467168997E-4</v>
          </cell>
          <cell r="F328">
            <v>1.0001679445641101</v>
          </cell>
        </row>
        <row r="329">
          <cell r="A329" t="str">
            <v>DKK_CIBOR_3M_EOD</v>
          </cell>
          <cell r="C329">
            <v>42354</v>
          </cell>
          <cell r="E329">
            <v>-2.7823426274375002E-4</v>
          </cell>
          <cell r="F329">
            <v>1.0000808055436401</v>
          </cell>
        </row>
        <row r="330">
          <cell r="A330" t="str">
            <v>DKK_CIBOR_3M_EOD</v>
          </cell>
          <cell r="C330">
            <v>42445</v>
          </cell>
          <cell r="E330">
            <v>1.1254461594626001E-4</v>
          </cell>
          <cell r="F330">
            <v>0.99993925858636501</v>
          </cell>
        </row>
        <row r="331">
          <cell r="A331" t="str">
            <v>DKK_CIBOR_3M_EOD</v>
          </cell>
          <cell r="C331">
            <v>42536</v>
          </cell>
          <cell r="E331">
            <v>4.1331777274341002E-4</v>
          </cell>
          <cell r="F331">
            <v>0.99967392846452596</v>
          </cell>
        </row>
        <row r="332">
          <cell r="A332" t="str">
            <v>DKK_CIBOR_3M_EOD</v>
          </cell>
          <cell r="C332">
            <v>42634</v>
          </cell>
          <cell r="E332">
            <v>6.9184859386966005E-4</v>
          </cell>
          <cell r="F332">
            <v>0.99926861401175404</v>
          </cell>
        </row>
        <row r="333">
          <cell r="A333" t="str">
            <v>DKK_CIBOR_3M_EOD</v>
          </cell>
          <cell r="C333">
            <v>42725</v>
          </cell>
          <cell r="E333">
            <v>9.4178043416529998E-4</v>
          </cell>
          <cell r="F333">
            <v>0.99876999196542304</v>
          </cell>
        </row>
        <row r="334">
          <cell r="A334" t="str">
            <v>DKK_CIBOR_3M_EOD</v>
          </cell>
          <cell r="C334">
            <v>42809</v>
          </cell>
          <cell r="E334">
            <v>1.18018512760609E-3</v>
          </cell>
          <cell r="F334">
            <v>0.99818771579957399</v>
          </cell>
        </row>
        <row r="335">
          <cell r="A335" t="str">
            <v>DKK_CIBOR_3M_EOD</v>
          </cell>
          <cell r="C335">
            <v>42982</v>
          </cell>
          <cell r="E335">
            <v>1.61733955574393E-3</v>
          </cell>
          <cell r="F335">
            <v>0.99675287995388595</v>
          </cell>
        </row>
        <row r="336">
          <cell r="A336" t="str">
            <v>DKK_CIBOR_3M_EOD</v>
          </cell>
          <cell r="C336">
            <v>43346</v>
          </cell>
          <cell r="E336">
            <v>2.9603022576651199E-3</v>
          </cell>
          <cell r="F336">
            <v>0.99113429616687598</v>
          </cell>
        </row>
        <row r="337">
          <cell r="A337" t="str">
            <v>DKK_CIBOR_3M_EOD</v>
          </cell>
          <cell r="C337">
            <v>43711</v>
          </cell>
          <cell r="E337">
            <v>4.6766588947761301E-3</v>
          </cell>
          <cell r="F337">
            <v>0.98142952238391801</v>
          </cell>
        </row>
        <row r="338">
          <cell r="A338" t="str">
            <v>DKK_CIBOR_3M_EOD</v>
          </cell>
          <cell r="C338">
            <v>44077</v>
          </cell>
          <cell r="E338">
            <v>6.3886764315125499E-3</v>
          </cell>
          <cell r="F338">
            <v>0.96849360897202896</v>
          </cell>
        </row>
        <row r="339">
          <cell r="A339" t="str">
            <v>DKK_CIBOR_3M_EOD</v>
          </cell>
          <cell r="C339">
            <v>44442</v>
          </cell>
          <cell r="E339">
            <v>7.9904132115780901E-3</v>
          </cell>
          <cell r="F339">
            <v>0.95310515018212705</v>
          </cell>
        </row>
        <row r="340">
          <cell r="A340" t="str">
            <v>DKK_CIBOR_3M_EOD</v>
          </cell>
          <cell r="C340">
            <v>44809</v>
          </cell>
          <cell r="E340">
            <v>9.5628683385207292E-3</v>
          </cell>
          <cell r="F340">
            <v>0.93510423352090599</v>
          </cell>
        </row>
        <row r="341">
          <cell r="A341" t="str">
            <v>DKK_CIBOR_3M_EOD</v>
          </cell>
          <cell r="C341">
            <v>45173</v>
          </cell>
          <cell r="E341">
            <v>1.1063507111737999E-2</v>
          </cell>
          <cell r="F341">
            <v>0.91515702923037801</v>
          </cell>
        </row>
        <row r="342">
          <cell r="A342" t="str">
            <v>DKK_CIBOR_3M_EOD</v>
          </cell>
          <cell r="C342">
            <v>45538</v>
          </cell>
          <cell r="E342">
            <v>1.24500227499941E-2</v>
          </cell>
          <cell r="F342">
            <v>0.89384691632493596</v>
          </cell>
        </row>
        <row r="343">
          <cell r="A343" t="str">
            <v>DKK_CIBOR_3M_EOD</v>
          </cell>
          <cell r="C343">
            <v>45903</v>
          </cell>
          <cell r="E343">
            <v>1.3667590405855801E-2</v>
          </cell>
          <cell r="F343">
            <v>0.87208957970982703</v>
          </cell>
        </row>
        <row r="344">
          <cell r="A344" t="str">
            <v>DKK_CIBOR_3M_EOD</v>
          </cell>
          <cell r="C344">
            <v>46633</v>
          </cell>
          <cell r="E344">
            <v>1.5616704160193199E-2</v>
          </cell>
          <cell r="F344">
            <v>0.82893430142731395</v>
          </cell>
        </row>
        <row r="345">
          <cell r="A345" t="str">
            <v>DKK_CIBOR_3M_EOD</v>
          </cell>
          <cell r="C345">
            <v>47729</v>
          </cell>
          <cell r="E345">
            <v>1.7666018634837601E-2</v>
          </cell>
          <cell r="F345">
            <v>0.76699064095895597</v>
          </cell>
        </row>
        <row r="346">
          <cell r="A346" t="str">
            <v>DKK_CIBOR_3M_EOD</v>
          </cell>
          <cell r="C346">
            <v>49555</v>
          </cell>
          <cell r="E346">
            <v>1.92695471812841E-2</v>
          </cell>
          <cell r="F346">
            <v>0.67993335254043397</v>
          </cell>
        </row>
        <row r="347">
          <cell r="A347" t="str">
            <v>DKK_CIBOR_3M_EOD</v>
          </cell>
          <cell r="C347">
            <v>51382</v>
          </cell>
          <cell r="E347">
            <v>1.9509264180623601E-2</v>
          </cell>
          <cell r="F347">
            <v>0.61372234812168902</v>
          </cell>
        </row>
        <row r="348">
          <cell r="A348" t="str">
            <v>DKK_CIBOR_3M_EOD</v>
          </cell>
          <cell r="C348">
            <v>53209</v>
          </cell>
          <cell r="E348">
            <v>1.9495204088900101E-2</v>
          </cell>
          <cell r="F348">
            <v>0.556858756968032</v>
          </cell>
        </row>
        <row r="349">
          <cell r="A349" t="str">
            <v>DKK_CIBOR_6M_EOD</v>
          </cell>
          <cell r="C349">
            <v>42432</v>
          </cell>
          <cell r="E349">
            <v>1.5962395814196301E-3</v>
          </cell>
          <cell r="F349">
            <v>0.99919564398847105</v>
          </cell>
        </row>
        <row r="350">
          <cell r="A350" t="str">
            <v>DKK_CIBOR_6M_EOD</v>
          </cell>
          <cell r="C350">
            <v>42618</v>
          </cell>
          <cell r="E350">
            <v>2.2139746142770399E-3</v>
          </cell>
          <cell r="F350">
            <v>0.99775821353140604</v>
          </cell>
        </row>
        <row r="351">
          <cell r="A351" t="str">
            <v>DKK_CIBOR_6M_EOD</v>
          </cell>
          <cell r="C351">
            <v>42982</v>
          </cell>
          <cell r="E351">
            <v>3.2243391249401E-3</v>
          </cell>
          <cell r="F351">
            <v>0.99353696238179801</v>
          </cell>
        </row>
        <row r="352">
          <cell r="A352" t="str">
            <v>DKK_CIBOR_6M_EOD</v>
          </cell>
          <cell r="C352">
            <v>43346</v>
          </cell>
          <cell r="E352">
            <v>4.4776733570087201E-3</v>
          </cell>
          <cell r="F352">
            <v>0.98662048924746604</v>
          </cell>
        </row>
        <row r="353">
          <cell r="A353" t="str">
            <v>DKK_CIBOR_6M_EOD</v>
          </cell>
          <cell r="C353">
            <v>43711</v>
          </cell>
          <cell r="E353">
            <v>6.1161910990880199E-3</v>
          </cell>
          <cell r="F353">
            <v>0.97578301843719095</v>
          </cell>
        </row>
        <row r="354">
          <cell r="A354" t="str">
            <v>DKK_CIBOR_6M_EOD</v>
          </cell>
          <cell r="C354">
            <v>44077</v>
          </cell>
          <cell r="E354">
            <v>7.7736849957387496E-3</v>
          </cell>
          <cell r="F354">
            <v>0.96179531998052803</v>
          </cell>
        </row>
        <row r="355">
          <cell r="A355" t="str">
            <v>DKK_CIBOR_6M_EOD</v>
          </cell>
          <cell r="C355">
            <v>44442</v>
          </cell>
          <cell r="E355">
            <v>9.3204923352101007E-3</v>
          </cell>
          <cell r="F355">
            <v>0.94551540656639099</v>
          </cell>
        </row>
        <row r="356">
          <cell r="A356" t="str">
            <v>DKK_CIBOR_6M_EOD</v>
          </cell>
          <cell r="C356">
            <v>44809</v>
          </cell>
          <cell r="E356">
            <v>1.08385788685262E-2</v>
          </cell>
          <cell r="F356">
            <v>0.92677151609651998</v>
          </cell>
        </row>
        <row r="357">
          <cell r="A357" t="str">
            <v>DKK_CIBOR_6M_EOD</v>
          </cell>
          <cell r="C357">
            <v>45173</v>
          </cell>
          <cell r="E357">
            <v>1.22842178611844E-2</v>
          </cell>
          <cell r="F357">
            <v>0.90624823550285705</v>
          </cell>
        </row>
        <row r="358">
          <cell r="A358" t="str">
            <v>DKK_CIBOR_6M_EOD</v>
          </cell>
          <cell r="C358">
            <v>45538</v>
          </cell>
          <cell r="E358">
            <v>1.36107624828008E-2</v>
          </cell>
          <cell r="F358">
            <v>0.88454374335334096</v>
          </cell>
        </row>
        <row r="359">
          <cell r="A359" t="str">
            <v>DKK_CIBOR_6M_EOD</v>
          </cell>
          <cell r="C359">
            <v>45903</v>
          </cell>
          <cell r="E359">
            <v>1.4766155736565201E-2</v>
          </cell>
          <cell r="F359">
            <v>0.86254855718859302</v>
          </cell>
        </row>
        <row r="360">
          <cell r="A360" t="str">
            <v>DKK_CIBOR_6M_EOD</v>
          </cell>
          <cell r="C360">
            <v>46633</v>
          </cell>
          <cell r="E360">
            <v>1.6579391920576E-2</v>
          </cell>
          <cell r="F360">
            <v>0.81940253675541097</v>
          </cell>
        </row>
        <row r="361">
          <cell r="A361" t="str">
            <v>DKK_CIBOR_6M_EOD</v>
          </cell>
          <cell r="C361">
            <v>47729</v>
          </cell>
          <cell r="E361">
            <v>1.8469564627162299E-2</v>
          </cell>
          <cell r="F361">
            <v>0.75779143820318895</v>
          </cell>
        </row>
        <row r="362">
          <cell r="A362" t="str">
            <v>DKK_CIBOR_6M_EOD</v>
          </cell>
          <cell r="C362">
            <v>49555</v>
          </cell>
          <cell r="E362">
            <v>1.9907182494667799E-2</v>
          </cell>
          <cell r="F362">
            <v>0.67130920799121196</v>
          </cell>
        </row>
        <row r="363">
          <cell r="A363" t="str">
            <v>DKK_CIBOR_6M_EOD</v>
          </cell>
          <cell r="C363">
            <v>51382</v>
          </cell>
          <cell r="E363">
            <v>2.0041777933231499E-2</v>
          </cell>
          <cell r="F363">
            <v>0.60559815153136998</v>
          </cell>
        </row>
        <row r="364">
          <cell r="A364" t="str">
            <v>DKK_CIBOR_6M_EOD</v>
          </cell>
          <cell r="C364">
            <v>53209</v>
          </cell>
          <cell r="E364">
            <v>1.9955364745462299E-2</v>
          </cell>
          <cell r="F364">
            <v>0.54921662353080802</v>
          </cell>
        </row>
        <row r="365">
          <cell r="A365" t="str">
            <v>DKK_CIBOR_EOD</v>
          </cell>
          <cell r="C365">
            <v>42249</v>
          </cell>
          <cell r="E365">
            <v>-4.13973180909296E-3</v>
          </cell>
          <cell r="F365">
            <v>1.0000113417953</v>
          </cell>
        </row>
        <row r="366">
          <cell r="A366" t="str">
            <v>DKK_CIBOR_EOD</v>
          </cell>
          <cell r="C366">
            <v>42250</v>
          </cell>
          <cell r="E366">
            <v>-1.7570814503953299E-3</v>
          </cell>
          <cell r="F366">
            <v>1.00000962788991</v>
          </cell>
        </row>
        <row r="367">
          <cell r="A367" t="str">
            <v>DKK_CIBOR_EOD</v>
          </cell>
          <cell r="C367">
            <v>42257</v>
          </cell>
          <cell r="E367">
            <v>-3.24916669024806E-3</v>
          </cell>
          <cell r="F367">
            <v>1.00008011964835</v>
          </cell>
        </row>
        <row r="368">
          <cell r="A368" t="str">
            <v>DKK_CIBOR_EOD</v>
          </cell>
          <cell r="C368">
            <v>42354</v>
          </cell>
          <cell r="E368">
            <v>-7.3196839905971002E-4</v>
          </cell>
          <cell r="F368">
            <v>1.0002125942396101</v>
          </cell>
        </row>
        <row r="369">
          <cell r="A369" t="str">
            <v>DKK_CIBOR_EOD</v>
          </cell>
          <cell r="C369">
            <v>42445</v>
          </cell>
          <cell r="E369">
            <v>-1.3159659445678999E-4</v>
          </cell>
          <cell r="F369">
            <v>1.00007102862956</v>
          </cell>
        </row>
        <row r="370">
          <cell r="A370" t="str">
            <v>DKK_CIBOR_EOD</v>
          </cell>
          <cell r="C370">
            <v>42536</v>
          </cell>
          <cell r="E370">
            <v>2.4631840313710002E-4</v>
          </cell>
          <cell r="F370">
            <v>0.99980566354302702</v>
          </cell>
        </row>
        <row r="371">
          <cell r="A371" t="str">
            <v>DKK_CIBOR_EOD</v>
          </cell>
          <cell r="C371">
            <v>42634</v>
          </cell>
          <cell r="E371">
            <v>5.6724802799817996E-4</v>
          </cell>
          <cell r="F371">
            <v>0.99940029567865196</v>
          </cell>
        </row>
        <row r="372">
          <cell r="A372" t="str">
            <v>DKK_CIBOR_EOD</v>
          </cell>
          <cell r="C372">
            <v>42725</v>
          </cell>
          <cell r="E372">
            <v>8.4095062641346995E-4</v>
          </cell>
          <cell r="F372">
            <v>0.99890160792452898</v>
          </cell>
        </row>
        <row r="373">
          <cell r="A373" t="str">
            <v>DKK_CIBOR_EOD</v>
          </cell>
          <cell r="C373">
            <v>42809</v>
          </cell>
          <cell r="E373">
            <v>1.0944528322837099E-3</v>
          </cell>
          <cell r="F373">
            <v>0.99831925502576402</v>
          </cell>
        </row>
        <row r="374">
          <cell r="A374" t="str">
            <v>DKK_CIBOR_EOD</v>
          </cell>
          <cell r="C374">
            <v>42982</v>
          </cell>
          <cell r="E374">
            <v>3.2212256629471098E-3</v>
          </cell>
          <cell r="F374">
            <v>0.99354318298002597</v>
          </cell>
        </row>
        <row r="375">
          <cell r="A375" t="str">
            <v>DKK_CIBOR_EOD</v>
          </cell>
          <cell r="C375">
            <v>43346</v>
          </cell>
          <cell r="E375">
            <v>4.4767162377026401E-3</v>
          </cell>
          <cell r="F375">
            <v>0.98662332995359103</v>
          </cell>
        </row>
        <row r="376">
          <cell r="A376" t="str">
            <v>DKK_CIBOR_EOD</v>
          </cell>
          <cell r="C376">
            <v>43711</v>
          </cell>
          <cell r="E376">
            <v>6.1163735983405399E-3</v>
          </cell>
          <cell r="F376">
            <v>0.97578230465509697</v>
          </cell>
        </row>
        <row r="377">
          <cell r="A377" t="str">
            <v>DKK_CIBOR_EOD</v>
          </cell>
          <cell r="C377">
            <v>44077</v>
          </cell>
          <cell r="E377">
            <v>7.7737483455747498E-3</v>
          </cell>
          <cell r="F377">
            <v>0.96179501466497597</v>
          </cell>
        </row>
        <row r="378">
          <cell r="A378" t="str">
            <v>DKK_CIBOR_EOD</v>
          </cell>
          <cell r="C378">
            <v>44442</v>
          </cell>
          <cell r="E378">
            <v>9.3205669721744093E-3</v>
          </cell>
          <cell r="F378">
            <v>0.94551498237071396</v>
          </cell>
        </row>
        <row r="379">
          <cell r="A379" t="str">
            <v>DKK_CIBOR_EOD</v>
          </cell>
          <cell r="C379">
            <v>44809</v>
          </cell>
          <cell r="E379">
            <v>1.08386375527878E-2</v>
          </cell>
          <cell r="F379">
            <v>0.92677113449425197</v>
          </cell>
        </row>
        <row r="380">
          <cell r="A380" t="str">
            <v>DKK_CIBOR_EOD</v>
          </cell>
          <cell r="C380">
            <v>45173</v>
          </cell>
          <cell r="E380">
            <v>1.22849840847465E-2</v>
          </cell>
          <cell r="F380">
            <v>0.90624267089775701</v>
          </cell>
        </row>
        <row r="381">
          <cell r="A381" t="str">
            <v>DKK_CIBOR_EOD</v>
          </cell>
          <cell r="C381">
            <v>45538</v>
          </cell>
          <cell r="E381">
            <v>1.36115677557836E-2</v>
          </cell>
          <cell r="F381">
            <v>0.88453732292651199</v>
          </cell>
        </row>
        <row r="382">
          <cell r="A382" t="str">
            <v>DKK_CIBOR_EOD</v>
          </cell>
          <cell r="C382">
            <v>45903</v>
          </cell>
          <cell r="E382">
            <v>1.4766880758668E-2</v>
          </cell>
          <cell r="F382">
            <v>0.86254229497696999</v>
          </cell>
        </row>
        <row r="383">
          <cell r="A383" t="str">
            <v>DKK_CIBOR_EOD</v>
          </cell>
          <cell r="C383">
            <v>46633</v>
          </cell>
          <cell r="E383">
            <v>1.65799961138056E-2</v>
          </cell>
          <cell r="F383">
            <v>0.81939658906553403</v>
          </cell>
        </row>
        <row r="384">
          <cell r="A384" t="str">
            <v>DKK_CIBOR_EOD</v>
          </cell>
          <cell r="C384">
            <v>47729</v>
          </cell>
          <cell r="E384">
            <v>1.8470108252822099E-2</v>
          </cell>
          <cell r="F384">
            <v>0.75778525213351899</v>
          </cell>
        </row>
        <row r="385">
          <cell r="A385" t="str">
            <v>DKK_CIBOR_EOD</v>
          </cell>
          <cell r="C385">
            <v>49555</v>
          </cell>
          <cell r="E385">
            <v>1.99075384515746E-2</v>
          </cell>
          <cell r="F385">
            <v>0.67130442428253301</v>
          </cell>
        </row>
        <row r="386">
          <cell r="A386" t="str">
            <v>DKK_CIBOR_EOD</v>
          </cell>
          <cell r="C386">
            <v>51382</v>
          </cell>
          <cell r="E386">
            <v>2.0042078021460599E-2</v>
          </cell>
          <cell r="F386">
            <v>0.60559360374544102</v>
          </cell>
        </row>
        <row r="387">
          <cell r="A387" t="str">
            <v>DKK_CIBOR_EOD</v>
          </cell>
          <cell r="C387">
            <v>53209</v>
          </cell>
          <cell r="E387">
            <v>1.9955646182396598E-2</v>
          </cell>
          <cell r="F387">
            <v>0.54921198179687103</v>
          </cell>
        </row>
        <row r="388">
          <cell r="A388" t="str">
            <v>EUR_EONIA_EOD</v>
          </cell>
          <cell r="C388">
            <v>42249</v>
          </cell>
          <cell r="E388">
            <v>-1.2673633114039201E-3</v>
          </cell>
          <cell r="F388">
            <v>1.0000034722342801</v>
          </cell>
        </row>
        <row r="389">
          <cell r="A389" t="str">
            <v>EUR_EONIA_EOD</v>
          </cell>
          <cell r="C389">
            <v>42250</v>
          </cell>
          <cell r="E389">
            <v>-1.26736331138309E-3</v>
          </cell>
          <cell r="F389">
            <v>1.0000069444806099</v>
          </cell>
        </row>
        <row r="390">
          <cell r="A390" t="str">
            <v>EUR_EONIA_EOD</v>
          </cell>
          <cell r="C390">
            <v>42257</v>
          </cell>
          <cell r="E390">
            <v>-1.3225755761171599E-3</v>
          </cell>
          <cell r="F390">
            <v>1.0000326119843199</v>
          </cell>
        </row>
        <row r="391">
          <cell r="A391" t="str">
            <v>EUR_EONIA_EOD</v>
          </cell>
          <cell r="C391">
            <v>42264</v>
          </cell>
          <cell r="E391">
            <v>-1.29400423313425E-3</v>
          </cell>
          <cell r="F391">
            <v>1.00005672508204</v>
          </cell>
        </row>
        <row r="392">
          <cell r="A392" t="str">
            <v>EUR_EONIA_EOD</v>
          </cell>
          <cell r="C392">
            <v>42271</v>
          </cell>
          <cell r="E392">
            <v>-1.29054831292389E-3</v>
          </cell>
          <cell r="F392">
            <v>1.0000813255292</v>
          </cell>
        </row>
        <row r="393">
          <cell r="A393" t="str">
            <v>EUR_EONIA_EOD</v>
          </cell>
          <cell r="C393">
            <v>42282</v>
          </cell>
          <cell r="E393">
            <v>-1.25947456544536E-3</v>
          </cell>
          <cell r="F393">
            <v>1.00011732780079</v>
          </cell>
        </row>
        <row r="394">
          <cell r="A394" t="str">
            <v>EUR_EONIA_EOD</v>
          </cell>
          <cell r="C394">
            <v>42311</v>
          </cell>
          <cell r="E394">
            <v>-1.3116772701431401E-3</v>
          </cell>
          <cell r="F394">
            <v>1.00022642472067</v>
          </cell>
        </row>
        <row r="395">
          <cell r="A395" t="str">
            <v>EUR_EONIA_EOD</v>
          </cell>
          <cell r="C395">
            <v>42341</v>
          </cell>
          <cell r="E395">
            <v>-1.32462044190326E-3</v>
          </cell>
          <cell r="F395">
            <v>1.00033756299197</v>
          </cell>
        </row>
        <row r="396">
          <cell r="A396" t="str">
            <v>EUR_EONIA_EOD</v>
          </cell>
          <cell r="C396">
            <v>42373</v>
          </cell>
          <cell r="E396">
            <v>-1.30422449505967E-3</v>
          </cell>
          <cell r="F396">
            <v>1.00044675198829</v>
          </cell>
        </row>
        <row r="397">
          <cell r="A397" t="str">
            <v>EUR_EONIA_EOD</v>
          </cell>
          <cell r="C397">
            <v>42403</v>
          </cell>
          <cell r="E397">
            <v>-1.3427951347774201E-3</v>
          </cell>
          <cell r="F397">
            <v>1.0005703906818699</v>
          </cell>
        </row>
        <row r="398">
          <cell r="A398" t="str">
            <v>EUR_EONIA_EOD</v>
          </cell>
          <cell r="C398">
            <v>42432</v>
          </cell>
          <cell r="E398">
            <v>-1.3681101900142999E-3</v>
          </cell>
          <cell r="F398">
            <v>1.0006899153478399</v>
          </cell>
        </row>
        <row r="399">
          <cell r="A399" t="str">
            <v>EUR_EONIA_EOD</v>
          </cell>
          <cell r="C399">
            <v>42464</v>
          </cell>
          <cell r="E399">
            <v>-1.38092204537743E-3</v>
          </cell>
          <cell r="F399">
            <v>1.00081753718452</v>
          </cell>
        </row>
        <row r="400">
          <cell r="A400" t="str">
            <v>EUR_EONIA_EOD</v>
          </cell>
          <cell r="C400">
            <v>42493</v>
          </cell>
          <cell r="E400">
            <v>-1.3861556448076799E-3</v>
          </cell>
          <cell r="F400">
            <v>1.0009308662283201</v>
          </cell>
        </row>
        <row r="401">
          <cell r="A401" t="str">
            <v>EUR_EONIA_EOD</v>
          </cell>
          <cell r="C401">
            <v>42524</v>
          </cell>
          <cell r="E401">
            <v>-1.39894155217211E-3</v>
          </cell>
          <cell r="F401">
            <v>1.0010583894756899</v>
          </cell>
        </row>
        <row r="402">
          <cell r="A402" t="str">
            <v>EUR_EONIA_EOD</v>
          </cell>
          <cell r="C402">
            <v>42555</v>
          </cell>
          <cell r="E402">
            <v>-1.40668474294056E-3</v>
          </cell>
          <cell r="F402">
            <v>1.00118385696247</v>
          </cell>
        </row>
        <row r="403">
          <cell r="A403" t="str">
            <v>EUR_EONIA_EOD</v>
          </cell>
          <cell r="C403">
            <v>42585</v>
          </cell>
          <cell r="E403">
            <v>-1.4564659429565901E-3</v>
          </cell>
          <cell r="F403">
            <v>1.00134564161299</v>
          </cell>
        </row>
        <row r="404">
          <cell r="A404" t="str">
            <v>EUR_EONIA_EOD</v>
          </cell>
          <cell r="C404">
            <v>42618</v>
          </cell>
          <cell r="E404">
            <v>-1.45666221466099E-3</v>
          </cell>
          <cell r="F404">
            <v>1.00147770722651</v>
          </cell>
        </row>
        <row r="405">
          <cell r="A405" t="str">
            <v>EUR_EONIA_EOD</v>
          </cell>
          <cell r="C405">
            <v>42709</v>
          </cell>
          <cell r="E405">
            <v>-1.4600657011261801E-3</v>
          </cell>
          <cell r="F405">
            <v>1.0018457843480999</v>
          </cell>
        </row>
        <row r="406">
          <cell r="A406" t="str">
            <v>EUR_EONIA_EOD</v>
          </cell>
          <cell r="C406">
            <v>42797</v>
          </cell>
          <cell r="E406">
            <v>-1.4230860071990201E-3</v>
          </cell>
          <cell r="F406">
            <v>1.0021427697663701</v>
          </cell>
        </row>
        <row r="407">
          <cell r="A407" t="str">
            <v>EUR_EONIA_EOD</v>
          </cell>
          <cell r="C407">
            <v>42891</v>
          </cell>
          <cell r="E407">
            <v>-1.3288244150140799E-3</v>
          </cell>
          <cell r="F407">
            <v>1.0023436574208799</v>
          </cell>
        </row>
        <row r="408">
          <cell r="A408" t="str">
            <v>EUR_EONIA_EOD</v>
          </cell>
          <cell r="C408">
            <v>42982</v>
          </cell>
          <cell r="E408">
            <v>-1.1923968586620801E-3</v>
          </cell>
          <cell r="F408">
            <v>1.00240073824826</v>
          </cell>
        </row>
        <row r="409">
          <cell r="A409" t="str">
            <v>EUR_EONIA_EOD</v>
          </cell>
          <cell r="C409">
            <v>43346</v>
          </cell>
          <cell r="E409">
            <v>-4.9062081552430996E-4</v>
          </cell>
          <cell r="F409">
            <v>1.0014769846153899</v>
          </cell>
        </row>
        <row r="410">
          <cell r="A410" t="str">
            <v>EUR_EONIA_EOD</v>
          </cell>
          <cell r="C410">
            <v>43711</v>
          </cell>
          <cell r="E410">
            <v>6.9095720421521003E-4</v>
          </cell>
          <cell r="F410">
            <v>0.99723432363189701</v>
          </cell>
        </row>
        <row r="411">
          <cell r="A411" t="str">
            <v>EUR_EONIA_EOD</v>
          </cell>
          <cell r="C411">
            <v>44077</v>
          </cell>
          <cell r="E411">
            <v>2.0752602288998602E-3</v>
          </cell>
          <cell r="F411">
            <v>0.98965483939344701</v>
          </cell>
        </row>
        <row r="412">
          <cell r="A412" t="str">
            <v>EUR_EONIA_EOD</v>
          </cell>
          <cell r="C412">
            <v>44442</v>
          </cell>
          <cell r="E412">
            <v>3.57227235772835E-3</v>
          </cell>
          <cell r="F412">
            <v>0.97875611656115802</v>
          </cell>
        </row>
        <row r="413">
          <cell r="A413" t="str">
            <v>EUR_EONIA_EOD</v>
          </cell>
          <cell r="C413">
            <v>44809</v>
          </cell>
          <cell r="E413">
            <v>5.0981648542883602E-3</v>
          </cell>
          <cell r="F413">
            <v>0.96486126055034405</v>
          </cell>
        </row>
        <row r="414">
          <cell r="A414" t="str">
            <v>EUR_EONIA_EOD</v>
          </cell>
          <cell r="C414">
            <v>45173</v>
          </cell>
          <cell r="E414">
            <v>6.5590756173417699E-3</v>
          </cell>
          <cell r="F414">
            <v>0.94879506193487995</v>
          </cell>
        </row>
        <row r="415">
          <cell r="A415" t="str">
            <v>EUR_EONIA_EOD</v>
          </cell>
          <cell r="C415">
            <v>45538</v>
          </cell>
          <cell r="E415">
            <v>7.9204832724662499E-3</v>
          </cell>
          <cell r="F415">
            <v>0.93109603991405099</v>
          </cell>
        </row>
        <row r="416">
          <cell r="A416" t="str">
            <v>EUR_EONIA_EOD</v>
          </cell>
          <cell r="C416">
            <v>45903</v>
          </cell>
          <cell r="E416">
            <v>9.13102811891945E-3</v>
          </cell>
          <cell r="F416">
            <v>0.91262030258493998</v>
          </cell>
        </row>
        <row r="417">
          <cell r="A417" t="str">
            <v>EUR_EONIA_EOD</v>
          </cell>
          <cell r="C417">
            <v>46633</v>
          </cell>
          <cell r="E417">
            <v>1.11205477831122E-2</v>
          </cell>
          <cell r="F417">
            <v>0.87494092458097406</v>
          </cell>
        </row>
        <row r="418">
          <cell r="A418" t="str">
            <v>EUR_EONIA_EOD</v>
          </cell>
          <cell r="C418">
            <v>47729</v>
          </cell>
          <cell r="E418">
            <v>1.32587724993451E-2</v>
          </cell>
          <cell r="F418">
            <v>0.81946831946634502</v>
          </cell>
        </row>
        <row r="419">
          <cell r="A419" t="str">
            <v>EUR_EONIA_EOD</v>
          </cell>
          <cell r="C419">
            <v>49555</v>
          </cell>
          <cell r="E419">
            <v>1.50508987393223E-2</v>
          </cell>
          <cell r="F419">
            <v>0.73985088328825399</v>
          </cell>
        </row>
        <row r="420">
          <cell r="A420" t="str">
            <v>EUR_EONIA_EOD</v>
          </cell>
          <cell r="C420">
            <v>51382</v>
          </cell>
          <cell r="E420">
            <v>1.55584657293216E-2</v>
          </cell>
          <cell r="F420">
            <v>0.67750030459979804</v>
          </cell>
        </row>
        <row r="421">
          <cell r="A421" t="str">
            <v>EUR_EONIA_EOD</v>
          </cell>
          <cell r="C421">
            <v>53209</v>
          </cell>
          <cell r="E421">
            <v>1.5753172360218601E-2</v>
          </cell>
          <cell r="F421">
            <v>0.62308650098741503</v>
          </cell>
        </row>
        <row r="422">
          <cell r="A422" t="str">
            <v>EUR_EONIA_EOD</v>
          </cell>
          <cell r="C422">
            <v>56860</v>
          </cell>
          <cell r="E422">
            <v>1.6063031011923301E-2</v>
          </cell>
          <cell r="F422">
            <v>0.52568697911377904</v>
          </cell>
        </row>
        <row r="423">
          <cell r="A423" t="str">
            <v>EUR_EONIA_EOD</v>
          </cell>
          <cell r="C423">
            <v>60513</v>
          </cell>
          <cell r="E423">
            <v>1.5656961494253299E-2</v>
          </cell>
          <cell r="F423">
            <v>0.45680827233642102</v>
          </cell>
        </row>
        <row r="424">
          <cell r="A424" t="str">
            <v>EUR_EONIA_EOD</v>
          </cell>
          <cell r="C424">
            <v>64165</v>
          </cell>
          <cell r="E424">
            <v>1.53164239318823E-2</v>
          </cell>
          <cell r="F424">
            <v>0.39863909166235201</v>
          </cell>
        </row>
        <row r="425">
          <cell r="A425" t="str">
            <v>EUR_EURIBOR_12M_EOD</v>
          </cell>
          <cell r="C425">
            <v>42618</v>
          </cell>
          <cell r="E425">
            <v>1.63101933126946E-3</v>
          </cell>
          <cell r="F425">
            <v>0.99834800398825696</v>
          </cell>
        </row>
        <row r="426">
          <cell r="A426" t="str">
            <v>EUR_EURIBOR_12M_EOD</v>
          </cell>
          <cell r="C426">
            <v>42646</v>
          </cell>
          <cell r="E426">
            <v>1.5728304818866999E-3</v>
          </cell>
          <cell r="F426">
            <v>0.99828643823234997</v>
          </cell>
        </row>
        <row r="427">
          <cell r="A427" t="str">
            <v>EUR_EURIBOR_12M_EOD</v>
          </cell>
          <cell r="C427">
            <v>42677</v>
          </cell>
          <cell r="E427">
            <v>1.6569326286691099E-3</v>
          </cell>
          <cell r="F427">
            <v>0.99805443179485198</v>
          </cell>
        </row>
        <row r="428">
          <cell r="A428" t="str">
            <v>EUR_EURIBOR_12M_EOD</v>
          </cell>
          <cell r="C428">
            <v>42709</v>
          </cell>
          <cell r="E428">
            <v>1.6471796028799299E-3</v>
          </cell>
          <cell r="F428">
            <v>0.997921752151254</v>
          </cell>
        </row>
        <row r="429">
          <cell r="A429" t="str">
            <v>EUR_EURIBOR_12M_EOD</v>
          </cell>
          <cell r="C429">
            <v>42738</v>
          </cell>
          <cell r="E429">
            <v>1.68528988091422E-3</v>
          </cell>
          <cell r="F429">
            <v>0.99774011344757296</v>
          </cell>
        </row>
        <row r="430">
          <cell r="A430" t="str">
            <v>EUR_EURIBOR_12M_EOD</v>
          </cell>
          <cell r="C430">
            <v>42769</v>
          </cell>
          <cell r="E430">
            <v>1.75189900518717E-3</v>
          </cell>
          <cell r="F430">
            <v>0.99750246819494703</v>
          </cell>
        </row>
        <row r="431">
          <cell r="A431" t="str">
            <v>EUR_EURIBOR_12M_EOD</v>
          </cell>
          <cell r="C431">
            <v>42797</v>
          </cell>
          <cell r="E431">
            <v>1.78579411524989E-3</v>
          </cell>
          <cell r="F431">
            <v>0.99731757409824695</v>
          </cell>
        </row>
        <row r="432">
          <cell r="A432" t="str">
            <v>EUR_EURIBOR_12M_EOD</v>
          </cell>
          <cell r="C432">
            <v>42828</v>
          </cell>
          <cell r="E432">
            <v>1.8951090011345799E-3</v>
          </cell>
          <cell r="F432">
            <v>0.99699312365120796</v>
          </cell>
        </row>
        <row r="433">
          <cell r="A433" t="str">
            <v>EUR_EURIBOR_12M_EOD</v>
          </cell>
          <cell r="C433">
            <v>42858</v>
          </cell>
          <cell r="E433">
            <v>1.95195153074303E-3</v>
          </cell>
          <cell r="F433">
            <v>0.99674314950905396</v>
          </cell>
        </row>
        <row r="434">
          <cell r="A434" t="str">
            <v>EUR_EURIBOR_12M_EOD</v>
          </cell>
          <cell r="C434">
            <v>42891</v>
          </cell>
          <cell r="E434">
            <v>2.01220249450489E-3</v>
          </cell>
          <cell r="F434">
            <v>0.99646149120968697</v>
          </cell>
        </row>
        <row r="435">
          <cell r="A435" t="str">
            <v>EUR_EURIBOR_12M_EOD</v>
          </cell>
          <cell r="C435">
            <v>42919</v>
          </cell>
          <cell r="E435">
            <v>2.0632338030138401E-3</v>
          </cell>
          <cell r="F435">
            <v>0.99621422560108996</v>
          </cell>
        </row>
        <row r="436">
          <cell r="A436" t="str">
            <v>EUR_EURIBOR_12M_EOD</v>
          </cell>
          <cell r="C436">
            <v>42950</v>
          </cell>
          <cell r="E436">
            <v>2.12551680524555E-3</v>
          </cell>
          <cell r="F436">
            <v>0.99592036415032703</v>
          </cell>
        </row>
        <row r="437">
          <cell r="A437" t="str">
            <v>EUR_EURIBOR_12M_EOD</v>
          </cell>
          <cell r="C437">
            <v>42982</v>
          </cell>
          <cell r="E437">
            <v>2.17720468029257E-3</v>
          </cell>
          <cell r="F437">
            <v>0.99563130150970003</v>
          </cell>
        </row>
        <row r="438">
          <cell r="A438" t="str">
            <v>EUR_EURIBOR_12M_EOD</v>
          </cell>
          <cell r="C438">
            <v>43346</v>
          </cell>
          <cell r="E438">
            <v>3.1142375870218701E-3</v>
          </cell>
          <cell r="F438">
            <v>0.99067543665963498</v>
          </cell>
        </row>
        <row r="439">
          <cell r="A439" t="str">
            <v>EUR_EURIBOR_12M_EOD</v>
          </cell>
          <cell r="C439">
            <v>43711</v>
          </cell>
          <cell r="E439">
            <v>4.4415878848034799E-3</v>
          </cell>
          <cell r="F439">
            <v>0.98235467689004796</v>
          </cell>
        </row>
        <row r="440">
          <cell r="A440" t="str">
            <v>EUR_EURIBOR_12M_EOD</v>
          </cell>
          <cell r="C440">
            <v>44077</v>
          </cell>
          <cell r="E440">
            <v>5.8758599805812297E-3</v>
          </cell>
          <cell r="F440">
            <v>0.97098554949309301</v>
          </cell>
        </row>
        <row r="441">
          <cell r="A441" t="str">
            <v>EUR_EURIBOR_12M_EOD</v>
          </cell>
          <cell r="C441">
            <v>44442</v>
          </cell>
          <cell r="E441">
            <v>7.3441839794439997E-3</v>
          </cell>
          <cell r="F441">
            <v>0.95681464652052595</v>
          </cell>
        </row>
        <row r="442">
          <cell r="A442" t="str">
            <v>EUR_EURIBOR_12M_EOD</v>
          </cell>
          <cell r="C442">
            <v>44809</v>
          </cell>
          <cell r="E442">
            <v>8.8247988632205107E-3</v>
          </cell>
          <cell r="F442">
            <v>0.93995934257872105</v>
          </cell>
        </row>
        <row r="443">
          <cell r="A443" t="str">
            <v>EUR_EURIBOR_12M_EOD</v>
          </cell>
          <cell r="C443">
            <v>45173</v>
          </cell>
          <cell r="E443">
            <v>1.0194890229064699E-2</v>
          </cell>
          <cell r="F443">
            <v>0.92154950800435598</v>
          </cell>
        </row>
        <row r="444">
          <cell r="A444" t="str">
            <v>EUR_EURIBOR_12M_EOD</v>
          </cell>
          <cell r="C444">
            <v>45538</v>
          </cell>
          <cell r="E444">
            <v>1.1445987964583701E-2</v>
          </cell>
          <cell r="F444">
            <v>0.90197300614401399</v>
          </cell>
        </row>
        <row r="445">
          <cell r="A445" t="str">
            <v>EUR_EURIBOR_12M_EOD</v>
          </cell>
          <cell r="C445">
            <v>45903</v>
          </cell>
          <cell r="E445">
            <v>1.25440325531989E-2</v>
          </cell>
          <cell r="F445">
            <v>0.88195683719420104</v>
          </cell>
        </row>
        <row r="446">
          <cell r="A446" t="str">
            <v>EUR_EURIBOR_12M_EOD</v>
          </cell>
          <cell r="C446">
            <v>46633</v>
          </cell>
          <cell r="E446">
            <v>1.42850584863865E-2</v>
          </cell>
          <cell r="F446">
            <v>0.84230222880581096</v>
          </cell>
        </row>
        <row r="447">
          <cell r="A447" t="str">
            <v>EUR_EURIBOR_12M_EOD</v>
          </cell>
          <cell r="C447">
            <v>47729</v>
          </cell>
          <cell r="E447">
            <v>1.6022757819501101E-2</v>
          </cell>
          <cell r="F447">
            <v>0.78615228767904499</v>
          </cell>
        </row>
        <row r="448">
          <cell r="A448" t="str">
            <v>EUR_EURIBOR_12M_EOD</v>
          </cell>
          <cell r="C448">
            <v>49555</v>
          </cell>
          <cell r="E448">
            <v>1.7352609584812901E-2</v>
          </cell>
          <cell r="F448">
            <v>0.70653327367544305</v>
          </cell>
        </row>
        <row r="449">
          <cell r="A449" t="str">
            <v>EUR_EURIBOR_12M_EOD</v>
          </cell>
          <cell r="C449">
            <v>51382</v>
          </cell>
          <cell r="E449">
            <v>1.7526463662435501E-2</v>
          </cell>
          <cell r="F449">
            <v>0.64494273379697198</v>
          </cell>
        </row>
        <row r="450">
          <cell r="A450" t="str">
            <v>EUR_EURIBOR_12M_EOD</v>
          </cell>
          <cell r="C450">
            <v>53209</v>
          </cell>
          <cell r="E450">
            <v>1.7466501234129399E-2</v>
          </cell>
          <cell r="F450">
            <v>0.59183853588770996</v>
          </cell>
        </row>
        <row r="451">
          <cell r="A451" t="str">
            <v>EUR_EURIBOR_12M_EOD</v>
          </cell>
          <cell r="C451">
            <v>56860</v>
          </cell>
          <cell r="E451">
            <v>1.7457643043438501E-2</v>
          </cell>
          <cell r="F451">
            <v>0.49714195414488199</v>
          </cell>
        </row>
        <row r="452">
          <cell r="A452" t="str">
            <v>EUR_EURIBOR_12M_EOD</v>
          </cell>
          <cell r="C452">
            <v>60513</v>
          </cell>
          <cell r="E452">
            <v>1.6776031284634702E-2</v>
          </cell>
          <cell r="F452">
            <v>0.43193032426273298</v>
          </cell>
        </row>
        <row r="453">
          <cell r="A453" t="str">
            <v>EUR_EURIBOR_12M_EOD</v>
          </cell>
          <cell r="C453">
            <v>64165</v>
          </cell>
          <cell r="E453">
            <v>1.6463300297000601E-2</v>
          </cell>
          <cell r="F453">
            <v>0.37211036013756599</v>
          </cell>
        </row>
        <row r="454">
          <cell r="A454" t="str">
            <v>EUR_EURIBOR_1M_EOD</v>
          </cell>
          <cell r="C454">
            <v>42282</v>
          </cell>
          <cell r="E454">
            <v>-1.0037941675914101E-3</v>
          </cell>
          <cell r="F454">
            <v>1.00009350848589</v>
          </cell>
        </row>
        <row r="455">
          <cell r="A455" t="str">
            <v>EUR_EURIBOR_1M_EOD</v>
          </cell>
          <cell r="C455">
            <v>42311</v>
          </cell>
          <cell r="E455">
            <v>-1.01247630351913E-3</v>
          </cell>
          <cell r="F455">
            <v>1.0001747714546501</v>
          </cell>
        </row>
        <row r="456">
          <cell r="A456" t="str">
            <v>EUR_EURIBOR_1M_EOD</v>
          </cell>
          <cell r="C456">
            <v>42341</v>
          </cell>
          <cell r="E456">
            <v>-1.03683158820033E-3</v>
          </cell>
          <cell r="F456">
            <v>1.00026421390575</v>
          </cell>
        </row>
        <row r="457">
          <cell r="A457" t="str">
            <v>EUR_EURIBOR_1M_EOD</v>
          </cell>
          <cell r="C457">
            <v>42432</v>
          </cell>
          <cell r="E457">
            <v>-1.0363436609338601E-3</v>
          </cell>
          <cell r="F457">
            <v>1.00052256726775</v>
          </cell>
        </row>
        <row r="458">
          <cell r="A458" t="str">
            <v>EUR_EURIBOR_1M_EOD</v>
          </cell>
          <cell r="C458">
            <v>42524</v>
          </cell>
          <cell r="E458">
            <v>-1.04172311680532E-3</v>
          </cell>
          <cell r="F458">
            <v>1.0007880242465499</v>
          </cell>
        </row>
        <row r="459">
          <cell r="A459" t="str">
            <v>EUR_EURIBOR_1M_EOD</v>
          </cell>
          <cell r="C459">
            <v>42618</v>
          </cell>
          <cell r="E459">
            <v>-1.0769169443998899E-3</v>
          </cell>
          <cell r="F459">
            <v>1.0010922653190599</v>
          </cell>
        </row>
        <row r="460">
          <cell r="A460" t="str">
            <v>EUR_EURIBOR_1M_EOD</v>
          </cell>
          <cell r="C460">
            <v>42982</v>
          </cell>
          <cell r="E460">
            <v>-7.8303629591857001E-4</v>
          </cell>
          <cell r="F460">
            <v>1.0015758942298201</v>
          </cell>
        </row>
        <row r="461">
          <cell r="A461" t="str">
            <v>EUR_EURIBOR_1M_EOD</v>
          </cell>
          <cell r="C461">
            <v>43346</v>
          </cell>
          <cell r="E461">
            <v>-2.8296875130430001E-5</v>
          </cell>
          <cell r="F461">
            <v>1.00008512682553</v>
          </cell>
        </row>
        <row r="462">
          <cell r="A462" t="str">
            <v>EUR_EURIBOR_1M_EOD</v>
          </cell>
          <cell r="C462">
            <v>43711</v>
          </cell>
          <cell r="E462">
            <v>1.1441477779394001E-3</v>
          </cell>
          <cell r="F462">
            <v>0.99542450455274401</v>
          </cell>
        </row>
        <row r="463">
          <cell r="A463" t="str">
            <v>EUR_EURIBOR_1M_EOD</v>
          </cell>
          <cell r="C463">
            <v>44077</v>
          </cell>
          <cell r="E463">
            <v>2.5358409798290002E-3</v>
          </cell>
          <cell r="F463">
            <v>0.98737339804487501</v>
          </cell>
        </row>
        <row r="464">
          <cell r="A464" t="str">
            <v>EUR_EURIBOR_1M_EOD</v>
          </cell>
          <cell r="C464">
            <v>44442</v>
          </cell>
          <cell r="E464">
            <v>4.0385106425610299E-3</v>
          </cell>
          <cell r="F464">
            <v>0.97601695430455004</v>
          </cell>
        </row>
        <row r="465">
          <cell r="A465" t="str">
            <v>EUR_EURIBOR_1M_EOD</v>
          </cell>
          <cell r="C465">
            <v>44809</v>
          </cell>
          <cell r="E465">
            <v>5.5596186564748499E-3</v>
          </cell>
          <cell r="F465">
            <v>0.96174232119052305</v>
          </cell>
        </row>
        <row r="466">
          <cell r="A466" t="str">
            <v>EUR_EURIBOR_1M_EOD</v>
          </cell>
          <cell r="C466">
            <v>45173</v>
          </cell>
          <cell r="E466">
            <v>7.0167965713157599E-3</v>
          </cell>
          <cell r="F466">
            <v>0.94532122078566405</v>
          </cell>
        </row>
        <row r="467">
          <cell r="A467" t="str">
            <v>EUR_EURIBOR_1M_EOD</v>
          </cell>
          <cell r="C467">
            <v>45538</v>
          </cell>
          <cell r="E467">
            <v>8.3775792295696198E-3</v>
          </cell>
          <cell r="F467">
            <v>0.92726769969032397</v>
          </cell>
        </row>
        <row r="468">
          <cell r="A468" t="str">
            <v>EUR_EURIBOR_1M_EOD</v>
          </cell>
          <cell r="C468">
            <v>45903</v>
          </cell>
          <cell r="E468">
            <v>9.5733852950231398E-3</v>
          </cell>
          <cell r="F468">
            <v>0.90858667133762505</v>
          </cell>
        </row>
        <row r="469">
          <cell r="A469" t="str">
            <v>EUR_EURIBOR_1M_EOD</v>
          </cell>
          <cell r="C469">
            <v>46633</v>
          </cell>
          <cell r="E469">
            <v>1.15445530811713E-2</v>
          </cell>
          <cell r="F469">
            <v>0.87049541964743005</v>
          </cell>
        </row>
        <row r="470">
          <cell r="A470" t="str">
            <v>EUR_EURIBOR_1M_EOD</v>
          </cell>
          <cell r="C470">
            <v>47729</v>
          </cell>
          <cell r="E470">
            <v>1.3628308221904899E-2</v>
          </cell>
          <cell r="F470">
            <v>0.81493359277962696</v>
          </cell>
        </row>
        <row r="471">
          <cell r="A471" t="str">
            <v>EUR_EURIBOR_1M_EOD</v>
          </cell>
          <cell r="C471">
            <v>49555</v>
          </cell>
          <cell r="E471">
            <v>1.5380608678105799E-2</v>
          </cell>
          <cell r="F471">
            <v>0.73498356237171003</v>
          </cell>
        </row>
        <row r="472">
          <cell r="A472" t="str">
            <v>EUR_EURIBOR_1M_EOD</v>
          </cell>
          <cell r="C472">
            <v>51382</v>
          </cell>
          <cell r="E472">
            <v>1.5815278169003098E-2</v>
          </cell>
          <cell r="F472">
            <v>0.67316021281897198</v>
          </cell>
        </row>
        <row r="473">
          <cell r="A473" t="str">
            <v>EUR_EURIBOR_1M_EOD</v>
          </cell>
          <cell r="C473">
            <v>53209</v>
          </cell>
          <cell r="E473">
            <v>1.5957975149219299E-2</v>
          </cell>
          <cell r="F473">
            <v>0.61926611981838597</v>
          </cell>
        </row>
        <row r="474">
          <cell r="A474" t="str">
            <v>EUR_EURIBOR_1M_EOD</v>
          </cell>
          <cell r="C474">
            <v>56860</v>
          </cell>
          <cell r="E474">
            <v>1.5981491799444001E-2</v>
          </cell>
          <cell r="F474">
            <v>0.52740575616821095</v>
          </cell>
        </row>
        <row r="475">
          <cell r="A475" t="str">
            <v>EUR_EURIBOR_1M_EOD</v>
          </cell>
          <cell r="C475">
            <v>60513</v>
          </cell>
          <cell r="E475">
            <v>1.5705782956737899E-2</v>
          </cell>
          <cell r="F475">
            <v>0.45569361556933202</v>
          </cell>
        </row>
        <row r="476">
          <cell r="A476" t="str">
            <v>EUR_EURIBOR_1M_EOD</v>
          </cell>
          <cell r="C476">
            <v>64165</v>
          </cell>
          <cell r="E476">
            <v>1.53430295587784E-2</v>
          </cell>
          <cell r="F476">
            <v>0.39800274354876097</v>
          </cell>
        </row>
        <row r="477">
          <cell r="A477" t="str">
            <v>EUR_EURIBOR_3M_EOD</v>
          </cell>
          <cell r="C477">
            <v>42341</v>
          </cell>
          <cell r="E477">
            <v>-3.3459728902308997E-4</v>
          </cell>
          <cell r="F477">
            <v>1.0000852571900201</v>
          </cell>
        </row>
        <row r="478">
          <cell r="A478" t="str">
            <v>EUR_EURIBOR_3M_EOD</v>
          </cell>
          <cell r="C478">
            <v>42354</v>
          </cell>
          <cell r="E478">
            <v>-3.5200706621915E-4</v>
          </cell>
          <cell r="F478">
            <v>1.0001022319349699</v>
          </cell>
        </row>
        <row r="479">
          <cell r="A479" t="str">
            <v>EUR_EURIBOR_3M_EOD</v>
          </cell>
          <cell r="C479">
            <v>42445</v>
          </cell>
          <cell r="E479">
            <v>-3.5520622892996998E-4</v>
          </cell>
          <cell r="F479">
            <v>1.0001917324251599</v>
          </cell>
        </row>
        <row r="480">
          <cell r="A480" t="str">
            <v>EUR_EURIBOR_3M_EOD</v>
          </cell>
          <cell r="C480">
            <v>42536</v>
          </cell>
          <cell r="E480">
            <v>-3.4196664852660999E-4</v>
          </cell>
          <cell r="F480">
            <v>1.0002698621453501</v>
          </cell>
        </row>
        <row r="481">
          <cell r="A481" t="str">
            <v>EUR_EURIBOR_3M_EOD</v>
          </cell>
          <cell r="C481">
            <v>42634</v>
          </cell>
          <cell r="E481">
            <v>-3.2387750409026999E-4</v>
          </cell>
          <cell r="F481">
            <v>1.00034257021605</v>
          </cell>
        </row>
        <row r="482">
          <cell r="A482" t="str">
            <v>EUR_EURIBOR_3M_EOD</v>
          </cell>
          <cell r="C482">
            <v>42725</v>
          </cell>
          <cell r="E482">
            <v>-2.7679001989501002E-4</v>
          </cell>
          <cell r="F482">
            <v>1.00036178827752</v>
          </cell>
        </row>
        <row r="483">
          <cell r="A483" t="str">
            <v>EUR_EURIBOR_3M_EOD</v>
          </cell>
          <cell r="C483">
            <v>42809</v>
          </cell>
          <cell r="E483">
            <v>-1.9541817204057999E-4</v>
          </cell>
          <cell r="F483">
            <v>1.0003004001645599</v>
          </cell>
        </row>
        <row r="484">
          <cell r="A484" t="str">
            <v>EUR_EURIBOR_3M_EOD</v>
          </cell>
          <cell r="C484">
            <v>42907</v>
          </cell>
          <cell r="E484">
            <v>-6.8363240214359996E-5</v>
          </cell>
          <cell r="F484">
            <v>1.00012343604308</v>
          </cell>
        </row>
        <row r="485">
          <cell r="A485" t="str">
            <v>EUR_EURIBOR_3M_EOD</v>
          </cell>
          <cell r="C485">
            <v>42998</v>
          </cell>
          <cell r="E485">
            <v>7.338712669739E-5</v>
          </cell>
          <cell r="F485">
            <v>0.99984921590324805</v>
          </cell>
        </row>
        <row r="486">
          <cell r="A486" t="str">
            <v>EUR_EURIBOR_3M_EOD</v>
          </cell>
          <cell r="C486">
            <v>43089</v>
          </cell>
          <cell r="E486">
            <v>2.4302618759890001E-4</v>
          </cell>
          <cell r="F486">
            <v>0.99944019777852999</v>
          </cell>
        </row>
        <row r="487">
          <cell r="A487" t="str">
            <v>EUR_EURIBOR_3M_EOD</v>
          </cell>
          <cell r="C487">
            <v>43180</v>
          </cell>
          <cell r="E487">
            <v>4.3712660224504997E-4</v>
          </cell>
          <cell r="F487">
            <v>0.99888445284122795</v>
          </cell>
        </row>
        <row r="488">
          <cell r="A488" t="str">
            <v>EUR_EURIBOR_3M_EOD</v>
          </cell>
          <cell r="C488">
            <v>43271</v>
          </cell>
          <cell r="E488">
            <v>6.6257909887618995E-4</v>
          </cell>
          <cell r="F488">
            <v>0.99814468646384902</v>
          </cell>
        </row>
        <row r="489">
          <cell r="A489" t="str">
            <v>EUR_EURIBOR_3M_EOD</v>
          </cell>
          <cell r="C489">
            <v>43362</v>
          </cell>
          <cell r="E489">
            <v>9.1566198936165002E-4</v>
          </cell>
          <cell r="F489">
            <v>0.99720925083590095</v>
          </cell>
        </row>
        <row r="490">
          <cell r="A490" t="str">
            <v>EUR_EURIBOR_3M_EOD</v>
          </cell>
          <cell r="C490">
            <v>43711</v>
          </cell>
          <cell r="E490">
            <v>2.1467608750013801E-3</v>
          </cell>
          <cell r="F490">
            <v>0.99143222626402805</v>
          </cell>
        </row>
        <row r="491">
          <cell r="A491" t="str">
            <v>EUR_EURIBOR_3M_EOD</v>
          </cell>
          <cell r="C491">
            <v>44077</v>
          </cell>
          <cell r="E491">
            <v>3.5489135266859001E-3</v>
          </cell>
          <cell r="F491">
            <v>0.98237373269712103</v>
          </cell>
        </row>
        <row r="492">
          <cell r="A492" t="str">
            <v>EUR_EURIBOR_3M_EOD</v>
          </cell>
          <cell r="C492">
            <v>44442</v>
          </cell>
          <cell r="E492">
            <v>5.0336482263169001E-3</v>
          </cell>
          <cell r="F492">
            <v>0.97019611003444695</v>
          </cell>
        </row>
        <row r="493">
          <cell r="A493" t="str">
            <v>EUR_EURIBOR_3M_EOD</v>
          </cell>
          <cell r="C493">
            <v>44809</v>
          </cell>
          <cell r="E493">
            <v>6.5318567252302898E-3</v>
          </cell>
          <cell r="F493">
            <v>0.95520397963887305</v>
          </cell>
        </row>
        <row r="494">
          <cell r="A494" t="str">
            <v>EUR_EURIBOR_3M_EOD</v>
          </cell>
          <cell r="C494">
            <v>45173</v>
          </cell>
          <cell r="E494">
            <v>7.9656267048257099E-3</v>
          </cell>
          <cell r="F494">
            <v>0.93816059762376203</v>
          </cell>
        </row>
        <row r="495">
          <cell r="A495" t="str">
            <v>EUR_EURIBOR_3M_EOD</v>
          </cell>
          <cell r="C495">
            <v>45538</v>
          </cell>
          <cell r="E495">
            <v>9.2938611824753305E-3</v>
          </cell>
          <cell r="F495">
            <v>0.91964085163967502</v>
          </cell>
        </row>
        <row r="496">
          <cell r="A496" t="str">
            <v>EUR_EURIBOR_3M_EOD</v>
          </cell>
          <cell r="C496">
            <v>45903</v>
          </cell>
          <cell r="E496">
            <v>1.0465784834274801E-2</v>
          </cell>
          <cell r="F496">
            <v>0.90050351115345495</v>
          </cell>
        </row>
        <row r="497">
          <cell r="A497" t="str">
            <v>EUR_EURIBOR_3M_EOD</v>
          </cell>
          <cell r="C497">
            <v>46633</v>
          </cell>
          <cell r="E497">
            <v>1.2384067196162399E-2</v>
          </cell>
          <cell r="F497">
            <v>0.86176001572612304</v>
          </cell>
        </row>
        <row r="498">
          <cell r="A498" t="str">
            <v>EUR_EURIBOR_3M_EOD</v>
          </cell>
          <cell r="C498">
            <v>47729</v>
          </cell>
          <cell r="E498">
            <v>1.4379976960742899E-2</v>
          </cell>
          <cell r="F498">
            <v>0.80578684029018099</v>
          </cell>
        </row>
        <row r="499">
          <cell r="A499" t="str">
            <v>EUR_EURIBOR_3M_EOD</v>
          </cell>
          <cell r="C499">
            <v>49555</v>
          </cell>
          <cell r="E499">
            <v>1.5983196527807501E-2</v>
          </cell>
          <cell r="F499">
            <v>0.72617048956655195</v>
          </cell>
        </row>
        <row r="500">
          <cell r="A500" t="str">
            <v>EUR_EURIBOR_3M_EOD</v>
          </cell>
          <cell r="C500">
            <v>51382</v>
          </cell>
          <cell r="E500">
            <v>1.6325860230796501E-2</v>
          </cell>
          <cell r="F500">
            <v>0.66461386491948904</v>
          </cell>
        </row>
        <row r="501">
          <cell r="A501" t="str">
            <v>EUR_EURIBOR_3M_EOD</v>
          </cell>
          <cell r="C501">
            <v>53209</v>
          </cell>
          <cell r="E501">
            <v>1.6395713153149499E-2</v>
          </cell>
          <cell r="F501">
            <v>0.61117893178121796</v>
          </cell>
        </row>
        <row r="502">
          <cell r="A502" t="str">
            <v>EUR_EURIBOR_3M_EOD</v>
          </cell>
          <cell r="C502">
            <v>56860</v>
          </cell>
          <cell r="E502">
            <v>1.65217244389252E-2</v>
          </cell>
          <cell r="F502">
            <v>0.51612197409048299</v>
          </cell>
        </row>
        <row r="503">
          <cell r="A503" t="str">
            <v>EUR_EURIBOR_3M_EOD</v>
          </cell>
          <cell r="C503">
            <v>60513</v>
          </cell>
          <cell r="E503">
            <v>1.59716219272838E-2</v>
          </cell>
          <cell r="F503">
            <v>0.44967172412034101</v>
          </cell>
        </row>
        <row r="504">
          <cell r="A504" t="str">
            <v>EUR_EURIBOR_3M_EOD</v>
          </cell>
          <cell r="C504">
            <v>64165</v>
          </cell>
          <cell r="E504">
            <v>1.5660749825288801E-2</v>
          </cell>
          <cell r="F504">
            <v>0.39048161389604003</v>
          </cell>
        </row>
        <row r="505">
          <cell r="A505" t="str">
            <v>EUR_EURIBOR_6M_EOD</v>
          </cell>
          <cell r="C505">
            <v>42432</v>
          </cell>
          <cell r="E505">
            <v>3.9537769029722003E-4</v>
          </cell>
          <cell r="F505">
            <v>0.99980070617668104</v>
          </cell>
        </row>
        <row r="506">
          <cell r="A506" t="str">
            <v>EUR_EURIBOR_6M_EOD</v>
          </cell>
          <cell r="C506">
            <v>42464</v>
          </cell>
          <cell r="E506">
            <v>3.7305014256061998E-4</v>
          </cell>
          <cell r="F506">
            <v>0.99977926044658005</v>
          </cell>
        </row>
        <row r="507">
          <cell r="A507" t="str">
            <v>EUR_EURIBOR_6M_EOD</v>
          </cell>
          <cell r="C507">
            <v>42493</v>
          </cell>
          <cell r="E507">
            <v>4.1796830296429998E-4</v>
          </cell>
          <cell r="F507">
            <v>0.99971948528523902</v>
          </cell>
        </row>
        <row r="508">
          <cell r="A508" t="str">
            <v>EUR_EURIBOR_6M_EOD</v>
          </cell>
          <cell r="C508">
            <v>42524</v>
          </cell>
          <cell r="E508">
            <v>4.2450239266761999E-4</v>
          </cell>
          <cell r="F508">
            <v>0.99967905792285905</v>
          </cell>
        </row>
        <row r="509">
          <cell r="A509" t="str">
            <v>EUR_EURIBOR_6M_EOD</v>
          </cell>
          <cell r="C509">
            <v>42555</v>
          </cell>
          <cell r="E509">
            <v>4.2542477025693997E-4</v>
          </cell>
          <cell r="F509">
            <v>0.99964224098508203</v>
          </cell>
        </row>
        <row r="510">
          <cell r="A510" t="str">
            <v>EUR_EURIBOR_6M_EOD</v>
          </cell>
          <cell r="C510">
            <v>42585</v>
          </cell>
          <cell r="E510">
            <v>4.3826060044358E-4</v>
          </cell>
          <cell r="F510">
            <v>0.999595441246794</v>
          </cell>
        </row>
        <row r="511">
          <cell r="A511" t="str">
            <v>EUR_EURIBOR_6M_EOD</v>
          </cell>
          <cell r="C511">
            <v>42618</v>
          </cell>
          <cell r="E511">
            <v>4.5270356947366998E-4</v>
          </cell>
          <cell r="F511">
            <v>0.999541200292555</v>
          </cell>
        </row>
        <row r="512">
          <cell r="A512" t="str">
            <v>EUR_EURIBOR_6M_EOD</v>
          </cell>
          <cell r="C512">
            <v>42797</v>
          </cell>
          <cell r="E512">
            <v>6.218359267166E-4</v>
          </cell>
          <cell r="F512">
            <v>0.999065127885297</v>
          </cell>
        </row>
        <row r="513">
          <cell r="A513" t="str">
            <v>EUR_EURIBOR_6M_EOD</v>
          </cell>
          <cell r="C513">
            <v>42982</v>
          </cell>
          <cell r="E513">
            <v>9.3447512545083997E-4</v>
          </cell>
          <cell r="F513">
            <v>0.998122573499855</v>
          </cell>
        </row>
        <row r="514">
          <cell r="A514" t="str">
            <v>EUR_EURIBOR_6M_EOD</v>
          </cell>
          <cell r="C514">
            <v>43346</v>
          </cell>
          <cell r="E514">
            <v>1.83653965529012E-3</v>
          </cell>
          <cell r="F514">
            <v>0.99449051935313104</v>
          </cell>
        </row>
        <row r="515">
          <cell r="A515" t="str">
            <v>EUR_EURIBOR_6M_EOD</v>
          </cell>
          <cell r="C515">
            <v>43711</v>
          </cell>
          <cell r="E515">
            <v>3.11105034120714E-3</v>
          </cell>
          <cell r="F515">
            <v>0.98760765380078297</v>
          </cell>
        </row>
        <row r="516">
          <cell r="A516" t="str">
            <v>EUR_EURIBOR_6M_EOD</v>
          </cell>
          <cell r="C516">
            <v>44077</v>
          </cell>
          <cell r="E516">
            <v>4.5393382213784004E-3</v>
          </cell>
          <cell r="F516">
            <v>0.97751031252635601</v>
          </cell>
        </row>
        <row r="517">
          <cell r="A517" t="str">
            <v>EUR_EURIBOR_6M_EOD</v>
          </cell>
          <cell r="C517">
            <v>44442</v>
          </cell>
          <cell r="E517">
            <v>6.0192531412603398E-3</v>
          </cell>
          <cell r="F517">
            <v>0.96446524329740202</v>
          </cell>
        </row>
        <row r="518">
          <cell r="A518" t="str">
            <v>EUR_EURIBOR_6M_EOD</v>
          </cell>
          <cell r="C518">
            <v>44809</v>
          </cell>
          <cell r="E518">
            <v>7.4968447033105998E-3</v>
          </cell>
          <cell r="F518">
            <v>0.94875835050330803</v>
          </cell>
        </row>
        <row r="519">
          <cell r="A519" t="str">
            <v>EUR_EURIBOR_6M_EOD</v>
          </cell>
          <cell r="C519">
            <v>45173</v>
          </cell>
          <cell r="E519">
            <v>8.9005299237626592E-3</v>
          </cell>
          <cell r="F519">
            <v>0.93115813190540497</v>
          </cell>
        </row>
        <row r="520">
          <cell r="A520" t="str">
            <v>EUR_EURIBOR_6M_EOD</v>
          </cell>
          <cell r="C520">
            <v>45538</v>
          </cell>
          <cell r="E520">
            <v>1.01859437129581E-2</v>
          </cell>
          <cell r="F520">
            <v>0.912275704623703</v>
          </cell>
        </row>
        <row r="521">
          <cell r="A521" t="str">
            <v>EUR_EURIBOR_6M_EOD</v>
          </cell>
          <cell r="C521">
            <v>45903</v>
          </cell>
          <cell r="E521">
            <v>1.13117354198164E-2</v>
          </cell>
          <cell r="F521">
            <v>0.892907479837734</v>
          </cell>
        </row>
        <row r="522">
          <cell r="A522" t="str">
            <v>EUR_EURIBOR_6M_EOD</v>
          </cell>
          <cell r="C522">
            <v>46633</v>
          </cell>
          <cell r="E522">
            <v>1.31480477626043E-2</v>
          </cell>
          <cell r="F522">
            <v>0.85388676864364299</v>
          </cell>
        </row>
        <row r="523">
          <cell r="A523" t="str">
            <v>EUR_EURIBOR_6M_EOD</v>
          </cell>
          <cell r="C523">
            <v>47729</v>
          </cell>
          <cell r="E523">
            <v>1.5036600026284401E-2</v>
          </cell>
          <cell r="F523">
            <v>0.79788071122957005</v>
          </cell>
        </row>
        <row r="524">
          <cell r="A524" t="str">
            <v>EUR_EURIBOR_6M_EOD</v>
          </cell>
          <cell r="C524">
            <v>49555</v>
          </cell>
          <cell r="E524">
            <v>1.6517790020797202E-2</v>
          </cell>
          <cell r="F524">
            <v>0.71844036231389996</v>
          </cell>
        </row>
        <row r="525">
          <cell r="A525" t="str">
            <v>EUR_EURIBOR_6M_EOD</v>
          </cell>
          <cell r="C525">
            <v>51382</v>
          </cell>
          <cell r="E525">
            <v>1.6774898447442298E-2</v>
          </cell>
          <cell r="F525">
            <v>0.657187384509894</v>
          </cell>
        </row>
        <row r="526">
          <cell r="A526" t="str">
            <v>EUR_EURIBOR_6M_EOD</v>
          </cell>
          <cell r="C526">
            <v>53209</v>
          </cell>
          <cell r="E526">
            <v>1.6778821723119699E-2</v>
          </cell>
          <cell r="F526">
            <v>0.60418773197378695</v>
          </cell>
        </row>
        <row r="527">
          <cell r="A527" t="str">
            <v>EUR_EURIBOR_6M_EOD</v>
          </cell>
          <cell r="C527">
            <v>56860</v>
          </cell>
          <cell r="E527">
            <v>1.6825419333313101E-2</v>
          </cell>
          <cell r="F527">
            <v>0.50988506683717105</v>
          </cell>
        </row>
        <row r="528">
          <cell r="A528" t="str">
            <v>EUR_EURIBOR_6M_EOD</v>
          </cell>
          <cell r="C528">
            <v>60513</v>
          </cell>
          <cell r="E528">
            <v>1.6223637354772599E-2</v>
          </cell>
          <cell r="F528">
            <v>0.44403646454817303</v>
          </cell>
        </row>
        <row r="529">
          <cell r="A529" t="str">
            <v>EUR_EURIBOR_6M_EOD</v>
          </cell>
          <cell r="C529">
            <v>64165</v>
          </cell>
          <cell r="E529">
            <v>1.5897544001326699E-2</v>
          </cell>
          <cell r="F529">
            <v>0.38496876662451401</v>
          </cell>
        </row>
        <row r="530">
          <cell r="A530" t="str">
            <v>EUR_EURIBOR_EOD</v>
          </cell>
          <cell r="C530">
            <v>42249</v>
          </cell>
          <cell r="E530">
            <v>-1.11527948162627E-3</v>
          </cell>
          <cell r="F530">
            <v>1.00000305556489</v>
          </cell>
        </row>
        <row r="531">
          <cell r="A531" t="str">
            <v>EUR_EURIBOR_EOD</v>
          </cell>
          <cell r="C531">
            <v>42250</v>
          </cell>
          <cell r="E531">
            <v>-1.11527948165517E-3</v>
          </cell>
          <cell r="F531">
            <v>1.0000061111391201</v>
          </cell>
        </row>
        <row r="532">
          <cell r="A532" t="str">
            <v>EUR_EURIBOR_EOD</v>
          </cell>
          <cell r="C532">
            <v>42257</v>
          </cell>
          <cell r="E532">
            <v>-1.3755253159429799E-3</v>
          </cell>
          <cell r="F532">
            <v>1.0000339176377699</v>
          </cell>
        </row>
        <row r="533">
          <cell r="A533" t="str">
            <v>EUR_EURIBOR_EOD</v>
          </cell>
          <cell r="C533">
            <v>42354</v>
          </cell>
          <cell r="E533">
            <v>-5.0128960070850001E-4</v>
          </cell>
          <cell r="F533">
            <v>1.00014559059091</v>
          </cell>
        </row>
        <row r="534">
          <cell r="A534" t="str">
            <v>EUR_EURIBOR_EOD</v>
          </cell>
          <cell r="C534">
            <v>42445</v>
          </cell>
          <cell r="E534">
            <v>-4.3553084139660002E-4</v>
          </cell>
          <cell r="F534">
            <v>1.0002350949613299</v>
          </cell>
        </row>
        <row r="535">
          <cell r="A535" t="str">
            <v>EUR_EURIBOR_EOD</v>
          </cell>
          <cell r="C535">
            <v>42536</v>
          </cell>
          <cell r="E535">
            <v>-3.9691091469301002E-4</v>
          </cell>
          <cell r="F535">
            <v>1.0003132280687701</v>
          </cell>
        </row>
        <row r="536">
          <cell r="A536" t="str">
            <v>EUR_EURIBOR_EOD</v>
          </cell>
          <cell r="C536">
            <v>42634</v>
          </cell>
          <cell r="E536">
            <v>-3.6487218972739002E-4</v>
          </cell>
          <cell r="F536">
            <v>1.0003859392916701</v>
          </cell>
        </row>
        <row r="537">
          <cell r="A537" t="str">
            <v>EUR_EURIBOR_EOD</v>
          </cell>
          <cell r="C537">
            <v>42725</v>
          </cell>
          <cell r="E537">
            <v>-3.0996391644830002E-4</v>
          </cell>
          <cell r="F537">
            <v>1.00040515818632</v>
          </cell>
        </row>
        <row r="538">
          <cell r="A538" t="str">
            <v>EUR_EURIBOR_EOD</v>
          </cell>
          <cell r="C538">
            <v>42809</v>
          </cell>
          <cell r="E538">
            <v>-2.2362485413665001E-4</v>
          </cell>
          <cell r="F538">
            <v>1.00034376741193</v>
          </cell>
        </row>
        <row r="539">
          <cell r="A539" t="str">
            <v>EUR_EURIBOR_EOD</v>
          </cell>
          <cell r="C539">
            <v>42907</v>
          </cell>
          <cell r="E539">
            <v>-9.2375301907699994E-5</v>
          </cell>
          <cell r="F539">
            <v>1.00016679561831</v>
          </cell>
        </row>
        <row r="540">
          <cell r="A540" t="str">
            <v>EUR_EURIBOR_EOD</v>
          </cell>
          <cell r="C540">
            <v>42998</v>
          </cell>
          <cell r="E540">
            <v>5.2288528489549999E-5</v>
          </cell>
          <cell r="F540">
            <v>0.99989256358987699</v>
          </cell>
        </row>
        <row r="541">
          <cell r="A541" t="str">
            <v>EUR_EURIBOR_EOD</v>
          </cell>
          <cell r="C541">
            <v>43089</v>
          </cell>
          <cell r="E541">
            <v>2.2421055304962001E-4</v>
          </cell>
          <cell r="F541">
            <v>0.99948352773249505</v>
          </cell>
        </row>
        <row r="542">
          <cell r="A542" t="str">
            <v>EUR_EURIBOR_EOD</v>
          </cell>
          <cell r="C542">
            <v>43180</v>
          </cell>
          <cell r="E542">
            <v>4.2014811656274997E-4</v>
          </cell>
          <cell r="F542">
            <v>0.99892775870130301</v>
          </cell>
        </row>
        <row r="543">
          <cell r="A543" t="str">
            <v>EUR_EURIBOR_EOD</v>
          </cell>
          <cell r="C543">
            <v>43271</v>
          </cell>
          <cell r="E543">
            <v>6.4711091837177999E-4</v>
          </cell>
          <cell r="F543">
            <v>0.99818796025192702</v>
          </cell>
        </row>
        <row r="544">
          <cell r="A544" t="str">
            <v>EUR_EURIBOR_EOD</v>
          </cell>
          <cell r="C544">
            <v>43362</v>
          </cell>
          <cell r="E544">
            <v>9.0145736758791999E-4</v>
          </cell>
          <cell r="F544">
            <v>0.997252484068894</v>
          </cell>
        </row>
        <row r="545">
          <cell r="A545" t="str">
            <v>EUR_EURIBOR_EOD</v>
          </cell>
          <cell r="C545">
            <v>43711</v>
          </cell>
          <cell r="E545">
            <v>3.1213755653500702E-3</v>
          </cell>
          <cell r="F545">
            <v>0.98756678175180501</v>
          </cell>
        </row>
        <row r="546">
          <cell r="A546" t="str">
            <v>EUR_EURIBOR_EOD</v>
          </cell>
          <cell r="C546">
            <v>44077</v>
          </cell>
          <cell r="E546">
            <v>4.55566515142008E-3</v>
          </cell>
          <cell r="F546">
            <v>0.97743034218400404</v>
          </cell>
        </row>
        <row r="547">
          <cell r="A547" t="str">
            <v>EUR_EURIBOR_EOD</v>
          </cell>
          <cell r="C547">
            <v>44442</v>
          </cell>
          <cell r="E547">
            <v>6.0427127072103801E-3</v>
          </cell>
          <cell r="F547">
            <v>0.96432924931483599</v>
          </cell>
        </row>
        <row r="548">
          <cell r="A548" t="str">
            <v>EUR_EURIBOR_EOD</v>
          </cell>
          <cell r="C548">
            <v>44809</v>
          </cell>
          <cell r="E548">
            <v>7.5280886417334004E-3</v>
          </cell>
          <cell r="F548">
            <v>0.94855038538562197</v>
          </cell>
        </row>
        <row r="549">
          <cell r="A549" t="str">
            <v>EUR_EURIBOR_EOD</v>
          </cell>
          <cell r="C549">
            <v>45173</v>
          </cell>
          <cell r="E549">
            <v>8.9403156462250707E-3</v>
          </cell>
          <cell r="F549">
            <v>0.93086129734548395</v>
          </cell>
        </row>
        <row r="550">
          <cell r="A550" t="str">
            <v>EUR_EURIBOR_EOD</v>
          </cell>
          <cell r="C550">
            <v>45538</v>
          </cell>
          <cell r="E550">
            <v>1.02331698353278E-2</v>
          </cell>
          <cell r="F550">
            <v>0.91188744788854503</v>
          </cell>
        </row>
        <row r="551">
          <cell r="A551" t="str">
            <v>EUR_EURIBOR_EOD</v>
          </cell>
          <cell r="C551">
            <v>45903</v>
          </cell>
          <cell r="E551">
            <v>1.1365139803418399E-2</v>
          </cell>
          <cell r="F551">
            <v>0.89243010253663202</v>
          </cell>
        </row>
        <row r="552">
          <cell r="A552" t="str">
            <v>EUR_EURIBOR_EOD</v>
          </cell>
          <cell r="C552">
            <v>46633</v>
          </cell>
          <cell r="E552">
            <v>1.3210886438166E-2</v>
          </cell>
          <cell r="F552">
            <v>0.85324239151001202</v>
          </cell>
        </row>
        <row r="553">
          <cell r="A553" t="str">
            <v>EUR_EURIBOR_EOD</v>
          </cell>
          <cell r="C553">
            <v>47729</v>
          </cell>
          <cell r="E553">
            <v>1.51067274617473E-2</v>
          </cell>
          <cell r="F553">
            <v>0.79704093377501695</v>
          </cell>
        </row>
        <row r="554">
          <cell r="A554" t="str">
            <v>EUR_EURIBOR_EOD</v>
          </cell>
          <cell r="C554">
            <v>49555</v>
          </cell>
          <cell r="E554">
            <v>1.65860398832294E-2</v>
          </cell>
          <cell r="F554">
            <v>0.71745942311261202</v>
          </cell>
        </row>
        <row r="555">
          <cell r="A555" t="str">
            <v>EUR_EURIBOR_EOD</v>
          </cell>
          <cell r="C555">
            <v>51382</v>
          </cell>
          <cell r="E555">
            <v>1.68330542168794E-2</v>
          </cell>
          <cell r="F555">
            <v>0.65623165678490702</v>
          </cell>
        </row>
        <row r="556">
          <cell r="A556" t="str">
            <v>EUR_EURIBOR_EOD</v>
          </cell>
          <cell r="C556">
            <v>53209</v>
          </cell>
          <cell r="E556">
            <v>1.68280771234301E-2</v>
          </cell>
          <cell r="F556">
            <v>0.60329471047145</v>
          </cell>
        </row>
        <row r="557">
          <cell r="A557" t="str">
            <v>EUR_EURIBOR_EOD</v>
          </cell>
          <cell r="C557">
            <v>56860</v>
          </cell>
          <cell r="E557">
            <v>1.6863674152695698E-2</v>
          </cell>
          <cell r="F557">
            <v>0.50910480073488196</v>
          </cell>
        </row>
        <row r="558">
          <cell r="A558" t="str">
            <v>EUR_EURIBOR_EOD</v>
          </cell>
          <cell r="C558">
            <v>60513</v>
          </cell>
          <cell r="E558">
            <v>1.6251701573558701E-2</v>
          </cell>
          <cell r="F558">
            <v>0.44341331327383798</v>
          </cell>
        </row>
        <row r="559">
          <cell r="A559" t="str">
            <v>EUR_EURIBOR_EOD</v>
          </cell>
          <cell r="C559">
            <v>64165</v>
          </cell>
          <cell r="E559">
            <v>1.5918700099364601E-2</v>
          </cell>
          <cell r="F559">
            <v>0.38448003157479399</v>
          </cell>
        </row>
        <row r="560">
          <cell r="A560" t="str">
            <v>GBP_LIBOR_12M_EOD</v>
          </cell>
          <cell r="C560">
            <v>42614</v>
          </cell>
          <cell r="E560">
            <v>1.0487758952841601E-2</v>
          </cell>
          <cell r="F560">
            <v>0.98953861242914798</v>
          </cell>
        </row>
        <row r="561">
          <cell r="A561" t="str">
            <v>GBP_LIBOR_12M_EOD</v>
          </cell>
          <cell r="C561">
            <v>42646</v>
          </cell>
          <cell r="E561">
            <v>1.0631017560402099E-2</v>
          </cell>
          <cell r="F561">
            <v>0.98847475237106397</v>
          </cell>
        </row>
        <row r="562">
          <cell r="A562" t="str">
            <v>GBP_LIBOR_12M_EOD</v>
          </cell>
          <cell r="C562">
            <v>42675</v>
          </cell>
          <cell r="E562">
            <v>1.0824586275063299E-2</v>
          </cell>
          <cell r="F562">
            <v>0.98741655887198598</v>
          </cell>
        </row>
        <row r="563">
          <cell r="A563" t="str">
            <v>GBP_LIBOR_12M_EOD</v>
          </cell>
          <cell r="C563">
            <v>42705</v>
          </cell>
          <cell r="E563">
            <v>1.1047778705074099E-2</v>
          </cell>
          <cell r="F563">
            <v>0.98626280409895095</v>
          </cell>
        </row>
        <row r="564">
          <cell r="A564" t="str">
            <v>GBP_LIBOR_12M_EOD</v>
          </cell>
          <cell r="C564">
            <v>42738</v>
          </cell>
          <cell r="E564">
            <v>1.12949548957959E-2</v>
          </cell>
          <cell r="F564">
            <v>0.98495129066523102</v>
          </cell>
        </row>
        <row r="565">
          <cell r="A565" t="str">
            <v>GBP_LIBOR_12M_EOD</v>
          </cell>
          <cell r="C565">
            <v>42767</v>
          </cell>
          <cell r="E565">
            <v>1.1538525952060801E-2</v>
          </cell>
          <cell r="F565">
            <v>0.98372702352658503</v>
          </cell>
        </row>
        <row r="566">
          <cell r="A566" t="str">
            <v>GBP_LIBOR_12M_EOD</v>
          </cell>
          <cell r="C566">
            <v>42795</v>
          </cell>
          <cell r="E566">
            <v>1.1646958028551001E-2</v>
          </cell>
          <cell r="F566">
            <v>0.98269696474701396</v>
          </cell>
        </row>
        <row r="567">
          <cell r="A567" t="str">
            <v>GBP_LIBOR_12M_EOD</v>
          </cell>
          <cell r="C567">
            <v>42887</v>
          </cell>
          <cell r="E567">
            <v>1.2269487002607901E-2</v>
          </cell>
          <cell r="F567">
            <v>0.97874904636943705</v>
          </cell>
        </row>
        <row r="568">
          <cell r="A568" t="str">
            <v>GBP_LIBOR_12M_EOD</v>
          </cell>
          <cell r="C568">
            <v>42979</v>
          </cell>
          <cell r="E568">
            <v>1.25773882609173E-2</v>
          </cell>
          <cell r="F568">
            <v>0.97512536660206695</v>
          </cell>
        </row>
        <row r="569">
          <cell r="A569" t="str">
            <v>GBP_LIBOR_12M_EOD</v>
          </cell>
          <cell r="C569">
            <v>43346</v>
          </cell>
          <cell r="E569">
            <v>1.45259756130633E-2</v>
          </cell>
          <cell r="F569">
            <v>0.95724365364992903</v>
          </cell>
        </row>
        <row r="570">
          <cell r="A570" t="str">
            <v>GBP_LIBOR_12M_EOD</v>
          </cell>
          <cell r="C570">
            <v>43710</v>
          </cell>
          <cell r="E570">
            <v>1.6248276134388399E-2</v>
          </cell>
          <cell r="F570">
            <v>0.93699049938923995</v>
          </cell>
        </row>
        <row r="571">
          <cell r="A571" t="str">
            <v>GBP_LIBOR_12M_EOD</v>
          </cell>
          <cell r="C571">
            <v>44075</v>
          </cell>
          <cell r="E571">
            <v>1.77036600459155E-2</v>
          </cell>
          <cell r="F571">
            <v>0.91519757634367205</v>
          </cell>
        </row>
        <row r="572">
          <cell r="A572" t="str">
            <v>GBP_LIBOR_12M_EOD</v>
          </cell>
          <cell r="C572">
            <v>44440</v>
          </cell>
          <cell r="E572">
            <v>1.8836702877861999E-2</v>
          </cell>
          <cell r="F572">
            <v>0.89304042347806001</v>
          </cell>
        </row>
        <row r="573">
          <cell r="A573" t="str">
            <v>GBP_LIBOR_12M_EOD</v>
          </cell>
          <cell r="C573">
            <v>44805</v>
          </cell>
          <cell r="E573">
            <v>1.9717926160976101E-2</v>
          </cell>
          <cell r="F573">
            <v>0.87098238470115297</v>
          </cell>
        </row>
        <row r="574">
          <cell r="A574" t="str">
            <v>GBP_LIBOR_12M_EOD</v>
          </cell>
          <cell r="C574">
            <v>45170</v>
          </cell>
          <cell r="E574">
            <v>2.0395245302492301E-2</v>
          </cell>
          <cell r="F574">
            <v>0.84935867252618602</v>
          </cell>
        </row>
        <row r="575">
          <cell r="A575" t="str">
            <v>GBP_LIBOR_12M_EOD</v>
          </cell>
          <cell r="C575">
            <v>45537</v>
          </cell>
          <cell r="E575">
            <v>2.0938358130608199E-2</v>
          </cell>
          <cell r="F575">
            <v>0.828055842171875</v>
          </cell>
        </row>
        <row r="576">
          <cell r="A576" t="str">
            <v>GBP_LIBOR_12M_EOD</v>
          </cell>
          <cell r="C576">
            <v>45901</v>
          </cell>
          <cell r="E576">
            <v>2.1379089449789699E-2</v>
          </cell>
          <cell r="F576">
            <v>0.80737534037982905</v>
          </cell>
        </row>
        <row r="577">
          <cell r="A577" t="str">
            <v>GBP_LIBOR_12M_EOD</v>
          </cell>
          <cell r="C577">
            <v>46631</v>
          </cell>
          <cell r="E577">
            <v>2.2096033153522501E-2</v>
          </cell>
          <cell r="F577">
            <v>0.76694973901796504</v>
          </cell>
        </row>
        <row r="578">
          <cell r="A578" t="str">
            <v>GBP_LIBOR_12M_EOD</v>
          </cell>
          <cell r="C578">
            <v>47728</v>
          </cell>
          <cell r="E578">
            <v>2.2791982464639201E-2</v>
          </cell>
          <cell r="F578">
            <v>0.71021186226121702</v>
          </cell>
        </row>
        <row r="579">
          <cell r="A579" t="str">
            <v>GBP_LIBOR_12M_EOD</v>
          </cell>
          <cell r="C579">
            <v>49555</v>
          </cell>
          <cell r="E579">
            <v>2.3183007226329301E-2</v>
          </cell>
          <cell r="F579">
            <v>0.62869769484329496</v>
          </cell>
        </row>
        <row r="580">
          <cell r="A580" t="str">
            <v>GBP_LIBOR_12M_EOD</v>
          </cell>
          <cell r="C580">
            <v>51382</v>
          </cell>
          <cell r="E580">
            <v>2.2899505057719999E-2</v>
          </cell>
          <cell r="F580">
            <v>0.56380193300792603</v>
          </cell>
        </row>
        <row r="581">
          <cell r="A581" t="str">
            <v>GBP_LIBOR_12M_EOD</v>
          </cell>
          <cell r="C581">
            <v>53206</v>
          </cell>
          <cell r="E581">
            <v>2.2620674865886401E-2</v>
          </cell>
          <cell r="F581">
            <v>0.50706501870574705</v>
          </cell>
        </row>
        <row r="582">
          <cell r="A582" t="str">
            <v>GBP_LIBOR_12M_EOD</v>
          </cell>
          <cell r="C582">
            <v>56858</v>
          </cell>
          <cell r="E582">
            <v>2.1839584483943301E-2</v>
          </cell>
          <cell r="F582">
            <v>0.41720326740529701</v>
          </cell>
        </row>
        <row r="583">
          <cell r="A583" t="str">
            <v>GBP_LIBOR_12M_EOD</v>
          </cell>
          <cell r="C583">
            <v>60511</v>
          </cell>
          <cell r="E583">
            <v>2.10142326608912E-2</v>
          </cell>
          <cell r="F583">
            <v>0.34942718302009201</v>
          </cell>
        </row>
        <row r="584">
          <cell r="A584" t="str">
            <v>GBP_LIBOR_12M_EOD</v>
          </cell>
          <cell r="C584">
            <v>64164</v>
          </cell>
          <cell r="E584">
            <v>2.0944889821960199E-2</v>
          </cell>
          <cell r="F584">
            <v>0.28433233779433498</v>
          </cell>
        </row>
        <row r="585">
          <cell r="A585" t="str">
            <v>GBP_LIBOR_1M_EOD</v>
          </cell>
          <cell r="C585">
            <v>42278</v>
          </cell>
          <cell r="E585">
            <v>5.0514512044744601E-3</v>
          </cell>
          <cell r="F585">
            <v>0.99958489840828402</v>
          </cell>
        </row>
        <row r="586">
          <cell r="A586" t="str">
            <v>GBP_LIBOR_1M_EOD</v>
          </cell>
          <cell r="C586">
            <v>42310</v>
          </cell>
          <cell r="E586">
            <v>5.1178930707753197E-3</v>
          </cell>
          <cell r="F586">
            <v>0.99913103702639505</v>
          </cell>
        </row>
        <row r="587">
          <cell r="A587" t="str">
            <v>GBP_LIBOR_1M_EOD</v>
          </cell>
          <cell r="C587">
            <v>42339</v>
          </cell>
          <cell r="E587">
            <v>5.1866743738476504E-3</v>
          </cell>
          <cell r="F587">
            <v>0.998707719637563</v>
          </cell>
        </row>
        <row r="588">
          <cell r="A588" t="str">
            <v>GBP_LIBOR_1M_EOD</v>
          </cell>
          <cell r="C588">
            <v>42430</v>
          </cell>
          <cell r="E588">
            <v>5.46175967239876E-3</v>
          </cell>
          <cell r="F588">
            <v>0.99728030711039095</v>
          </cell>
        </row>
        <row r="589">
          <cell r="A589" t="str">
            <v>GBP_LIBOR_1M_EOD</v>
          </cell>
          <cell r="C589">
            <v>42522</v>
          </cell>
          <cell r="E589">
            <v>5.8604935248697601E-3</v>
          </cell>
          <cell r="F589">
            <v>0.99561027893449205</v>
          </cell>
        </row>
        <row r="590">
          <cell r="A590" t="str">
            <v>GBP_LIBOR_1M_EOD</v>
          </cell>
          <cell r="C590">
            <v>42614</v>
          </cell>
          <cell r="E590">
            <v>6.35953275935332E-3</v>
          </cell>
          <cell r="F590">
            <v>0.99364333349639899</v>
          </cell>
        </row>
        <row r="591">
          <cell r="A591" t="str">
            <v>GBP_LIBOR_1M_EOD</v>
          </cell>
          <cell r="C591">
            <v>42979</v>
          </cell>
          <cell r="E591">
            <v>8.4998278314150008E-3</v>
          </cell>
          <cell r="F591">
            <v>0.98312112876341395</v>
          </cell>
        </row>
        <row r="592">
          <cell r="A592" t="str">
            <v>GBP_LIBOR_1M_EOD</v>
          </cell>
          <cell r="C592">
            <v>43346</v>
          </cell>
          <cell r="E592">
            <v>1.0643831656044401E-2</v>
          </cell>
          <cell r="F592">
            <v>0.96848820143596104</v>
          </cell>
        </row>
        <row r="593">
          <cell r="A593" t="str">
            <v>GBP_LIBOR_1M_EOD</v>
          </cell>
          <cell r="C593">
            <v>43710</v>
          </cell>
          <cell r="E593">
            <v>1.2511711306537899E-2</v>
          </cell>
          <cell r="F593">
            <v>0.95111965653490704</v>
          </cell>
        </row>
        <row r="594">
          <cell r="A594" t="str">
            <v>GBP_LIBOR_1M_EOD</v>
          </cell>
          <cell r="C594">
            <v>44075</v>
          </cell>
          <cell r="E594">
            <v>1.40358376175566E-2</v>
          </cell>
          <cell r="F594">
            <v>0.93215506741757603</v>
          </cell>
        </row>
        <row r="595">
          <cell r="A595" t="str">
            <v>GBP_LIBOR_1M_EOD</v>
          </cell>
          <cell r="C595">
            <v>44440</v>
          </cell>
          <cell r="E595">
            <v>1.52237830360086E-2</v>
          </cell>
          <cell r="F595">
            <v>0.91262874213576695</v>
          </cell>
        </row>
        <row r="596">
          <cell r="A596" t="str">
            <v>GBP_LIBOR_1M_EOD</v>
          </cell>
          <cell r="C596">
            <v>44805</v>
          </cell>
          <cell r="E596">
            <v>1.6172418152446001E-2</v>
          </cell>
          <cell r="F596">
            <v>0.89288673464215595</v>
          </cell>
        </row>
        <row r="597">
          <cell r="A597" t="str">
            <v>GBP_LIBOR_1M_EOD</v>
          </cell>
          <cell r="C597">
            <v>45170</v>
          </cell>
          <cell r="E597">
            <v>1.6942920357398202E-2</v>
          </cell>
          <cell r="F597">
            <v>0.87316022972582696</v>
          </cell>
        </row>
        <row r="598">
          <cell r="A598" t="str">
            <v>GBP_LIBOR_1M_EOD</v>
          </cell>
          <cell r="C598">
            <v>45537</v>
          </cell>
          <cell r="E598">
            <v>1.75792709437027E-2</v>
          </cell>
          <cell r="F598">
            <v>0.85350311417943503</v>
          </cell>
        </row>
        <row r="599">
          <cell r="A599" t="str">
            <v>GBP_LIBOR_1M_EOD</v>
          </cell>
          <cell r="C599">
            <v>45901</v>
          </cell>
          <cell r="E599">
            <v>1.8113697907028999E-2</v>
          </cell>
          <cell r="F599">
            <v>0.83419686211269695</v>
          </cell>
        </row>
        <row r="600">
          <cell r="A600" t="str">
            <v>GBP_LIBOR_1M_EOD</v>
          </cell>
          <cell r="C600">
            <v>46631</v>
          </cell>
          <cell r="E600">
            <v>1.90602621841146E-2</v>
          </cell>
          <cell r="F600">
            <v>0.79542413304866399</v>
          </cell>
        </row>
        <row r="601">
          <cell r="A601" t="str">
            <v>GBP_LIBOR_1M_EOD</v>
          </cell>
          <cell r="C601">
            <v>47728</v>
          </cell>
          <cell r="E601">
            <v>2.01137113739202E-2</v>
          </cell>
          <cell r="F601">
            <v>0.73935196390921099</v>
          </cell>
        </row>
        <row r="602">
          <cell r="A602" t="str">
            <v>GBP_LIBOR_1M_EOD</v>
          </cell>
          <cell r="C602">
            <v>49555</v>
          </cell>
          <cell r="E602">
            <v>2.0938144002800401E-2</v>
          </cell>
          <cell r="F602">
            <v>0.65759605555443001</v>
          </cell>
        </row>
        <row r="603">
          <cell r="A603" t="str">
            <v>GBP_LIBOR_1M_EOD</v>
          </cell>
          <cell r="C603">
            <v>51382</v>
          </cell>
          <cell r="E603">
            <v>2.0937684814093398E-2</v>
          </cell>
          <cell r="F603">
            <v>0.59217185416205098</v>
          </cell>
        </row>
        <row r="604">
          <cell r="A604" t="str">
            <v>GBP_LIBOR_1M_EOD</v>
          </cell>
          <cell r="C604">
            <v>53206</v>
          </cell>
          <cell r="E604">
            <v>2.08911826344826E-2</v>
          </cell>
          <cell r="F604">
            <v>0.53408868984055502</v>
          </cell>
        </row>
        <row r="605">
          <cell r="A605" t="str">
            <v>GBP_LIBOR_1M_EOD</v>
          </cell>
          <cell r="C605">
            <v>56858</v>
          </cell>
          <cell r="E605">
            <v>2.0246908082162E-2</v>
          </cell>
          <cell r="F605">
            <v>0.44466635899200302</v>
          </cell>
        </row>
        <row r="606">
          <cell r="A606" t="str">
            <v>GBP_LIBOR_1M_EOD</v>
          </cell>
          <cell r="C606">
            <v>60511</v>
          </cell>
          <cell r="E606">
            <v>1.9757630125492399E-2</v>
          </cell>
          <cell r="F606">
            <v>0.37210276878389398</v>
          </cell>
        </row>
        <row r="607">
          <cell r="A607" t="str">
            <v>GBP_LIBOR_1M_EOD</v>
          </cell>
          <cell r="C607">
            <v>64164</v>
          </cell>
          <cell r="E607">
            <v>1.9824320840883199E-2</v>
          </cell>
          <cell r="F607">
            <v>0.30412141624281003</v>
          </cell>
        </row>
        <row r="608">
          <cell r="A608" t="str">
            <v>GBP_LIBOR_3M_EOD</v>
          </cell>
          <cell r="C608">
            <v>42339</v>
          </cell>
          <cell r="E608">
            <v>5.8520288709879896E-3</v>
          </cell>
          <cell r="F608">
            <v>0.99854206484278096</v>
          </cell>
        </row>
        <row r="609">
          <cell r="A609" t="str">
            <v>GBP_LIBOR_3M_EOD</v>
          </cell>
          <cell r="C609">
            <v>42354</v>
          </cell>
          <cell r="E609">
            <v>5.9743546952539302E-3</v>
          </cell>
          <cell r="F609">
            <v>0.99826648619787295</v>
          </cell>
        </row>
        <row r="610">
          <cell r="A610" t="str">
            <v>GBP_LIBOR_3M_EOD</v>
          </cell>
          <cell r="C610">
            <v>42445</v>
          </cell>
          <cell r="E610">
            <v>6.2567022646158902E-3</v>
          </cell>
          <cell r="F610">
            <v>0.99662879027332796</v>
          </cell>
        </row>
        <row r="611">
          <cell r="A611" t="str">
            <v>GBP_LIBOR_3M_EOD</v>
          </cell>
          <cell r="C611">
            <v>42536</v>
          </cell>
          <cell r="E611">
            <v>6.7034483686041601E-3</v>
          </cell>
          <cell r="F611">
            <v>0.99472466745016097</v>
          </cell>
        </row>
        <row r="612">
          <cell r="A612" t="str">
            <v>GBP_LIBOR_3M_EOD</v>
          </cell>
          <cell r="C612">
            <v>42634</v>
          </cell>
          <cell r="E612">
            <v>7.2231263239309297E-3</v>
          </cell>
          <cell r="F612">
            <v>0.99239039729586098</v>
          </cell>
        </row>
        <row r="613">
          <cell r="A613" t="str">
            <v>GBP_LIBOR_3M_EOD</v>
          </cell>
          <cell r="C613">
            <v>42725</v>
          </cell>
          <cell r="E613">
            <v>7.7389036110626199E-3</v>
          </cell>
          <cell r="F613">
            <v>0.98993738940022902</v>
          </cell>
        </row>
        <row r="614">
          <cell r="A614" t="str">
            <v>GBP_LIBOR_3M_EOD</v>
          </cell>
          <cell r="C614">
            <v>42809</v>
          </cell>
          <cell r="E614">
            <v>8.2720028374090298E-3</v>
          </cell>
          <cell r="F614">
            <v>0.98736652584260298</v>
          </cell>
        </row>
        <row r="615">
          <cell r="A615" t="str">
            <v>GBP_LIBOR_3M_EOD</v>
          </cell>
          <cell r="C615">
            <v>42907</v>
          </cell>
          <cell r="E615">
            <v>8.9027187715982701E-3</v>
          </cell>
          <cell r="F615">
            <v>0.984054816349204</v>
          </cell>
        </row>
        <row r="616">
          <cell r="A616" t="str">
            <v>GBP_LIBOR_3M_EOD</v>
          </cell>
          <cell r="C616">
            <v>42998</v>
          </cell>
          <cell r="E616">
            <v>9.4818045395601604E-3</v>
          </cell>
          <cell r="F616">
            <v>0.98070541011616896</v>
          </cell>
        </row>
        <row r="617">
          <cell r="A617" t="str">
            <v>GBP_LIBOR_3M_EOD</v>
          </cell>
          <cell r="C617">
            <v>43346</v>
          </cell>
          <cell r="E617">
            <v>1.1486103799689101E-2</v>
          </cell>
          <cell r="F617">
            <v>0.96603741104306595</v>
          </cell>
        </row>
        <row r="618">
          <cell r="A618" t="str">
            <v>GBP_LIBOR_3M_EOD</v>
          </cell>
          <cell r="C618">
            <v>43710</v>
          </cell>
          <cell r="E618">
            <v>1.33394327109898E-2</v>
          </cell>
          <cell r="F618">
            <v>0.94797151596784701</v>
          </cell>
        </row>
        <row r="619">
          <cell r="A619" t="str">
            <v>GBP_LIBOR_3M_EOD</v>
          </cell>
          <cell r="C619">
            <v>44075</v>
          </cell>
          <cell r="E619">
            <v>1.48562316692622E-2</v>
          </cell>
          <cell r="F619">
            <v>0.92833505347477097</v>
          </cell>
        </row>
        <row r="620">
          <cell r="A620" t="str">
            <v>GBP_LIBOR_3M_EOD</v>
          </cell>
          <cell r="C620">
            <v>44440</v>
          </cell>
          <cell r="E620">
            <v>1.6017686335322301E-2</v>
          </cell>
          <cell r="F620">
            <v>0.90828789454686498</v>
          </cell>
        </row>
        <row r="621">
          <cell r="A621" t="str">
            <v>GBP_LIBOR_3M_EOD</v>
          </cell>
          <cell r="C621">
            <v>44805</v>
          </cell>
          <cell r="E621">
            <v>1.6926696357253499E-2</v>
          </cell>
          <cell r="F621">
            <v>0.88818109273454104</v>
          </cell>
        </row>
        <row r="622">
          <cell r="A622" t="str">
            <v>GBP_LIBOR_3M_EOD</v>
          </cell>
          <cell r="C622">
            <v>45170</v>
          </cell>
          <cell r="E622">
            <v>1.7670742392026199E-2</v>
          </cell>
          <cell r="F622">
            <v>0.86808749811528096</v>
          </cell>
        </row>
        <row r="623">
          <cell r="A623" t="str">
            <v>GBP_LIBOR_3M_EOD</v>
          </cell>
          <cell r="C623">
            <v>45537</v>
          </cell>
          <cell r="E623">
            <v>1.8280455370482999E-2</v>
          </cell>
          <cell r="F623">
            <v>0.84812738857879499</v>
          </cell>
        </row>
        <row r="624">
          <cell r="A624" t="str">
            <v>GBP_LIBOR_3M_EOD</v>
          </cell>
          <cell r="C624">
            <v>45901</v>
          </cell>
          <cell r="E624">
            <v>1.88016084072214E-2</v>
          </cell>
          <cell r="F624">
            <v>0.82847334284117302</v>
          </cell>
        </row>
        <row r="625">
          <cell r="A625" t="str">
            <v>GBP_LIBOR_3M_EOD</v>
          </cell>
          <cell r="C625">
            <v>46631</v>
          </cell>
          <cell r="E625">
            <v>1.9735182770787299E-2</v>
          </cell>
          <cell r="F625">
            <v>0.78900359619534899</v>
          </cell>
        </row>
        <row r="626">
          <cell r="A626" t="str">
            <v>GBP_LIBOR_3M_EOD</v>
          </cell>
          <cell r="C626">
            <v>47728</v>
          </cell>
          <cell r="E626">
            <v>2.0761278436621001E-2</v>
          </cell>
          <cell r="F626">
            <v>0.73219853609365704</v>
          </cell>
        </row>
        <row r="627">
          <cell r="A627" t="str">
            <v>GBP_LIBOR_3M_EOD</v>
          </cell>
          <cell r="C627">
            <v>49555</v>
          </cell>
          <cell r="E627">
            <v>2.1543517770314002E-2</v>
          </cell>
          <cell r="F627">
            <v>0.64967468969798503</v>
          </cell>
        </row>
        <row r="628">
          <cell r="A628" t="str">
            <v>GBP_LIBOR_3M_EOD</v>
          </cell>
          <cell r="C628">
            <v>51382</v>
          </cell>
          <cell r="E628">
            <v>2.15144475318703E-2</v>
          </cell>
          <cell r="F628">
            <v>0.58368625125366203</v>
          </cell>
        </row>
        <row r="629">
          <cell r="A629" t="str">
            <v>GBP_LIBOR_3M_EOD</v>
          </cell>
          <cell r="C629">
            <v>53206</v>
          </cell>
          <cell r="E629">
            <v>2.1421305698285001E-2</v>
          </cell>
          <cell r="F629">
            <v>0.525655786356375</v>
          </cell>
        </row>
        <row r="630">
          <cell r="A630" t="str">
            <v>GBP_LIBOR_3M_EOD</v>
          </cell>
          <cell r="C630">
            <v>56858</v>
          </cell>
          <cell r="E630">
            <v>2.0732247896787199E-2</v>
          </cell>
          <cell r="F630">
            <v>0.43611124344410501</v>
          </cell>
        </row>
        <row r="631">
          <cell r="A631" t="str">
            <v>GBP_LIBOR_3M_EOD</v>
          </cell>
          <cell r="C631">
            <v>60511</v>
          </cell>
          <cell r="E631">
            <v>2.02118656768316E-2</v>
          </cell>
          <cell r="F631">
            <v>0.36374101620868199</v>
          </cell>
        </row>
        <row r="632">
          <cell r="A632" t="str">
            <v>GBP_LIBOR_3M_EOD</v>
          </cell>
          <cell r="C632">
            <v>64164</v>
          </cell>
          <cell r="E632">
            <v>2.02430880945495E-2</v>
          </cell>
          <cell r="F632">
            <v>0.29656980628076002</v>
          </cell>
        </row>
        <row r="633">
          <cell r="A633" t="str">
            <v>GBP_LIBOR_6M_EOD</v>
          </cell>
          <cell r="C633">
            <v>42430</v>
          </cell>
          <cell r="E633">
            <v>7.4175656874861202E-3</v>
          </cell>
          <cell r="F633">
            <v>0.99630820968179001</v>
          </cell>
        </row>
        <row r="634">
          <cell r="A634" t="str">
            <v>GBP_LIBOR_6M_EOD</v>
          </cell>
          <cell r="C634">
            <v>42614</v>
          </cell>
          <cell r="E634">
            <v>8.2654291173160106E-3</v>
          </cell>
          <cell r="F634">
            <v>0.99174617726643099</v>
          </cell>
        </row>
        <row r="635">
          <cell r="A635" t="str">
            <v>GBP_LIBOR_6M_EOD</v>
          </cell>
          <cell r="C635">
            <v>42795</v>
          </cell>
          <cell r="E635">
            <v>9.3035391632284095E-3</v>
          </cell>
          <cell r="F635">
            <v>0.98615418321967696</v>
          </cell>
        </row>
        <row r="636">
          <cell r="A636" t="str">
            <v>GBP_LIBOR_6M_EOD</v>
          </cell>
          <cell r="C636">
            <v>42979</v>
          </cell>
          <cell r="E636">
            <v>1.04922425251182E-2</v>
          </cell>
          <cell r="F636">
            <v>0.97920600868722096</v>
          </cell>
        </row>
        <row r="637">
          <cell r="A637" t="str">
            <v>GBP_LIBOR_6M_EOD</v>
          </cell>
          <cell r="C637">
            <v>43346</v>
          </cell>
          <cell r="E637">
            <v>1.2632818200814499E-2</v>
          </cell>
          <cell r="F637">
            <v>0.96271074014645397</v>
          </cell>
        </row>
        <row r="638">
          <cell r="A638" t="str">
            <v>GBP_LIBOR_6M_EOD</v>
          </cell>
          <cell r="C638">
            <v>43710</v>
          </cell>
          <cell r="E638">
            <v>1.45090220427422E-2</v>
          </cell>
          <cell r="F638">
            <v>0.94354087756248906</v>
          </cell>
        </row>
        <row r="639">
          <cell r="A639" t="str">
            <v>GBP_LIBOR_6M_EOD</v>
          </cell>
          <cell r="C639">
            <v>44075</v>
          </cell>
          <cell r="E639">
            <v>1.6069099988100501E-2</v>
          </cell>
          <cell r="F639">
            <v>0.92271621622054201</v>
          </cell>
        </row>
        <row r="640">
          <cell r="A640" t="str">
            <v>GBP_LIBOR_6M_EOD</v>
          </cell>
          <cell r="C640">
            <v>44440</v>
          </cell>
          <cell r="E640">
            <v>1.72809221705424E-2</v>
          </cell>
          <cell r="F640">
            <v>0.90142338777346498</v>
          </cell>
        </row>
        <row r="641">
          <cell r="A641" t="str">
            <v>GBP_LIBOR_6M_EOD</v>
          </cell>
          <cell r="C641">
            <v>44805</v>
          </cell>
          <cell r="E641">
            <v>1.82147842761907E-2</v>
          </cell>
          <cell r="F641">
            <v>0.88020248888756503</v>
          </cell>
        </row>
        <row r="642">
          <cell r="A642" t="str">
            <v>GBP_LIBOR_6M_EOD</v>
          </cell>
          <cell r="C642">
            <v>45170</v>
          </cell>
          <cell r="E642">
            <v>1.8957762051370699E-2</v>
          </cell>
          <cell r="F642">
            <v>0.85918932937650305</v>
          </cell>
        </row>
        <row r="643">
          <cell r="A643" t="str">
            <v>GBP_LIBOR_6M_EOD</v>
          </cell>
          <cell r="C643">
            <v>45537</v>
          </cell>
          <cell r="E643">
            <v>1.9580057313681599E-2</v>
          </cell>
          <cell r="F643">
            <v>0.83825318690020201</v>
          </cell>
        </row>
        <row r="644">
          <cell r="A644" t="str">
            <v>GBP_LIBOR_6M_EOD</v>
          </cell>
          <cell r="C644">
            <v>45901</v>
          </cell>
          <cell r="E644">
            <v>2.0086829010932401E-2</v>
          </cell>
          <cell r="F644">
            <v>0.81788512409412994</v>
          </cell>
        </row>
        <row r="645">
          <cell r="A645" t="str">
            <v>GBP_LIBOR_6M_EOD</v>
          </cell>
          <cell r="C645">
            <v>46631</v>
          </cell>
          <cell r="E645">
            <v>2.0936923893179801E-2</v>
          </cell>
          <cell r="F645">
            <v>0.77769942625756605</v>
          </cell>
        </row>
        <row r="646">
          <cell r="A646" t="str">
            <v>GBP_LIBOR_6M_EOD</v>
          </cell>
          <cell r="C646">
            <v>47728</v>
          </cell>
          <cell r="E646">
            <v>2.1780140526608999E-2</v>
          </cell>
          <cell r="F646">
            <v>0.72108340700992501</v>
          </cell>
        </row>
        <row r="647">
          <cell r="A647" t="str">
            <v>GBP_LIBOR_6M_EOD</v>
          </cell>
          <cell r="C647">
            <v>49555</v>
          </cell>
          <cell r="E647">
            <v>2.2319503035712399E-2</v>
          </cell>
          <cell r="F647">
            <v>0.63966024806899302</v>
          </cell>
        </row>
        <row r="648">
          <cell r="A648" t="str">
            <v>GBP_LIBOR_6M_EOD</v>
          </cell>
          <cell r="C648">
            <v>51382</v>
          </cell>
          <cell r="E648">
            <v>2.2162690843286599E-2</v>
          </cell>
          <cell r="F648">
            <v>0.57429404035974096</v>
          </cell>
        </row>
        <row r="649">
          <cell r="A649" t="str">
            <v>GBP_LIBOR_6M_EOD</v>
          </cell>
          <cell r="C649">
            <v>53206</v>
          </cell>
          <cell r="E649">
            <v>2.1967517627718099E-2</v>
          </cell>
          <cell r="F649">
            <v>0.51710620053673695</v>
          </cell>
        </row>
        <row r="650">
          <cell r="A650" t="str">
            <v>GBP_LIBOR_6M_EOD</v>
          </cell>
          <cell r="C650">
            <v>56858</v>
          </cell>
          <cell r="E650">
            <v>2.11643677305456E-2</v>
          </cell>
          <cell r="F650">
            <v>0.42863284960407999</v>
          </cell>
        </row>
        <row r="651">
          <cell r="A651" t="str">
            <v>GBP_LIBOR_6M_EOD</v>
          </cell>
          <cell r="C651">
            <v>60511</v>
          </cell>
          <cell r="E651">
            <v>2.0590386965998801E-2</v>
          </cell>
          <cell r="F651">
            <v>0.356916754684726</v>
          </cell>
        </row>
        <row r="652">
          <cell r="A652" t="str">
            <v>GBP_LIBOR_6M_EOD</v>
          </cell>
          <cell r="C652">
            <v>64164</v>
          </cell>
          <cell r="E652">
            <v>2.05773255792722E-2</v>
          </cell>
          <cell r="F652">
            <v>0.290677302131779</v>
          </cell>
        </row>
        <row r="653">
          <cell r="A653" t="str">
            <v>GBP_LIBOR_EOD</v>
          </cell>
          <cell r="C653">
            <v>42249</v>
          </cell>
          <cell r="E653">
            <v>4.8124682739924098E-3</v>
          </cell>
          <cell r="F653">
            <v>0.99998681524233302</v>
          </cell>
        </row>
        <row r="654">
          <cell r="A654" t="str">
            <v>GBP_LIBOR_EOD</v>
          </cell>
          <cell r="C654">
            <v>42255</v>
          </cell>
          <cell r="E654">
            <v>4.8922704857293298E-3</v>
          </cell>
          <cell r="F654">
            <v>0.99990618003588805</v>
          </cell>
        </row>
        <row r="655">
          <cell r="A655" t="str">
            <v>GBP_LIBOR_EOD</v>
          </cell>
          <cell r="C655">
            <v>42354</v>
          </cell>
          <cell r="E655">
            <v>5.8526167462529897E-3</v>
          </cell>
          <cell r="F655">
            <v>0.99830177956954902</v>
          </cell>
        </row>
        <row r="656">
          <cell r="A656" t="str">
            <v>GBP_LIBOR_EOD</v>
          </cell>
          <cell r="C656">
            <v>42445</v>
          </cell>
          <cell r="E656">
            <v>6.1911985966259702E-3</v>
          </cell>
          <cell r="F656">
            <v>0.99666402574482205</v>
          </cell>
        </row>
        <row r="657">
          <cell r="A657" t="str">
            <v>GBP_LIBOR_EOD</v>
          </cell>
          <cell r="C657">
            <v>42536</v>
          </cell>
          <cell r="E657">
            <v>6.6586420401526097E-3</v>
          </cell>
          <cell r="F657">
            <v>0.99475983560204095</v>
          </cell>
        </row>
        <row r="658">
          <cell r="A658" t="str">
            <v>GBP_LIBOR_EOD</v>
          </cell>
          <cell r="C658">
            <v>42634</v>
          </cell>
          <cell r="E658">
            <v>7.18969569544896E-3</v>
          </cell>
          <cell r="F658">
            <v>0.99242548292041399</v>
          </cell>
        </row>
        <row r="659">
          <cell r="A659" t="str">
            <v>GBP_LIBOR_EOD</v>
          </cell>
          <cell r="C659">
            <v>42725</v>
          </cell>
          <cell r="E659">
            <v>7.7118507335067797E-3</v>
          </cell>
          <cell r="F659">
            <v>0.98997238829952305</v>
          </cell>
        </row>
        <row r="660">
          <cell r="A660" t="str">
            <v>GBP_LIBOR_EOD</v>
          </cell>
          <cell r="C660">
            <v>42809</v>
          </cell>
          <cell r="E660">
            <v>8.2490006580969704E-3</v>
          </cell>
          <cell r="F660">
            <v>0.98740143384989099</v>
          </cell>
        </row>
        <row r="661">
          <cell r="A661" t="str">
            <v>GBP_LIBOR_EOD</v>
          </cell>
          <cell r="C661">
            <v>42907</v>
          </cell>
          <cell r="E661">
            <v>8.8831372502111202E-3</v>
          </cell>
          <cell r="F661">
            <v>0.98408960727213102</v>
          </cell>
        </row>
        <row r="662">
          <cell r="A662" t="str">
            <v>GBP_LIBOR_EOD</v>
          </cell>
          <cell r="C662">
            <v>42998</v>
          </cell>
          <cell r="E662">
            <v>9.4645989094346902E-3</v>
          </cell>
          <cell r="F662">
            <v>0.98074008262197898</v>
          </cell>
        </row>
        <row r="663">
          <cell r="A663" t="str">
            <v>GBP_LIBOR_EOD</v>
          </cell>
          <cell r="C663">
            <v>43346</v>
          </cell>
          <cell r="E663">
            <v>1.26586927018631E-2</v>
          </cell>
          <cell r="F663">
            <v>0.96263580934555704</v>
          </cell>
        </row>
        <row r="664">
          <cell r="A664" t="str">
            <v>GBP_LIBOR_EOD</v>
          </cell>
          <cell r="C664">
            <v>43710</v>
          </cell>
          <cell r="E664">
            <v>1.45410314573015E-2</v>
          </cell>
          <cell r="F664">
            <v>0.94341991106152401</v>
          </cell>
        </row>
        <row r="665">
          <cell r="A665" t="str">
            <v>GBP_LIBOR_EOD</v>
          </cell>
          <cell r="C665">
            <v>44075</v>
          </cell>
          <cell r="E665">
            <v>1.6107233432335898E-2</v>
          </cell>
          <cell r="F665">
            <v>0.92254010848967705</v>
          </cell>
        </row>
        <row r="666">
          <cell r="A666" t="str">
            <v>GBP_LIBOR_EOD</v>
          </cell>
          <cell r="C666">
            <v>44440</v>
          </cell>
          <cell r="E666">
            <v>1.7324467158697499E-2</v>
          </cell>
          <cell r="F666">
            <v>0.90118768868697796</v>
          </cell>
        </row>
        <row r="667">
          <cell r="A667" t="str">
            <v>GBP_LIBOR_EOD</v>
          </cell>
          <cell r="C667">
            <v>44805</v>
          </cell>
          <cell r="E667">
            <v>1.82630025453554E-2</v>
          </cell>
          <cell r="F667">
            <v>0.87990521365727303</v>
          </cell>
        </row>
        <row r="668">
          <cell r="A668" t="str">
            <v>GBP_LIBOR_EOD</v>
          </cell>
          <cell r="C668">
            <v>45170</v>
          </cell>
          <cell r="E668">
            <v>1.9009909415695699E-2</v>
          </cell>
          <cell r="F668">
            <v>0.85883072305869201</v>
          </cell>
        </row>
        <row r="669">
          <cell r="A669" t="str">
            <v>GBP_LIBOR_EOD</v>
          </cell>
          <cell r="C669">
            <v>45537</v>
          </cell>
          <cell r="E669">
            <v>1.9635752162059199E-2</v>
          </cell>
          <cell r="F669">
            <v>0.83783260335797105</v>
          </cell>
        </row>
        <row r="670">
          <cell r="A670" t="str">
            <v>GBP_LIBOR_EOD</v>
          </cell>
          <cell r="C670">
            <v>45901</v>
          </cell>
          <cell r="E670">
            <v>2.01455569536882E-2</v>
          </cell>
          <cell r="F670">
            <v>0.81740454344462699</v>
          </cell>
        </row>
        <row r="671">
          <cell r="A671" t="str">
            <v>GBP_LIBOR_EOD</v>
          </cell>
          <cell r="C671">
            <v>46631</v>
          </cell>
          <cell r="E671">
            <v>2.1000934816535699E-2</v>
          </cell>
          <cell r="F671">
            <v>0.77710187168285505</v>
          </cell>
        </row>
        <row r="672">
          <cell r="A672" t="str">
            <v>GBP_LIBOR_EOD</v>
          </cell>
          <cell r="C672">
            <v>47728</v>
          </cell>
          <cell r="E672">
            <v>2.1847357342942301E-2</v>
          </cell>
          <cell r="F672">
            <v>0.72035607615108599</v>
          </cell>
        </row>
        <row r="673">
          <cell r="A673" t="str">
            <v>GBP_LIBOR_EOD</v>
          </cell>
          <cell r="C673">
            <v>49555</v>
          </cell>
          <cell r="E673">
            <v>2.2380786223296801E-2</v>
          </cell>
          <cell r="F673">
            <v>0.63887596909108801</v>
          </cell>
        </row>
        <row r="674">
          <cell r="A674" t="str">
            <v>GBP_LIBOR_EOD</v>
          </cell>
          <cell r="C674">
            <v>51382</v>
          </cell>
          <cell r="E674">
            <v>2.22099332078819E-2</v>
          </cell>
          <cell r="F674">
            <v>0.57361549733893202</v>
          </cell>
        </row>
        <row r="675">
          <cell r="A675" t="str">
            <v>GBP_LIBOR_EOD</v>
          </cell>
          <cell r="C675">
            <v>53206</v>
          </cell>
          <cell r="E675">
            <v>2.2003841849176701E-2</v>
          </cell>
          <cell r="F675">
            <v>0.51654259180958095</v>
          </cell>
        </row>
        <row r="676">
          <cell r="A676" t="str">
            <v>GBP_LIBOR_EOD</v>
          </cell>
          <cell r="C676">
            <v>56858</v>
          </cell>
          <cell r="E676">
            <v>2.1175273877180999E-2</v>
          </cell>
          <cell r="F676">
            <v>0.42844577305739501</v>
          </cell>
        </row>
        <row r="677">
          <cell r="A677" t="str">
            <v>GBP_LIBOR_EOD</v>
          </cell>
          <cell r="C677">
            <v>60511</v>
          </cell>
          <cell r="E677">
            <v>2.0584451920956599E-2</v>
          </cell>
          <cell r="F677">
            <v>0.35702276172174102</v>
          </cell>
        </row>
        <row r="678">
          <cell r="A678" t="str">
            <v>GBP_LIBOR_EOD</v>
          </cell>
          <cell r="C678">
            <v>64164</v>
          </cell>
          <cell r="E678">
            <v>2.0570873447718199E-2</v>
          </cell>
          <cell r="F678">
            <v>0.29078993545281601</v>
          </cell>
        </row>
        <row r="679">
          <cell r="A679" t="str">
            <v>GBP_SONIA_EOD</v>
          </cell>
          <cell r="C679">
            <v>42249</v>
          </cell>
          <cell r="E679">
            <v>4.5859711901054196E-3</v>
          </cell>
          <cell r="F679">
            <v>0.99998743577430005</v>
          </cell>
        </row>
        <row r="680">
          <cell r="A680" t="str">
            <v>GBP_SONIA_EOD</v>
          </cell>
          <cell r="C680">
            <v>42255</v>
          </cell>
          <cell r="E680">
            <v>4.5997971078291598E-3</v>
          </cell>
          <cell r="F680">
            <v>0.99991178860385499</v>
          </cell>
        </row>
        <row r="681">
          <cell r="A681" t="str">
            <v>GBP_SONIA_EOD</v>
          </cell>
          <cell r="C681">
            <v>42262</v>
          </cell>
          <cell r="E681">
            <v>4.6005940630814398E-3</v>
          </cell>
          <cell r="F681">
            <v>0.99982355442620596</v>
          </cell>
        </row>
        <row r="682">
          <cell r="A682" t="str">
            <v>GBP_SONIA_EOD</v>
          </cell>
          <cell r="C682">
            <v>42278</v>
          </cell>
          <cell r="E682">
            <v>4.5962567163172104E-3</v>
          </cell>
          <cell r="F682">
            <v>0.99962229682318204</v>
          </cell>
        </row>
        <row r="683">
          <cell r="A683" t="str">
            <v>GBP_SONIA_EOD</v>
          </cell>
          <cell r="C683">
            <v>42310</v>
          </cell>
          <cell r="E683">
            <v>4.6128589855388702E-3</v>
          </cell>
          <cell r="F683">
            <v>0.99921675276932398</v>
          </cell>
        </row>
        <row r="684">
          <cell r="A684" t="str">
            <v>GBP_SONIA_EOD</v>
          </cell>
          <cell r="C684">
            <v>42339</v>
          </cell>
          <cell r="E684">
            <v>4.6973733180202103E-3</v>
          </cell>
          <cell r="F684">
            <v>0.99882955954984698</v>
          </cell>
        </row>
        <row r="685">
          <cell r="A685" t="str">
            <v>GBP_SONIA_EOD</v>
          </cell>
          <cell r="C685">
            <v>42373</v>
          </cell>
          <cell r="E685">
            <v>4.7571228574932404E-3</v>
          </cell>
          <cell r="F685">
            <v>0.99837217468367501</v>
          </cell>
        </row>
        <row r="686">
          <cell r="A686" t="str">
            <v>GBP_SONIA_EOD</v>
          </cell>
          <cell r="C686">
            <v>42401</v>
          </cell>
          <cell r="E686">
            <v>4.8056564289502999E-3</v>
          </cell>
          <cell r="F686">
            <v>0.99798760174847601</v>
          </cell>
        </row>
        <row r="687">
          <cell r="A687" t="str">
            <v>GBP_SONIA_EOD</v>
          </cell>
          <cell r="C687">
            <v>42430</v>
          </cell>
          <cell r="E687">
            <v>4.9345492517145501E-3</v>
          </cell>
          <cell r="F687">
            <v>0.99754250961642099</v>
          </cell>
        </row>
        <row r="688">
          <cell r="A688" t="str">
            <v>GBP_SONIA_EOD</v>
          </cell>
          <cell r="C688">
            <v>42461</v>
          </cell>
          <cell r="E688">
            <v>5.0436951406602204E-3</v>
          </cell>
          <cell r="F688">
            <v>0.997061020254292</v>
          </cell>
        </row>
        <row r="689">
          <cell r="A689" t="str">
            <v>GBP_SONIA_EOD</v>
          </cell>
          <cell r="C689">
            <v>42493</v>
          </cell>
          <cell r="E689">
            <v>5.1199421282898498E-3</v>
          </cell>
          <cell r="F689">
            <v>0.99656922511981705</v>
          </cell>
        </row>
        <row r="690">
          <cell r="A690" t="str">
            <v>GBP_SONIA_EOD</v>
          </cell>
          <cell r="C690">
            <v>42522</v>
          </cell>
          <cell r="E690">
            <v>5.2640853232765496E-3</v>
          </cell>
          <cell r="F690">
            <v>0.99605612804116495</v>
          </cell>
        </row>
        <row r="691">
          <cell r="A691" t="str">
            <v>GBP_SONIA_EOD</v>
          </cell>
          <cell r="C691">
            <v>42552</v>
          </cell>
          <cell r="E691">
            <v>5.4018301807736797E-3</v>
          </cell>
          <cell r="F691">
            <v>0.99551104704153504</v>
          </cell>
        </row>
        <row r="692">
          <cell r="A692" t="str">
            <v>GBP_SONIA_EOD</v>
          </cell>
          <cell r="C692">
            <v>42583</v>
          </cell>
          <cell r="E692">
            <v>5.5307719284305203E-3</v>
          </cell>
          <cell r="F692">
            <v>0.99493667413502895</v>
          </cell>
        </row>
        <row r="693">
          <cell r="A693" t="str">
            <v>GBP_SONIA_EOD</v>
          </cell>
          <cell r="C693">
            <v>42614</v>
          </cell>
          <cell r="E693">
            <v>5.6710118198960002E-3</v>
          </cell>
          <cell r="F693">
            <v>0.99432958897628498</v>
          </cell>
        </row>
        <row r="694">
          <cell r="A694" t="str">
            <v>GBP_SONIA_EOD</v>
          </cell>
          <cell r="C694">
            <v>42705</v>
          </cell>
          <cell r="E694">
            <v>6.0925818491108803E-3</v>
          </cell>
          <cell r="F694">
            <v>0.992400774915151</v>
          </cell>
        </row>
        <row r="695">
          <cell r="A695" t="str">
            <v>GBP_SONIA_EOD</v>
          </cell>
          <cell r="C695">
            <v>42795</v>
          </cell>
          <cell r="E695">
            <v>6.5568478618891497E-3</v>
          </cell>
          <cell r="F695">
            <v>0.990221830432787</v>
          </cell>
        </row>
        <row r="696">
          <cell r="A696" t="str">
            <v>GBP_SONIA_EOD</v>
          </cell>
          <cell r="C696">
            <v>42887</v>
          </cell>
          <cell r="E696">
            <v>7.0780045270369199E-3</v>
          </cell>
          <cell r="F696">
            <v>0.98768510085288197</v>
          </cell>
        </row>
        <row r="697">
          <cell r="A697" t="str">
            <v>GBP_SONIA_EOD</v>
          </cell>
          <cell r="C697">
            <v>42979</v>
          </cell>
          <cell r="E697">
            <v>7.5977627193596102E-3</v>
          </cell>
          <cell r="F697">
            <v>0.98489884232901903</v>
          </cell>
        </row>
        <row r="698">
          <cell r="A698" t="str">
            <v>GBP_SONIA_EOD</v>
          </cell>
          <cell r="C698">
            <v>43346</v>
          </cell>
          <cell r="E698">
            <v>9.6290867061233406E-3</v>
          </cell>
          <cell r="F698">
            <v>0.97144910140551199</v>
          </cell>
        </row>
        <row r="699">
          <cell r="A699" t="str">
            <v>GBP_SONIA_EOD</v>
          </cell>
          <cell r="C699">
            <v>43710</v>
          </cell>
          <cell r="E699">
            <v>1.13963122150264E-2</v>
          </cell>
          <cell r="F699">
            <v>0.95537848809253001</v>
          </cell>
        </row>
        <row r="700">
          <cell r="A700" t="str">
            <v>GBP_SONIA_EOD</v>
          </cell>
          <cell r="C700">
            <v>44075</v>
          </cell>
          <cell r="E700">
            <v>1.28763076250574E-2</v>
          </cell>
          <cell r="F700">
            <v>0.93758102965969603</v>
          </cell>
        </row>
        <row r="701">
          <cell r="A701" t="str">
            <v>GBP_SONIA_EOD</v>
          </cell>
          <cell r="C701">
            <v>44440</v>
          </cell>
          <cell r="E701">
            <v>1.4013155123733001E-2</v>
          </cell>
          <cell r="F701">
            <v>0.91928809786169996</v>
          </cell>
        </row>
        <row r="702">
          <cell r="A702" t="str">
            <v>GBP_SONIA_EOD</v>
          </cell>
          <cell r="C702">
            <v>44805</v>
          </cell>
          <cell r="E702">
            <v>1.49233155784369E-2</v>
          </cell>
          <cell r="F702">
            <v>0.900734280890093</v>
          </cell>
        </row>
        <row r="703">
          <cell r="A703" t="str">
            <v>GBP_SONIA_EOD</v>
          </cell>
          <cell r="C703">
            <v>45170</v>
          </cell>
          <cell r="E703">
            <v>1.56815441271945E-2</v>
          </cell>
          <cell r="F703">
            <v>0.88202200060773195</v>
          </cell>
        </row>
        <row r="704">
          <cell r="A704" t="str">
            <v>GBP_SONIA_EOD</v>
          </cell>
          <cell r="C704">
            <v>45537</v>
          </cell>
          <cell r="E704">
            <v>1.6332159141810201E-2</v>
          </cell>
          <cell r="F704">
            <v>0.86314859813967204</v>
          </cell>
        </row>
        <row r="705">
          <cell r="A705" t="str">
            <v>GBP_SONIA_EOD</v>
          </cell>
          <cell r="C705">
            <v>45901</v>
          </cell>
          <cell r="E705">
            <v>1.6880740088518101E-2</v>
          </cell>
          <cell r="F705">
            <v>0.84455438420695494</v>
          </cell>
        </row>
        <row r="706">
          <cell r="A706" t="str">
            <v>GBP_SONIA_EOD</v>
          </cell>
          <cell r="C706">
            <v>46631</v>
          </cell>
          <cell r="E706">
            <v>1.7883346329855599E-2</v>
          </cell>
          <cell r="F706">
            <v>0.80674540612333001</v>
          </cell>
        </row>
        <row r="707">
          <cell r="A707" t="str">
            <v>GBP_SONIA_EOD</v>
          </cell>
          <cell r="C707">
            <v>47728</v>
          </cell>
          <cell r="E707">
            <v>1.90358588415914E-2</v>
          </cell>
          <cell r="F707">
            <v>0.75141389954738702</v>
          </cell>
        </row>
        <row r="708">
          <cell r="A708" t="str">
            <v>GBP_SONIA_EOD</v>
          </cell>
          <cell r="C708">
            <v>49555</v>
          </cell>
          <cell r="E708">
            <v>2.0019692792033E-2</v>
          </cell>
          <cell r="F708">
            <v>0.66979887705950802</v>
          </cell>
        </row>
        <row r="709">
          <cell r="A709" t="str">
            <v>GBP_SONIA_EOD</v>
          </cell>
          <cell r="C709">
            <v>51382</v>
          </cell>
          <cell r="E709">
            <v>2.0136956251813699E-2</v>
          </cell>
          <cell r="F709">
            <v>0.604157451345125</v>
          </cell>
        </row>
        <row r="710">
          <cell r="A710" t="str">
            <v>GBP_SONIA_EOD</v>
          </cell>
          <cell r="C710">
            <v>53206</v>
          </cell>
          <cell r="E710">
            <v>2.0163648296982702E-2</v>
          </cell>
          <cell r="F710">
            <v>0.54588257422678199</v>
          </cell>
        </row>
        <row r="711">
          <cell r="A711" t="str">
            <v>GBP_SONIA_EOD</v>
          </cell>
          <cell r="C711">
            <v>56858</v>
          </cell>
          <cell r="E711">
            <v>1.96067080298842E-2</v>
          </cell>
          <cell r="F711">
            <v>0.45620842967463399</v>
          </cell>
        </row>
        <row r="712">
          <cell r="A712" t="str">
            <v>GBP_SONIA_EOD</v>
          </cell>
          <cell r="C712">
            <v>60511</v>
          </cell>
          <cell r="E712">
            <v>1.9177587128749101E-2</v>
          </cell>
          <cell r="F712">
            <v>0.38306047894802198</v>
          </cell>
        </row>
        <row r="713">
          <cell r="A713" t="str">
            <v>GBP_SONIA_EOD</v>
          </cell>
          <cell r="C713">
            <v>64164</v>
          </cell>
          <cell r="E713">
            <v>1.92928060353314E-2</v>
          </cell>
          <cell r="F713">
            <v>0.313983741158258</v>
          </cell>
        </row>
        <row r="714">
          <cell r="A714" t="str">
            <v>HKD_HIBOR_3M_EOD</v>
          </cell>
          <cell r="C714">
            <v>42339</v>
          </cell>
          <cell r="E714">
            <v>4.10459908647686E-3</v>
          </cell>
          <cell r="F714">
            <v>0.99897718502979604</v>
          </cell>
        </row>
        <row r="715">
          <cell r="A715" t="str">
            <v>HKD_HIBOR_3M_EOD</v>
          </cell>
          <cell r="C715">
            <v>42430</v>
          </cell>
          <cell r="E715">
            <v>5.0001320041580498E-3</v>
          </cell>
          <cell r="F715">
            <v>0.99750988897667403</v>
          </cell>
        </row>
        <row r="716">
          <cell r="A716" t="str">
            <v>HKD_HIBOR_3M_EOD</v>
          </cell>
          <cell r="C716">
            <v>42522</v>
          </cell>
          <cell r="E716">
            <v>5.8371264734819704E-3</v>
          </cell>
          <cell r="F716">
            <v>0.99562774337965099</v>
          </cell>
        </row>
        <row r="717">
          <cell r="A717" t="str">
            <v>HKD_HIBOR_3M_EOD</v>
          </cell>
          <cell r="C717">
            <v>42614</v>
          </cell>
          <cell r="E717">
            <v>6.5209188911274103E-3</v>
          </cell>
          <cell r="F717">
            <v>0.99348254690954096</v>
          </cell>
        </row>
        <row r="718">
          <cell r="A718" t="str">
            <v>HKD_HIBOR_3M_EOD</v>
          </cell>
          <cell r="C718">
            <v>42979</v>
          </cell>
          <cell r="E718">
            <v>9.8464091172956996E-3</v>
          </cell>
          <cell r="F718">
            <v>0.980473368655851</v>
          </cell>
        </row>
        <row r="719">
          <cell r="A719" t="str">
            <v>HKD_HIBOR_3M_EOD</v>
          </cell>
          <cell r="C719">
            <v>43346</v>
          </cell>
          <cell r="E719">
            <v>1.2617673821608499E-2</v>
          </cell>
          <cell r="F719">
            <v>0.96275459994785695</v>
          </cell>
        </row>
        <row r="720">
          <cell r="A720" t="str">
            <v>HKD_HIBOR_3M_EOD</v>
          </cell>
          <cell r="C720">
            <v>43710</v>
          </cell>
          <cell r="E720">
            <v>1.49219323629496E-2</v>
          </cell>
          <cell r="F720">
            <v>0.94198164148534402</v>
          </cell>
        </row>
        <row r="721">
          <cell r="A721" t="str">
            <v>HKD_HIBOR_3M_EOD</v>
          </cell>
          <cell r="C721">
            <v>44075</v>
          </cell>
          <cell r="E721">
            <v>1.66111144551419E-2</v>
          </cell>
          <cell r="F721">
            <v>0.920216240918595</v>
          </cell>
        </row>
        <row r="722">
          <cell r="A722" t="str">
            <v>HKD_HIBOR_3M_EOD</v>
          </cell>
          <cell r="C722">
            <v>44805</v>
          </cell>
          <cell r="E722">
            <v>1.9334644367449399E-2</v>
          </cell>
          <cell r="F722">
            <v>0.87332417828575803</v>
          </cell>
        </row>
        <row r="723">
          <cell r="A723" t="str">
            <v>HKD_HIBOR_3M_EOD</v>
          </cell>
          <cell r="C723">
            <v>45901</v>
          </cell>
          <cell r="E723">
            <v>2.1726840641548201E-2</v>
          </cell>
          <cell r="F723">
            <v>0.80457025953940098</v>
          </cell>
        </row>
        <row r="724">
          <cell r="A724" t="str">
            <v>HKD_HIBOR_3M_EOD</v>
          </cell>
          <cell r="C724">
            <v>46631</v>
          </cell>
          <cell r="E724">
            <v>2.2455940576711901E-2</v>
          </cell>
          <cell r="F724">
            <v>0.76364225179481304</v>
          </cell>
        </row>
        <row r="725">
          <cell r="A725" t="str">
            <v>HKD_HIBOR_3M_EOD</v>
          </cell>
          <cell r="C725">
            <v>47728</v>
          </cell>
          <cell r="E725">
            <v>2.3388912820884799E-2</v>
          </cell>
          <cell r="F725">
            <v>0.70387528649692299</v>
          </cell>
        </row>
        <row r="726">
          <cell r="A726" t="str">
            <v>HKD_HIBOR_6M_EOD</v>
          </cell>
          <cell r="C726">
            <v>42430</v>
          </cell>
          <cell r="E726">
            <v>5.6503328214977701E-3</v>
          </cell>
          <cell r="F726">
            <v>0.99718653899169596</v>
          </cell>
        </row>
        <row r="727">
          <cell r="A727" t="str">
            <v>HKD_HIBOR_6M_EOD</v>
          </cell>
          <cell r="C727">
            <v>42614</v>
          </cell>
          <cell r="E727">
            <v>8.1276680904520792E-3</v>
          </cell>
          <cell r="F727">
            <v>0.99188318501325201</v>
          </cell>
        </row>
        <row r="728">
          <cell r="A728" t="str">
            <v>HKD_HIBOR_6M_EOD</v>
          </cell>
          <cell r="C728">
            <v>42979</v>
          </cell>
          <cell r="E728">
            <v>1.1240030164921099E-2</v>
          </cell>
          <cell r="F728">
            <v>0.97774062382673699</v>
          </cell>
        </row>
        <row r="729">
          <cell r="A729" t="str">
            <v>HKD_HIBOR_6M_EOD</v>
          </cell>
          <cell r="C729">
            <v>43346</v>
          </cell>
          <cell r="E729">
            <v>1.3909448507842001E-2</v>
          </cell>
          <cell r="F729">
            <v>0.95902065165524597</v>
          </cell>
        </row>
        <row r="730">
          <cell r="A730" t="str">
            <v>HKD_HIBOR_6M_EOD</v>
          </cell>
          <cell r="C730">
            <v>43710</v>
          </cell>
          <cell r="E730">
            <v>1.61103973731648E-2</v>
          </cell>
          <cell r="F730">
            <v>0.93750811456160699</v>
          </cell>
        </row>
        <row r="731">
          <cell r="A731" t="str">
            <v>HKD_HIBOR_6M_EOD</v>
          </cell>
          <cell r="C731">
            <v>44075</v>
          </cell>
          <cell r="E731">
            <v>1.76963906841048E-2</v>
          </cell>
          <cell r="F731">
            <v>0.91523087791534696</v>
          </cell>
        </row>
        <row r="732">
          <cell r="A732" t="str">
            <v>HKD_HIBOR_6M_EOD</v>
          </cell>
          <cell r="C732">
            <v>44805</v>
          </cell>
          <cell r="E732">
            <v>2.0316405634760702E-2</v>
          </cell>
          <cell r="F732">
            <v>0.86733831736058298</v>
          </cell>
        </row>
        <row r="733">
          <cell r="A733" t="str">
            <v>HKD_HIBOR_6M_EOD</v>
          </cell>
          <cell r="C733">
            <v>45901</v>
          </cell>
          <cell r="E733">
            <v>2.2712366046536502E-2</v>
          </cell>
          <cell r="F733">
            <v>0.79667350630093003</v>
          </cell>
        </row>
        <row r="734">
          <cell r="A734" t="str">
            <v>HKD_HIBOR_6M_EOD</v>
          </cell>
          <cell r="C734">
            <v>46631</v>
          </cell>
          <cell r="E734">
            <v>2.3555021802736699E-2</v>
          </cell>
          <cell r="F734">
            <v>0.753629911857982</v>
          </cell>
        </row>
        <row r="735">
          <cell r="A735" t="str">
            <v>HKD_HIBOR_6M_EOD</v>
          </cell>
          <cell r="C735">
            <v>47728</v>
          </cell>
          <cell r="E735">
            <v>2.4484236043351301E-2</v>
          </cell>
          <cell r="F735">
            <v>0.69239481708417205</v>
          </cell>
        </row>
        <row r="736">
          <cell r="A736" t="str">
            <v>HKD_HIBOR_EOD</v>
          </cell>
          <cell r="C736">
            <v>42249</v>
          </cell>
          <cell r="E736">
            <v>5.4809958855390995E-4</v>
          </cell>
          <cell r="F736">
            <v>0.99999849835841903</v>
          </cell>
        </row>
        <row r="737">
          <cell r="A737" t="str">
            <v>HKD_HIBOR_EOD</v>
          </cell>
          <cell r="C737">
            <v>42255</v>
          </cell>
          <cell r="E737">
            <v>1.07928882998014E-3</v>
          </cell>
          <cell r="F737">
            <v>0.99997930152432601</v>
          </cell>
        </row>
        <row r="738">
          <cell r="A738" t="str">
            <v>HKD_HIBOR_EOD</v>
          </cell>
          <cell r="C738">
            <v>42279</v>
          </cell>
          <cell r="E738">
            <v>2.6022124215610101E-3</v>
          </cell>
          <cell r="F738">
            <v>0.99977901459876595</v>
          </cell>
        </row>
        <row r="739">
          <cell r="A739" t="str">
            <v>HKD_HIBOR_EOD</v>
          </cell>
          <cell r="C739">
            <v>42310</v>
          </cell>
          <cell r="E739">
            <v>3.3490472175966598E-3</v>
          </cell>
          <cell r="F739">
            <v>0.99943128252772295</v>
          </cell>
        </row>
        <row r="740">
          <cell r="A740" t="str">
            <v>HKD_HIBOR_EOD</v>
          </cell>
          <cell r="C740">
            <v>42339</v>
          </cell>
          <cell r="E740">
            <v>4.10459908647686E-3</v>
          </cell>
          <cell r="F740">
            <v>0.99897718502979604</v>
          </cell>
        </row>
        <row r="741">
          <cell r="A741" t="str">
            <v>HKD_HIBOR_EOD</v>
          </cell>
          <cell r="C741">
            <v>42430</v>
          </cell>
          <cell r="E741">
            <v>5.6503328214977701E-3</v>
          </cell>
          <cell r="F741">
            <v>0.99718653899169596</v>
          </cell>
        </row>
        <row r="742">
          <cell r="A742" t="str">
            <v>HKD_HIBOR_EOD</v>
          </cell>
          <cell r="C742">
            <v>42614</v>
          </cell>
          <cell r="E742">
            <v>6.6302475195223502E-3</v>
          </cell>
          <cell r="F742">
            <v>0.99337363921682498</v>
          </cell>
        </row>
        <row r="743">
          <cell r="A743" t="str">
            <v>HKD_HIBOR_EOD</v>
          </cell>
          <cell r="C743">
            <v>42979</v>
          </cell>
          <cell r="E743">
            <v>9.8457748486540791E-3</v>
          </cell>
          <cell r="F743">
            <v>0.98047461412745496</v>
          </cell>
        </row>
        <row r="744">
          <cell r="A744" t="str">
            <v>HKD_HIBOR_EOD</v>
          </cell>
          <cell r="C744">
            <v>43346</v>
          </cell>
          <cell r="E744">
            <v>1.2617241404446001E-2</v>
          </cell>
          <cell r="F744">
            <v>0.96275585230524696</v>
          </cell>
        </row>
        <row r="745">
          <cell r="A745" t="str">
            <v>HKD_HIBOR_EOD</v>
          </cell>
          <cell r="C745">
            <v>43710</v>
          </cell>
          <cell r="E745">
            <v>1.49225440456383E-2</v>
          </cell>
          <cell r="F745">
            <v>0.94197933355549202</v>
          </cell>
        </row>
        <row r="746">
          <cell r="A746" t="str">
            <v>HKD_HIBOR_EOD</v>
          </cell>
          <cell r="C746">
            <v>44075</v>
          </cell>
          <cell r="E746">
            <v>1.6611765505781501E-2</v>
          </cell>
          <cell r="F746">
            <v>0.92021324210384003</v>
          </cell>
        </row>
        <row r="747">
          <cell r="A747" t="str">
            <v>HKD_HIBOR_EOD</v>
          </cell>
          <cell r="C747">
            <v>44805</v>
          </cell>
          <cell r="E747">
            <v>1.9335110505829999E-2</v>
          </cell>
          <cell r="F747">
            <v>0.87332132643035598</v>
          </cell>
        </row>
        <row r="748">
          <cell r="A748" t="str">
            <v>HKD_HIBOR_EOD</v>
          </cell>
          <cell r="C748">
            <v>45901</v>
          </cell>
          <cell r="E748">
            <v>2.1727162181286799E-2</v>
          </cell>
          <cell r="F748">
            <v>0.80456767040414501</v>
          </cell>
        </row>
        <row r="749">
          <cell r="A749" t="str">
            <v>HKD_HIBOR_EOD</v>
          </cell>
          <cell r="C749">
            <v>46631</v>
          </cell>
          <cell r="E749">
            <v>2.24562149181603E-2</v>
          </cell>
          <cell r="F749">
            <v>0.763639736092393</v>
          </cell>
        </row>
        <row r="750">
          <cell r="A750" t="str">
            <v>HKD_HIBOR_EOD</v>
          </cell>
          <cell r="C750">
            <v>47728</v>
          </cell>
          <cell r="E750">
            <v>2.3388485085109399E-2</v>
          </cell>
          <cell r="F750">
            <v>0.70387980672534101</v>
          </cell>
        </row>
        <row r="751">
          <cell r="A751" t="str">
            <v>HUF_BUBOR_3M_EOD</v>
          </cell>
          <cell r="C751">
            <v>42341</v>
          </cell>
          <cell r="E751">
            <v>1.37652415017983E-2</v>
          </cell>
          <cell r="F751">
            <v>0.99649883531201899</v>
          </cell>
        </row>
        <row r="752">
          <cell r="A752" t="str">
            <v>HUF_BUBOR_3M_EOD</v>
          </cell>
          <cell r="C752">
            <v>42432</v>
          </cell>
          <cell r="E752">
            <v>1.39651179378308E-2</v>
          </cell>
          <cell r="F752">
            <v>0.99298477253366402</v>
          </cell>
        </row>
        <row r="753">
          <cell r="A753" t="str">
            <v>HUF_BUBOR_3M_EOD</v>
          </cell>
          <cell r="C753">
            <v>42524</v>
          </cell>
          <cell r="E753">
            <v>1.4150976235410499E-2</v>
          </cell>
          <cell r="F753">
            <v>0.98935658209012101</v>
          </cell>
        </row>
        <row r="754">
          <cell r="A754" t="str">
            <v>HUF_BUBOR_3M_EOD</v>
          </cell>
          <cell r="C754">
            <v>42618</v>
          </cell>
          <cell r="E754">
            <v>1.43863972044227E-2</v>
          </cell>
          <cell r="F754">
            <v>0.98552235262598997</v>
          </cell>
        </row>
        <row r="755">
          <cell r="A755" t="str">
            <v>HUF_BUBOR_3M_EOD</v>
          </cell>
          <cell r="C755">
            <v>42982</v>
          </cell>
          <cell r="E755">
            <v>1.57978801387227E-2</v>
          </cell>
          <cell r="F755">
            <v>0.96873044170025902</v>
          </cell>
        </row>
        <row r="756">
          <cell r="A756" t="str">
            <v>HUF_BUBOR_3M_EOD</v>
          </cell>
          <cell r="C756">
            <v>43346</v>
          </cell>
          <cell r="E756">
            <v>1.7715075591457598E-2</v>
          </cell>
          <cell r="F756">
            <v>0.948104235098989</v>
          </cell>
        </row>
        <row r="757">
          <cell r="A757" t="str">
            <v>HUF_BUBOR_3M_EOD</v>
          </cell>
          <cell r="C757">
            <v>43711</v>
          </cell>
          <cell r="E757">
            <v>2.0196153954637301E-2</v>
          </cell>
          <cell r="F757">
            <v>0.92223923823612197</v>
          </cell>
        </row>
        <row r="758">
          <cell r="A758" t="str">
            <v>HUF_BUBOR_3M_EOD</v>
          </cell>
          <cell r="C758">
            <v>44077</v>
          </cell>
          <cell r="E758">
            <v>2.2890514682254798E-2</v>
          </cell>
          <cell r="F758">
            <v>0.89163053702381301</v>
          </cell>
        </row>
        <row r="759">
          <cell r="A759" t="str">
            <v>HUF_BUBOR_3M_EOD</v>
          </cell>
          <cell r="C759">
            <v>44442</v>
          </cell>
          <cell r="E759">
            <v>2.5392523267592702E-2</v>
          </cell>
          <cell r="F759">
            <v>0.85844435796388296</v>
          </cell>
        </row>
        <row r="760">
          <cell r="A760" t="str">
            <v>HUF_BUBOR_3M_EOD</v>
          </cell>
          <cell r="C760">
            <v>44809</v>
          </cell>
          <cell r="E760">
            <v>2.78184827818585E-2</v>
          </cell>
          <cell r="F760">
            <v>0.82268107417393399</v>
          </cell>
        </row>
        <row r="761">
          <cell r="A761" t="str">
            <v>HUF_BUBOR_3M_EOD</v>
          </cell>
          <cell r="C761">
            <v>45173</v>
          </cell>
          <cell r="E761">
            <v>3.00727257038624E-2</v>
          </cell>
          <cell r="F761">
            <v>0.78584652944437705</v>
          </cell>
        </row>
        <row r="762">
          <cell r="A762" t="str">
            <v>HUF_BUBOR_3M_EOD</v>
          </cell>
          <cell r="C762">
            <v>45538</v>
          </cell>
          <cell r="E762">
            <v>3.1922908420236797E-2</v>
          </cell>
          <cell r="F762">
            <v>0.74995394882959299</v>
          </cell>
        </row>
        <row r="763">
          <cell r="A763" t="str">
            <v>HUF_BUBOR_3M_EOD</v>
          </cell>
          <cell r="C763">
            <v>45903</v>
          </cell>
          <cell r="E763">
            <v>3.3221995562443797E-2</v>
          </cell>
          <cell r="F763">
            <v>0.71700314543460297</v>
          </cell>
        </row>
        <row r="764">
          <cell r="A764" t="str">
            <v>HUF_BUBOR_3M_EOD</v>
          </cell>
          <cell r="C764">
            <v>46633</v>
          </cell>
          <cell r="E764">
            <v>3.4080687420096199E-2</v>
          </cell>
          <cell r="F764">
            <v>0.66402524691052001</v>
          </cell>
        </row>
        <row r="765">
          <cell r="A765" t="str">
            <v>HUF_BUBOR_3M_EOD</v>
          </cell>
          <cell r="C765">
            <v>47729</v>
          </cell>
          <cell r="E765">
            <v>3.4688464901312999E-2</v>
          </cell>
          <cell r="F765">
            <v>0.593987386400745</v>
          </cell>
        </row>
        <row r="766">
          <cell r="A766" t="str">
            <v>HUF_BUBOR_3M_EOD</v>
          </cell>
          <cell r="C766">
            <v>49555</v>
          </cell>
          <cell r="E766">
            <v>3.4955970274637198E-2</v>
          </cell>
          <cell r="F766">
            <v>0.496689699991744</v>
          </cell>
        </row>
        <row r="767">
          <cell r="A767" t="str">
            <v>HUF_BUBOR_6M_EOD</v>
          </cell>
          <cell r="C767">
            <v>42432</v>
          </cell>
          <cell r="E767">
            <v>1.3842395936979E-2</v>
          </cell>
          <cell r="F767">
            <v>0.99304620577194003</v>
          </cell>
        </row>
        <row r="768">
          <cell r="A768" t="str">
            <v>HUF_BUBOR_6M_EOD</v>
          </cell>
          <cell r="C768">
            <v>42618</v>
          </cell>
          <cell r="E768">
            <v>1.43394111957958E-2</v>
          </cell>
          <cell r="F768">
            <v>0.985569293831144</v>
          </cell>
        </row>
        <row r="769">
          <cell r="A769" t="str">
            <v>HUF_BUBOR_6M_EOD</v>
          </cell>
          <cell r="C769">
            <v>42797</v>
          </cell>
          <cell r="E769">
            <v>1.48788095850396E-2</v>
          </cell>
          <cell r="F769">
            <v>0.97786920005137401</v>
          </cell>
        </row>
        <row r="770">
          <cell r="A770" t="str">
            <v>HUF_BUBOR_6M_EOD</v>
          </cell>
          <cell r="C770">
            <v>42982</v>
          </cell>
          <cell r="E770">
            <v>1.5579600679201101E-2</v>
          </cell>
          <cell r="F770">
            <v>0.96915576025855199</v>
          </cell>
        </row>
        <row r="771">
          <cell r="A771" t="str">
            <v>HUF_BUBOR_6M_EOD</v>
          </cell>
          <cell r="C771">
            <v>43346</v>
          </cell>
          <cell r="E771">
            <v>1.7475801040877901E-2</v>
          </cell>
          <cell r="F771">
            <v>0.94878691698752804</v>
          </cell>
        </row>
        <row r="772">
          <cell r="A772" t="str">
            <v>HUF_BUBOR_6M_EOD</v>
          </cell>
          <cell r="C772">
            <v>43711</v>
          </cell>
          <cell r="E772">
            <v>1.9896011108941701E-2</v>
          </cell>
          <cell r="F772">
            <v>0.92334939501763902</v>
          </cell>
        </row>
        <row r="773">
          <cell r="A773" t="str">
            <v>HUF_BUBOR_6M_EOD</v>
          </cell>
          <cell r="C773">
            <v>44077</v>
          </cell>
          <cell r="E773">
            <v>2.2550351964206801E-2</v>
          </cell>
          <cell r="F773">
            <v>0.89315165422375697</v>
          </cell>
        </row>
        <row r="774">
          <cell r="A774" t="str">
            <v>HUF_BUBOR_6M_EOD</v>
          </cell>
          <cell r="C774">
            <v>44442</v>
          </cell>
          <cell r="E774">
            <v>2.5032646497981599E-2</v>
          </cell>
          <cell r="F774">
            <v>0.86030335861290796</v>
          </cell>
        </row>
        <row r="775">
          <cell r="A775" t="str">
            <v>HUF_BUBOR_6M_EOD</v>
          </cell>
          <cell r="C775">
            <v>44809</v>
          </cell>
          <cell r="E775">
            <v>2.7449164987829601E-2</v>
          </cell>
          <cell r="F775">
            <v>0.82481564843062805</v>
          </cell>
        </row>
        <row r="776">
          <cell r="A776" t="str">
            <v>HUF_BUBOR_6M_EOD</v>
          </cell>
          <cell r="C776">
            <v>45173</v>
          </cell>
          <cell r="E776">
            <v>2.9692993249532899E-2</v>
          </cell>
          <cell r="F776">
            <v>0.788241550973661</v>
          </cell>
        </row>
        <row r="777">
          <cell r="A777" t="str">
            <v>HUF_BUBOR_6M_EOD</v>
          </cell>
          <cell r="C777">
            <v>45538</v>
          </cell>
          <cell r="E777">
            <v>3.1532942457212602E-2</v>
          </cell>
          <cell r="F777">
            <v>0.75259470216021196</v>
          </cell>
        </row>
        <row r="778">
          <cell r="A778" t="str">
            <v>HUF_BUBOR_6M_EOD</v>
          </cell>
          <cell r="C778">
            <v>45903</v>
          </cell>
          <cell r="E778">
            <v>3.2833110705600597E-2</v>
          </cell>
          <cell r="F778">
            <v>0.71980072530064398</v>
          </cell>
        </row>
        <row r="779">
          <cell r="A779" t="str">
            <v>HUF_BUBOR_6M_EOD</v>
          </cell>
          <cell r="C779">
            <v>46633</v>
          </cell>
          <cell r="E779">
            <v>3.3693132393824703E-2</v>
          </cell>
          <cell r="F779">
            <v>0.66712413663627801</v>
          </cell>
        </row>
        <row r="780">
          <cell r="A780" t="str">
            <v>HUF_BUBOR_6M_EOD</v>
          </cell>
          <cell r="C780">
            <v>47729</v>
          </cell>
          <cell r="E780">
            <v>3.4314843808666097E-2</v>
          </cell>
          <cell r="F780">
            <v>0.59732929379737199</v>
          </cell>
        </row>
        <row r="781">
          <cell r="A781" t="str">
            <v>HUF_BUBOR_6M_EOD</v>
          </cell>
          <cell r="C781">
            <v>49555</v>
          </cell>
          <cell r="E781">
            <v>3.4609459247284001E-2</v>
          </cell>
          <cell r="F781">
            <v>0.50014714792836901</v>
          </cell>
        </row>
        <row r="782">
          <cell r="A782" t="str">
            <v>HUF_BUBOR_EOD</v>
          </cell>
          <cell r="C782">
            <v>42249</v>
          </cell>
          <cell r="E782">
            <v>9.9359758720760395E-3</v>
          </cell>
          <cell r="F782">
            <v>0.99997277851880695</v>
          </cell>
        </row>
        <row r="783">
          <cell r="A783" t="str">
            <v>HUF_BUBOR_EOD</v>
          </cell>
          <cell r="C783">
            <v>42250</v>
          </cell>
          <cell r="E783">
            <v>9.9359758720406095E-3</v>
          </cell>
          <cell r="F783">
            <v>0.99994555777862304</v>
          </cell>
        </row>
        <row r="784">
          <cell r="A784" t="str">
            <v>HUF_BUBOR_EOD</v>
          </cell>
          <cell r="C784">
            <v>42257</v>
          </cell>
          <cell r="E784">
            <v>1.2694755984120801E-2</v>
          </cell>
          <cell r="F784">
            <v>0.99968702760565098</v>
          </cell>
        </row>
        <row r="785">
          <cell r="A785" t="str">
            <v>HUF_BUBOR_EOD</v>
          </cell>
          <cell r="C785">
            <v>42282</v>
          </cell>
          <cell r="E785">
            <v>1.34590988763259E-2</v>
          </cell>
          <cell r="F785">
            <v>0.99874706130505697</v>
          </cell>
        </row>
        <row r="786">
          <cell r="A786" t="str">
            <v>HUF_BUBOR_EOD</v>
          </cell>
          <cell r="C786">
            <v>42311</v>
          </cell>
          <cell r="E786">
            <v>1.35532689809239E-2</v>
          </cell>
          <cell r="F786">
            <v>0.997663402744844</v>
          </cell>
        </row>
        <row r="787">
          <cell r="A787" t="str">
            <v>HUF_BUBOR_EOD</v>
          </cell>
          <cell r="C787">
            <v>42341</v>
          </cell>
          <cell r="E787">
            <v>1.36828917033086E-2</v>
          </cell>
          <cell r="F787">
            <v>0.99651974434639201</v>
          </cell>
        </row>
        <row r="788">
          <cell r="A788" t="str">
            <v>HUF_BUBOR_EOD</v>
          </cell>
          <cell r="C788">
            <v>42432</v>
          </cell>
          <cell r="E788">
            <v>1.39234954853335E-2</v>
          </cell>
          <cell r="F788">
            <v>0.99300560783422298</v>
          </cell>
        </row>
        <row r="789">
          <cell r="A789" t="str">
            <v>HUF_BUBOR_EOD</v>
          </cell>
          <cell r="C789">
            <v>42524</v>
          </cell>
          <cell r="E789">
            <v>1.4123227933745699E-2</v>
          </cell>
          <cell r="F789">
            <v>0.98937734126218302</v>
          </cell>
        </row>
        <row r="790">
          <cell r="A790" t="str">
            <v>HUF_BUBOR_EOD</v>
          </cell>
          <cell r="C790">
            <v>42618</v>
          </cell>
          <cell r="E790">
            <v>1.4365698471291301E-2</v>
          </cell>
          <cell r="F790">
            <v>0.98554303134634003</v>
          </cell>
        </row>
        <row r="791">
          <cell r="A791" t="str">
            <v>HUF_BUBOR_EOD</v>
          </cell>
          <cell r="C791">
            <v>42982</v>
          </cell>
          <cell r="E791">
            <v>1.5571751117334E-2</v>
          </cell>
          <cell r="F791">
            <v>0.96917105864478803</v>
          </cell>
        </row>
        <row r="792">
          <cell r="A792" t="str">
            <v>HUF_BUBOR_EOD</v>
          </cell>
          <cell r="C792">
            <v>43346</v>
          </cell>
          <cell r="E792">
            <v>1.7473411727017399E-2</v>
          </cell>
          <cell r="F792">
            <v>0.94879373649369403</v>
          </cell>
        </row>
        <row r="793">
          <cell r="A793" t="str">
            <v>HUF_BUBOR_EOD</v>
          </cell>
          <cell r="C793">
            <v>43711</v>
          </cell>
          <cell r="E793">
            <v>1.98954534367046E-2</v>
          </cell>
          <cell r="F793">
            <v>0.92335145895750803</v>
          </cell>
        </row>
        <row r="794">
          <cell r="A794" t="str">
            <v>HUF_BUBOR_EOD</v>
          </cell>
          <cell r="C794">
            <v>44077</v>
          </cell>
          <cell r="E794">
            <v>2.2549905706941001E-2</v>
          </cell>
          <cell r="F794">
            <v>0.893153651471016</v>
          </cell>
        </row>
        <row r="795">
          <cell r="A795" t="str">
            <v>HUF_BUBOR_EOD</v>
          </cell>
          <cell r="C795">
            <v>44442</v>
          </cell>
          <cell r="E795">
            <v>2.5032273803624001E-2</v>
          </cell>
          <cell r="F795">
            <v>0.86030528591006705</v>
          </cell>
        </row>
        <row r="796">
          <cell r="A796" t="str">
            <v>HUF_BUBOR_EOD</v>
          </cell>
          <cell r="C796">
            <v>44809</v>
          </cell>
          <cell r="E796">
            <v>2.7448848499200401E-2</v>
          </cell>
          <cell r="F796">
            <v>0.82481748003722599</v>
          </cell>
        </row>
        <row r="797">
          <cell r="A797" t="str">
            <v>HUF_BUBOR_EOD</v>
          </cell>
          <cell r="C797">
            <v>45173</v>
          </cell>
          <cell r="E797">
            <v>2.96939578730137E-2</v>
          </cell>
          <cell r="F797">
            <v>0.78823545773090298</v>
          </cell>
        </row>
        <row r="798">
          <cell r="A798" t="str">
            <v>HUF_BUBOR_EOD</v>
          </cell>
          <cell r="C798">
            <v>45538</v>
          </cell>
          <cell r="E798">
            <v>3.1533897499958503E-2</v>
          </cell>
          <cell r="F798">
            <v>0.75258822350107102</v>
          </cell>
        </row>
        <row r="799">
          <cell r="A799" t="str">
            <v>HUF_BUBOR_EOD</v>
          </cell>
          <cell r="C799">
            <v>45903</v>
          </cell>
          <cell r="E799">
            <v>3.2833970800981001E-2</v>
          </cell>
          <cell r="F799">
            <v>0.71979452587376902</v>
          </cell>
        </row>
        <row r="800">
          <cell r="A800" t="str">
            <v>HUF_BUBOR_EOD</v>
          </cell>
          <cell r="C800">
            <v>46633</v>
          </cell>
          <cell r="E800">
            <v>3.3693849113069198E-2</v>
          </cell>
          <cell r="F800">
            <v>0.66711839242264903</v>
          </cell>
        </row>
        <row r="801">
          <cell r="A801" t="str">
            <v>HUF_BUBOR_EOD</v>
          </cell>
          <cell r="C801">
            <v>47729</v>
          </cell>
          <cell r="E801">
            <v>3.43155675148899E-2</v>
          </cell>
          <cell r="F801">
            <v>0.59732280236257995</v>
          </cell>
        </row>
        <row r="802">
          <cell r="A802" t="str">
            <v>HUF_BUBOR_EOD</v>
          </cell>
          <cell r="C802">
            <v>49555</v>
          </cell>
          <cell r="E802">
            <v>3.4610086622921699E-2</v>
          </cell>
          <cell r="F802">
            <v>0.50014086634739796</v>
          </cell>
        </row>
        <row r="803">
          <cell r="A803" t="str">
            <v>JPY_LIBOR_1M_EOD</v>
          </cell>
          <cell r="C803">
            <v>42282</v>
          </cell>
          <cell r="E803">
            <v>5.7354252443294002E-4</v>
          </cell>
          <cell r="F803">
            <v>0.99994657554814903</v>
          </cell>
        </row>
        <row r="804">
          <cell r="A804" t="str">
            <v>JPY_LIBOR_1M_EOD</v>
          </cell>
          <cell r="C804">
            <v>42312</v>
          </cell>
          <cell r="E804">
            <v>5.9577908844670997E-4</v>
          </cell>
          <cell r="F804">
            <v>0.99989554008190495</v>
          </cell>
        </row>
        <row r="805">
          <cell r="A805" t="str">
            <v>JPY_LIBOR_1M_EOD</v>
          </cell>
          <cell r="C805">
            <v>42341</v>
          </cell>
          <cell r="E805">
            <v>5.7696901982672E-4</v>
          </cell>
          <cell r="F805">
            <v>0.99985300226044904</v>
          </cell>
        </row>
        <row r="806">
          <cell r="A806" t="str">
            <v>JPY_LIBOR_1M_EOD</v>
          </cell>
          <cell r="C806">
            <v>42432</v>
          </cell>
          <cell r="E806">
            <v>6.1450431239356001E-4</v>
          </cell>
          <cell r="F806">
            <v>0.99969027045971603</v>
          </cell>
        </row>
        <row r="807">
          <cell r="A807" t="str">
            <v>JPY_LIBOR_1M_EOD</v>
          </cell>
          <cell r="C807">
            <v>42524</v>
          </cell>
          <cell r="E807">
            <v>6.3309676224531004E-4</v>
          </cell>
          <cell r="F807">
            <v>0.99952138934767798</v>
          </cell>
        </row>
        <row r="808">
          <cell r="A808" t="str">
            <v>JPY_LIBOR_1M_EOD</v>
          </cell>
          <cell r="C808">
            <v>42618</v>
          </cell>
          <cell r="E808">
            <v>6.4578467442275998E-4</v>
          </cell>
          <cell r="F808">
            <v>0.99934558318432498</v>
          </cell>
        </row>
        <row r="809">
          <cell r="A809" t="str">
            <v>JPY_LIBOR_1M_EOD</v>
          </cell>
          <cell r="C809">
            <v>42982</v>
          </cell>
          <cell r="E809">
            <v>6.1729732805525998E-4</v>
          </cell>
          <cell r="F809">
            <v>0.99875941060972295</v>
          </cell>
        </row>
        <row r="810">
          <cell r="A810" t="str">
            <v>JPY_LIBOR_1M_EOD</v>
          </cell>
          <cell r="C810">
            <v>43346</v>
          </cell>
          <cell r="E810">
            <v>7.4430862230099996E-4</v>
          </cell>
          <cell r="F810">
            <v>0.997763461316025</v>
          </cell>
        </row>
        <row r="811">
          <cell r="A811" t="str">
            <v>JPY_LIBOR_1M_EOD</v>
          </cell>
          <cell r="C811">
            <v>43711</v>
          </cell>
          <cell r="E811">
            <v>1.06399686307068E-3</v>
          </cell>
          <cell r="F811">
            <v>0.99574434842621695</v>
          </cell>
        </row>
        <row r="812">
          <cell r="A812" t="str">
            <v>JPY_LIBOR_1M_EOD</v>
          </cell>
          <cell r="C812">
            <v>44077</v>
          </cell>
          <cell r="E812">
            <v>1.5419226512033001E-3</v>
          </cell>
          <cell r="F812">
            <v>0.99230326171872596</v>
          </cell>
        </row>
        <row r="813">
          <cell r="A813" t="str">
            <v>JPY_LIBOR_1M_EOD</v>
          </cell>
          <cell r="C813">
            <v>44442</v>
          </cell>
          <cell r="E813">
            <v>2.11123870713722E-3</v>
          </cell>
          <cell r="F813">
            <v>0.98738961660754798</v>
          </cell>
        </row>
        <row r="814">
          <cell r="A814" t="str">
            <v>JPY_LIBOR_1M_EOD</v>
          </cell>
          <cell r="C814">
            <v>44809</v>
          </cell>
          <cell r="E814">
            <v>2.74335109445859E-3</v>
          </cell>
          <cell r="F814">
            <v>0.98093551664670997</v>
          </cell>
        </row>
        <row r="815">
          <cell r="A815" t="str">
            <v>JPY_LIBOR_1M_EOD</v>
          </cell>
          <cell r="C815">
            <v>45173</v>
          </cell>
          <cell r="E815">
            <v>3.4130868696965401E-3</v>
          </cell>
          <cell r="F815">
            <v>0.97301921423857396</v>
          </cell>
        </row>
        <row r="816">
          <cell r="A816" t="str">
            <v>JPY_LIBOR_1M_EOD</v>
          </cell>
          <cell r="C816">
            <v>45538</v>
          </cell>
          <cell r="E816">
            <v>4.0836666671399202E-3</v>
          </cell>
          <cell r="F816">
            <v>0.96386027228129501</v>
          </cell>
        </row>
        <row r="817">
          <cell r="A817" t="str">
            <v>JPY_LIBOR_1M_EOD</v>
          </cell>
          <cell r="C817">
            <v>45903</v>
          </cell>
          <cell r="E817">
            <v>4.7818850352052003E-3</v>
          </cell>
          <cell r="F817">
            <v>0.95324401801083702</v>
          </cell>
        </row>
        <row r="818">
          <cell r="A818" t="str">
            <v>JPY_LIBOR_1M_EOD</v>
          </cell>
          <cell r="C818">
            <v>46633</v>
          </cell>
          <cell r="E818">
            <v>6.2506949704711802E-3</v>
          </cell>
          <cell r="F818">
            <v>0.92765631444700403</v>
          </cell>
        </row>
        <row r="819">
          <cell r="A819" t="str">
            <v>JPY_LIBOR_1M_EOD</v>
          </cell>
          <cell r="C819">
            <v>47729</v>
          </cell>
          <cell r="E819">
            <v>8.5506270723540098E-3</v>
          </cell>
          <cell r="F819">
            <v>0.87950153953616805</v>
          </cell>
        </row>
        <row r="820">
          <cell r="A820" t="str">
            <v>JPY_LIBOR_1M_EOD</v>
          </cell>
          <cell r="C820">
            <v>49555</v>
          </cell>
          <cell r="E820">
            <v>1.16008441859369E-2</v>
          </cell>
          <cell r="F820">
            <v>0.79275634194739997</v>
          </cell>
        </row>
        <row r="821">
          <cell r="A821" t="str">
            <v>JPY_LIBOR_1M_EOD</v>
          </cell>
          <cell r="C821">
            <v>51382</v>
          </cell>
          <cell r="E821">
            <v>1.33828719292595E-2</v>
          </cell>
          <cell r="F821">
            <v>0.71540834540631304</v>
          </cell>
        </row>
        <row r="822">
          <cell r="A822" t="str">
            <v>JPY_LIBOR_1M_EOD</v>
          </cell>
          <cell r="C822">
            <v>53209</v>
          </cell>
          <cell r="E822">
            <v>1.44107522735371E-2</v>
          </cell>
          <cell r="F822">
            <v>0.64871819882873605</v>
          </cell>
        </row>
        <row r="823">
          <cell r="A823" t="str">
            <v>JPY_LIBOR_1M_EOD</v>
          </cell>
          <cell r="C823">
            <v>56860</v>
          </cell>
          <cell r="E823">
            <v>1.58689018032338E-2</v>
          </cell>
          <cell r="F823">
            <v>0.52978829827517704</v>
          </cell>
        </row>
        <row r="824">
          <cell r="A824" t="str">
            <v>JPY_LIBOR_3M_EOD</v>
          </cell>
          <cell r="C824">
            <v>42341</v>
          </cell>
          <cell r="E824">
            <v>9.0519923860875003E-4</v>
          </cell>
          <cell r="F824">
            <v>0.99976938678931404</v>
          </cell>
        </row>
        <row r="825">
          <cell r="A825" t="str">
            <v>JPY_LIBOR_3M_EOD</v>
          </cell>
          <cell r="C825">
            <v>42373</v>
          </cell>
          <cell r="E825">
            <v>9.1011126868082001E-4</v>
          </cell>
          <cell r="F825">
            <v>0.99968836662644101</v>
          </cell>
        </row>
        <row r="826">
          <cell r="A826" t="str">
            <v>JPY_LIBOR_3M_EOD</v>
          </cell>
          <cell r="C826">
            <v>42403</v>
          </cell>
          <cell r="E826">
            <v>9.1707343563281001E-4</v>
          </cell>
          <cell r="F826">
            <v>0.99961063367884995</v>
          </cell>
        </row>
        <row r="827">
          <cell r="A827" t="str">
            <v>JPY_LIBOR_3M_EOD</v>
          </cell>
          <cell r="C827">
            <v>42432</v>
          </cell>
          <cell r="E827">
            <v>9.0875861471379003E-4</v>
          </cell>
          <cell r="F827">
            <v>0.99954199098636398</v>
          </cell>
        </row>
        <row r="828">
          <cell r="A828" t="str">
            <v>JPY_LIBOR_3M_EOD</v>
          </cell>
          <cell r="C828">
            <v>42464</v>
          </cell>
          <cell r="E828">
            <v>9.1641203229591997E-4</v>
          </cell>
          <cell r="F828">
            <v>0.99945783196054805</v>
          </cell>
        </row>
        <row r="829">
          <cell r="A829" t="str">
            <v>JPY_LIBOR_3M_EOD</v>
          </cell>
          <cell r="C829">
            <v>42496</v>
          </cell>
          <cell r="E829">
            <v>9.2007011591126002E-4</v>
          </cell>
          <cell r="F829">
            <v>0.99937505183069397</v>
          </cell>
        </row>
        <row r="830">
          <cell r="A830" t="str">
            <v>JPY_LIBOR_3M_EOD</v>
          </cell>
          <cell r="C830">
            <v>42524</v>
          </cell>
          <cell r="E830">
            <v>9.0891487751287002E-4</v>
          </cell>
          <cell r="F830">
            <v>0.99931294707096097</v>
          </cell>
        </row>
        <row r="831">
          <cell r="A831" t="str">
            <v>JPY_LIBOR_3M_EOD</v>
          </cell>
          <cell r="C831">
            <v>42555</v>
          </cell>
          <cell r="E831">
            <v>9.1341888290295001E-4</v>
          </cell>
          <cell r="F831">
            <v>0.99923202217740403</v>
          </cell>
        </row>
        <row r="832">
          <cell r="A832" t="str">
            <v>JPY_LIBOR_3M_EOD</v>
          </cell>
          <cell r="C832">
            <v>42585</v>
          </cell>
          <cell r="E832">
            <v>9.1407953694621995E-4</v>
          </cell>
          <cell r="F832">
            <v>0.99915639766570796</v>
          </cell>
        </row>
        <row r="833">
          <cell r="A833" t="str">
            <v>JPY_LIBOR_3M_EOD</v>
          </cell>
          <cell r="C833">
            <v>42618</v>
          </cell>
          <cell r="E833">
            <v>9.0014133262151001E-4</v>
          </cell>
          <cell r="F833">
            <v>0.99908794414020696</v>
          </cell>
        </row>
        <row r="834">
          <cell r="A834" t="str">
            <v>JPY_LIBOR_3M_EOD</v>
          </cell>
          <cell r="C834">
            <v>42982</v>
          </cell>
          <cell r="E834">
            <v>8.7974805191992004E-4</v>
          </cell>
          <cell r="F834">
            <v>0.99823242682235003</v>
          </cell>
        </row>
        <row r="835">
          <cell r="A835" t="str">
            <v>JPY_LIBOR_3M_EOD</v>
          </cell>
          <cell r="C835">
            <v>43346</v>
          </cell>
          <cell r="E835">
            <v>9.9438871082014007E-4</v>
          </cell>
          <cell r="F835">
            <v>0.99701313040691397</v>
          </cell>
        </row>
        <row r="836">
          <cell r="A836" t="str">
            <v>JPY_LIBOR_3M_EOD</v>
          </cell>
          <cell r="C836">
            <v>43711</v>
          </cell>
          <cell r="E836">
            <v>1.3141836607511101E-3</v>
          </cell>
          <cell r="F836">
            <v>0.994746312988394</v>
          </cell>
        </row>
        <row r="837">
          <cell r="A837" t="str">
            <v>JPY_LIBOR_3M_EOD</v>
          </cell>
          <cell r="C837">
            <v>44077</v>
          </cell>
          <cell r="E837">
            <v>1.8173082256859401E-3</v>
          </cell>
          <cell r="F837">
            <v>0.990934881366349</v>
          </cell>
        </row>
        <row r="838">
          <cell r="A838" t="str">
            <v>JPY_LIBOR_3M_EOD</v>
          </cell>
          <cell r="C838">
            <v>44442</v>
          </cell>
          <cell r="E838">
            <v>2.3867385738172999E-3</v>
          </cell>
          <cell r="F838">
            <v>0.98575583441751902</v>
          </cell>
        </row>
        <row r="839">
          <cell r="A839" t="str">
            <v>JPY_LIBOR_3M_EOD</v>
          </cell>
          <cell r="C839">
            <v>44809</v>
          </cell>
          <cell r="E839">
            <v>3.0188276346679102E-3</v>
          </cell>
          <cell r="F839">
            <v>0.97904133273024196</v>
          </cell>
        </row>
        <row r="840">
          <cell r="A840" t="str">
            <v>JPY_LIBOR_3M_EOD</v>
          </cell>
          <cell r="C840">
            <v>45173</v>
          </cell>
          <cell r="E840">
            <v>3.6756561966079398E-3</v>
          </cell>
          <cell r="F840">
            <v>0.97097398693141901</v>
          </cell>
        </row>
        <row r="841">
          <cell r="A841" t="str">
            <v>JPY_LIBOR_3M_EOD</v>
          </cell>
          <cell r="C841">
            <v>45538</v>
          </cell>
          <cell r="E841">
            <v>4.3461895853526096E-3</v>
          </cell>
          <cell r="F841">
            <v>0.96158218372620297</v>
          </cell>
        </row>
        <row r="842">
          <cell r="A842" t="str">
            <v>JPY_LIBOR_3M_EOD</v>
          </cell>
          <cell r="C842">
            <v>45903</v>
          </cell>
          <cell r="E842">
            <v>5.0444345369993603E-3</v>
          </cell>
          <cell r="F842">
            <v>0.95074114376773</v>
          </cell>
        </row>
        <row r="843">
          <cell r="A843" t="str">
            <v>JPY_LIBOR_3M_EOD</v>
          </cell>
          <cell r="C843">
            <v>46633</v>
          </cell>
          <cell r="E843">
            <v>6.5364499209716398E-3</v>
          </cell>
          <cell r="F843">
            <v>0.924477154679338</v>
          </cell>
        </row>
        <row r="844">
          <cell r="A844" t="str">
            <v>JPY_LIBOR_3M_EOD</v>
          </cell>
          <cell r="C844">
            <v>47729</v>
          </cell>
          <cell r="E844">
            <v>8.7986801365947508E-3</v>
          </cell>
          <cell r="F844">
            <v>0.87623160134982903</v>
          </cell>
        </row>
        <row r="845">
          <cell r="A845" t="str">
            <v>JPY_LIBOR_3M_EOD</v>
          </cell>
          <cell r="C845">
            <v>49555</v>
          </cell>
          <cell r="E845">
            <v>1.18490075279651E-2</v>
          </cell>
          <cell r="F845">
            <v>0.78882767466116799</v>
          </cell>
        </row>
        <row r="846">
          <cell r="A846" t="str">
            <v>JPY_LIBOR_3M_EOD</v>
          </cell>
          <cell r="C846">
            <v>51382</v>
          </cell>
          <cell r="E846">
            <v>1.3615829025899801E-2</v>
          </cell>
          <cell r="F846">
            <v>0.71124988273167</v>
          </cell>
        </row>
        <row r="847">
          <cell r="A847" t="str">
            <v>JPY_LIBOR_3M_EOD</v>
          </cell>
          <cell r="C847">
            <v>53209</v>
          </cell>
          <cell r="E847">
            <v>1.4628448499518901E-2</v>
          </cell>
          <cell r="F847">
            <v>0.64449107004084405</v>
          </cell>
        </row>
        <row r="848">
          <cell r="A848" t="str">
            <v>JPY_LIBOR_3M_EOD</v>
          </cell>
          <cell r="C848">
            <v>56860</v>
          </cell>
          <cell r="E848">
            <v>1.6087940569120399E-2</v>
          </cell>
          <cell r="F848">
            <v>0.52516302469785203</v>
          </cell>
        </row>
        <row r="849">
          <cell r="A849" t="str">
            <v>JPY_LIBOR_6M_EOD</v>
          </cell>
          <cell r="C849">
            <v>42432</v>
          </cell>
          <cell r="E849">
            <v>1.3263363162006299E-3</v>
          </cell>
          <cell r="F849">
            <v>0.99933160462048698</v>
          </cell>
        </row>
        <row r="850">
          <cell r="A850" t="str">
            <v>JPY_LIBOR_6M_EOD</v>
          </cell>
          <cell r="C850">
            <v>42464</v>
          </cell>
          <cell r="E850">
            <v>1.2983411438866801E-3</v>
          </cell>
          <cell r="F850">
            <v>0.99923196170325801</v>
          </cell>
        </row>
        <row r="851">
          <cell r="A851" t="str">
            <v>JPY_LIBOR_6M_EOD</v>
          </cell>
          <cell r="C851">
            <v>42496</v>
          </cell>
          <cell r="E851">
            <v>1.2777697070577099E-3</v>
          </cell>
          <cell r="F851">
            <v>0.99913219350902505</v>
          </cell>
        </row>
        <row r="852">
          <cell r="A852" t="str">
            <v>JPY_LIBOR_6M_EOD</v>
          </cell>
          <cell r="C852">
            <v>42524</v>
          </cell>
          <cell r="E852">
            <v>1.2621085507908401E-3</v>
          </cell>
          <cell r="F852">
            <v>0.99904609372383402</v>
          </cell>
        </row>
        <row r="853">
          <cell r="A853" t="str">
            <v>JPY_LIBOR_6M_EOD</v>
          </cell>
          <cell r="C853">
            <v>42555</v>
          </cell>
          <cell r="E853">
            <v>1.2538932716820699E-3</v>
          </cell>
          <cell r="F853">
            <v>0.99894591146420397</v>
          </cell>
        </row>
        <row r="854">
          <cell r="A854" t="str">
            <v>JPY_LIBOR_6M_EOD</v>
          </cell>
          <cell r="C854">
            <v>42585</v>
          </cell>
          <cell r="E854">
            <v>1.2499447589094199E-3</v>
          </cell>
          <cell r="F854">
            <v>0.99884660708388795</v>
          </cell>
        </row>
        <row r="855">
          <cell r="A855" t="str">
            <v>JPY_LIBOR_6M_EOD</v>
          </cell>
          <cell r="C855">
            <v>42618</v>
          </cell>
          <cell r="E855">
            <v>1.24634269913285E-3</v>
          </cell>
          <cell r="F855">
            <v>0.99873738188705097</v>
          </cell>
        </row>
        <row r="856">
          <cell r="A856" t="str">
            <v>JPY_LIBOR_6M_EOD</v>
          </cell>
          <cell r="C856">
            <v>42982</v>
          </cell>
          <cell r="E856">
            <v>1.2050257063299099E-3</v>
          </cell>
          <cell r="F856">
            <v>0.99757967654364399</v>
          </cell>
        </row>
        <row r="857">
          <cell r="A857" t="str">
            <v>JPY_LIBOR_6M_EOD</v>
          </cell>
          <cell r="C857">
            <v>43346</v>
          </cell>
          <cell r="E857">
            <v>1.34415827604186E-3</v>
          </cell>
          <cell r="F857">
            <v>0.99596464132604201</v>
          </cell>
        </row>
        <row r="858">
          <cell r="A858" t="str">
            <v>JPY_LIBOR_6M_EOD</v>
          </cell>
          <cell r="C858">
            <v>43711</v>
          </cell>
          <cell r="E858">
            <v>1.68869949356987E-3</v>
          </cell>
          <cell r="F858">
            <v>0.99325417820558104</v>
          </cell>
        </row>
        <row r="859">
          <cell r="A859" t="str">
            <v>JPY_LIBOR_6M_EOD</v>
          </cell>
          <cell r="C859">
            <v>44077</v>
          </cell>
          <cell r="E859">
            <v>2.1916861575106699E-3</v>
          </cell>
          <cell r="F859">
            <v>0.98907763766156997</v>
          </cell>
        </row>
        <row r="860">
          <cell r="A860" t="str">
            <v>JPY_LIBOR_6M_EOD</v>
          </cell>
          <cell r="C860">
            <v>44442</v>
          </cell>
          <cell r="E860">
            <v>2.7860146318123401E-3</v>
          </cell>
          <cell r="F860">
            <v>0.98339282567692898</v>
          </cell>
        </row>
        <row r="861">
          <cell r="A861" t="str">
            <v>JPY_LIBOR_6M_EOD</v>
          </cell>
          <cell r="C861">
            <v>44809</v>
          </cell>
          <cell r="E861">
            <v>3.44301684481835E-3</v>
          </cell>
          <cell r="F861">
            <v>0.976131746558491</v>
          </cell>
        </row>
        <row r="862">
          <cell r="A862" t="str">
            <v>JPY_LIBOR_6M_EOD</v>
          </cell>
          <cell r="C862">
            <v>45173</v>
          </cell>
          <cell r="E862">
            <v>4.1246585432173598E-3</v>
          </cell>
          <cell r="F862">
            <v>0.96748653593860201</v>
          </cell>
        </row>
        <row r="863">
          <cell r="A863" t="str">
            <v>JPY_LIBOR_6M_EOD</v>
          </cell>
          <cell r="C863">
            <v>45538</v>
          </cell>
          <cell r="E863">
            <v>4.8201848181133504E-3</v>
          </cell>
          <cell r="F863">
            <v>0.95748263554575597</v>
          </cell>
        </row>
        <row r="864">
          <cell r="A864" t="str">
            <v>JPY_LIBOR_6M_EOD</v>
          </cell>
          <cell r="C864">
            <v>45903</v>
          </cell>
          <cell r="E864">
            <v>5.5435881430030004E-3</v>
          </cell>
          <cell r="F864">
            <v>0.94600084093442205</v>
          </cell>
        </row>
        <row r="865">
          <cell r="A865" t="str">
            <v>JPY_LIBOR_6M_EOD</v>
          </cell>
          <cell r="C865">
            <v>46633</v>
          </cell>
          <cell r="E865">
            <v>7.0243373567451797E-3</v>
          </cell>
          <cell r="F865">
            <v>0.91907433590413901</v>
          </cell>
        </row>
        <row r="866">
          <cell r="A866" t="str">
            <v>JPY_LIBOR_6M_EOD</v>
          </cell>
          <cell r="C866">
            <v>47729</v>
          </cell>
          <cell r="E866">
            <v>9.2698001580335896E-3</v>
          </cell>
          <cell r="F866">
            <v>0.87005453738650895</v>
          </cell>
        </row>
        <row r="867">
          <cell r="A867" t="str">
            <v>JPY_LIBOR_6M_EOD</v>
          </cell>
          <cell r="C867">
            <v>49555</v>
          </cell>
          <cell r="E867">
            <v>1.22638250489222E-2</v>
          </cell>
          <cell r="F867">
            <v>0.78230413264200205</v>
          </cell>
        </row>
        <row r="868">
          <cell r="A868" t="str">
            <v>JPY_LIBOR_6M_EOD</v>
          </cell>
          <cell r="C868">
            <v>51382</v>
          </cell>
          <cell r="E868">
            <v>1.3987228639856301E-2</v>
          </cell>
          <cell r="F868">
            <v>0.70467004530793798</v>
          </cell>
        </row>
        <row r="869">
          <cell r="A869" t="str">
            <v>JPY_LIBOR_6M_EOD</v>
          </cell>
          <cell r="C869">
            <v>53209</v>
          </cell>
          <cell r="E869">
            <v>1.49550653026781E-2</v>
          </cell>
          <cell r="F869">
            <v>0.63820057786450701</v>
          </cell>
        </row>
        <row r="870">
          <cell r="A870" t="str">
            <v>JPY_LIBOR_6M_EOD</v>
          </cell>
          <cell r="C870">
            <v>56860</v>
          </cell>
          <cell r="E870">
            <v>1.6419717849370501E-2</v>
          </cell>
          <cell r="F870">
            <v>0.51823392794396705</v>
          </cell>
        </row>
        <row r="871">
          <cell r="A871" t="str">
            <v>JPY_LIBOR_EOD</v>
          </cell>
          <cell r="C871">
            <v>42249</v>
          </cell>
          <cell r="E871">
            <v>3.7655813919235999E-4</v>
          </cell>
          <cell r="F871">
            <v>0.99999896833439705</v>
          </cell>
        </row>
        <row r="872">
          <cell r="A872" t="str">
            <v>JPY_LIBOR_EOD</v>
          </cell>
          <cell r="C872">
            <v>42250</v>
          </cell>
          <cell r="E872">
            <v>3.7655813914573002E-4</v>
          </cell>
          <cell r="F872">
            <v>0.99999793666985903</v>
          </cell>
        </row>
        <row r="873">
          <cell r="A873" t="str">
            <v>JPY_LIBOR_EOD</v>
          </cell>
          <cell r="C873">
            <v>42257</v>
          </cell>
          <cell r="E873">
            <v>4.3853914506767998E-4</v>
          </cell>
          <cell r="F873">
            <v>0.99998918676447501</v>
          </cell>
        </row>
        <row r="874">
          <cell r="A874" t="str">
            <v>JPY_LIBOR_EOD</v>
          </cell>
          <cell r="C874">
            <v>42282</v>
          </cell>
          <cell r="E874">
            <v>5.6195520765058005E-4</v>
          </cell>
          <cell r="F874">
            <v>0.99994765485756099</v>
          </cell>
        </row>
        <row r="875">
          <cell r="A875" t="str">
            <v>JPY_LIBOR_EOD</v>
          </cell>
          <cell r="C875">
            <v>42312</v>
          </cell>
          <cell r="E875">
            <v>7.9050450721339003E-4</v>
          </cell>
          <cell r="F875">
            <v>0.99986140059630102</v>
          </cell>
        </row>
        <row r="876">
          <cell r="A876" t="str">
            <v>JPY_LIBOR_EOD</v>
          </cell>
          <cell r="C876">
            <v>42341</v>
          </cell>
          <cell r="E876">
            <v>8.9383061281404004E-4</v>
          </cell>
          <cell r="F876">
            <v>0.99977228278905805</v>
          </cell>
        </row>
        <row r="877">
          <cell r="A877" t="str">
            <v>JPY_LIBOR_EOD</v>
          </cell>
          <cell r="C877">
            <v>42432</v>
          </cell>
          <cell r="E877">
            <v>1.3160126403628E-3</v>
          </cell>
          <cell r="F877">
            <v>0.99933680541949799</v>
          </cell>
        </row>
        <row r="878">
          <cell r="A878" t="str">
            <v>JPY_LIBOR_EOD</v>
          </cell>
          <cell r="C878">
            <v>42618</v>
          </cell>
          <cell r="E878">
            <v>1.2358489969479E-3</v>
          </cell>
          <cell r="F878">
            <v>0.998748005964048</v>
          </cell>
        </row>
        <row r="879">
          <cell r="A879" t="str">
            <v>JPY_LIBOR_EOD</v>
          </cell>
          <cell r="C879">
            <v>42982</v>
          </cell>
          <cell r="E879">
            <v>1.2023601358164401E-3</v>
          </cell>
          <cell r="F879">
            <v>0.99758502393694704</v>
          </cell>
        </row>
        <row r="880">
          <cell r="A880" t="str">
            <v>JPY_LIBOR_EOD</v>
          </cell>
          <cell r="C880">
            <v>43346</v>
          </cell>
          <cell r="E880">
            <v>1.3429785075609801E-3</v>
          </cell>
          <cell r="F880">
            <v>0.99596817601298804</v>
          </cell>
        </row>
        <row r="881">
          <cell r="A881" t="str">
            <v>JPY_LIBOR_EOD</v>
          </cell>
          <cell r="C881">
            <v>43711</v>
          </cell>
          <cell r="E881">
            <v>1.6885858622858799E-3</v>
          </cell>
          <cell r="F881">
            <v>0.99325463059232999</v>
          </cell>
        </row>
        <row r="882">
          <cell r="A882" t="str">
            <v>JPY_LIBOR_EOD</v>
          </cell>
          <cell r="C882">
            <v>44077</v>
          </cell>
          <cell r="E882">
            <v>2.19270150044659E-3</v>
          </cell>
          <cell r="F882">
            <v>0.98907260540389697</v>
          </cell>
        </row>
        <row r="883">
          <cell r="A883" t="str">
            <v>JPY_LIBOR_EOD</v>
          </cell>
          <cell r="C883">
            <v>44442</v>
          </cell>
          <cell r="E883">
            <v>2.7886557927868602E-3</v>
          </cell>
          <cell r="F883">
            <v>0.98337721354478702</v>
          </cell>
        </row>
        <row r="884">
          <cell r="A884" t="str">
            <v>JPY_LIBOR_EOD</v>
          </cell>
          <cell r="C884">
            <v>44809</v>
          </cell>
          <cell r="E884">
            <v>3.4478740247281198E-3</v>
          </cell>
          <cell r="F884">
            <v>0.976098480454474</v>
          </cell>
        </row>
        <row r="885">
          <cell r="A885" t="str">
            <v>JPY_LIBOR_EOD</v>
          </cell>
          <cell r="C885">
            <v>45173</v>
          </cell>
          <cell r="E885">
            <v>4.13274906180334E-3</v>
          </cell>
          <cell r="F885">
            <v>0.96742381100401698</v>
          </cell>
        </row>
        <row r="886">
          <cell r="A886" t="str">
            <v>JPY_LIBOR_EOD</v>
          </cell>
          <cell r="C886">
            <v>45538</v>
          </cell>
          <cell r="E886">
            <v>4.8318432602581802E-3</v>
          </cell>
          <cell r="F886">
            <v>0.95738202311464704</v>
          </cell>
        </row>
        <row r="887">
          <cell r="A887" t="str">
            <v>JPY_LIBOR_EOD</v>
          </cell>
          <cell r="C887">
            <v>45903</v>
          </cell>
          <cell r="E887">
            <v>5.5594696567328704E-3</v>
          </cell>
          <cell r="F887">
            <v>0.94585040783599506</v>
          </cell>
        </row>
        <row r="888">
          <cell r="A888" t="str">
            <v>JPY_LIBOR_EOD</v>
          </cell>
          <cell r="C888">
            <v>46633</v>
          </cell>
          <cell r="E888">
            <v>7.0508694221544602E-3</v>
          </cell>
          <cell r="F888">
            <v>0.91878142926332196</v>
          </cell>
        </row>
        <row r="889">
          <cell r="A889" t="str">
            <v>JPY_LIBOR_EOD</v>
          </cell>
          <cell r="C889">
            <v>47729</v>
          </cell>
          <cell r="E889">
            <v>9.3157314876676101E-3</v>
          </cell>
          <cell r="F889">
            <v>0.86945464594189303</v>
          </cell>
        </row>
        <row r="890">
          <cell r="A890" t="str">
            <v>JPY_LIBOR_EOD</v>
          </cell>
          <cell r="C890">
            <v>49555</v>
          </cell>
          <cell r="E890">
            <v>1.2338630516407699E-2</v>
          </cell>
          <cell r="F890">
            <v>0.78113347457620297</v>
          </cell>
        </row>
        <row r="891">
          <cell r="A891" t="str">
            <v>JPY_LIBOR_EOD</v>
          </cell>
          <cell r="C891">
            <v>51382</v>
          </cell>
          <cell r="E891">
            <v>1.4079138776432999E-2</v>
          </cell>
          <cell r="F891">
            <v>0.70305115278355401</v>
          </cell>
        </row>
        <row r="892">
          <cell r="A892" t="str">
            <v>JPY_LIBOR_EOD</v>
          </cell>
          <cell r="C892">
            <v>53209</v>
          </cell>
          <cell r="E892">
            <v>1.50558057354331E-2</v>
          </cell>
          <cell r="F892">
            <v>0.63627277971227303</v>
          </cell>
        </row>
        <row r="893">
          <cell r="A893" t="str">
            <v>JPY_LIBOR_EOD</v>
          </cell>
          <cell r="C893">
            <v>56860</v>
          </cell>
          <cell r="E893">
            <v>1.6544273308375199E-2</v>
          </cell>
          <cell r="F893">
            <v>0.515656283012212</v>
          </cell>
        </row>
        <row r="894">
          <cell r="A894" t="str">
            <v>JPY_TONA_EOD</v>
          </cell>
          <cell r="C894">
            <v>42249</v>
          </cell>
          <cell r="E894">
            <v>7.5999920876405999E-4</v>
          </cell>
          <cell r="F894">
            <v>0.99999791781255498</v>
          </cell>
        </row>
        <row r="895">
          <cell r="A895" t="str">
            <v>JPY_TONA_EOD</v>
          </cell>
          <cell r="C895">
            <v>42250</v>
          </cell>
          <cell r="E895">
            <v>7.5999920872074004E-4</v>
          </cell>
          <cell r="F895">
            <v>0.99999583562944505</v>
          </cell>
        </row>
        <row r="896">
          <cell r="A896" t="str">
            <v>JPY_TONA_EOD</v>
          </cell>
          <cell r="C896">
            <v>42257</v>
          </cell>
          <cell r="E896">
            <v>7.2300492754945995E-4</v>
          </cell>
          <cell r="F896">
            <v>0.99998217264014799</v>
          </cell>
        </row>
        <row r="897">
          <cell r="A897" t="str">
            <v>JPY_TONA_EOD</v>
          </cell>
          <cell r="C897">
            <v>42264</v>
          </cell>
          <cell r="E897">
            <v>7.3402532579597995E-4</v>
          </cell>
          <cell r="F897">
            <v>0.99996782406501905</v>
          </cell>
        </row>
        <row r="898">
          <cell r="A898" t="str">
            <v>JPY_TONA_EOD</v>
          </cell>
          <cell r="C898">
            <v>42271</v>
          </cell>
          <cell r="E898">
            <v>7.2936715680981001E-4</v>
          </cell>
          <cell r="F898">
            <v>0.99995404093394002</v>
          </cell>
        </row>
        <row r="899">
          <cell r="A899" t="str">
            <v>JPY_TONA_EOD</v>
          </cell>
          <cell r="C899">
            <v>42282</v>
          </cell>
          <cell r="E899">
            <v>7.4303606332272996E-4</v>
          </cell>
          <cell r="F899">
            <v>0.99993078807702795</v>
          </cell>
        </row>
        <row r="900">
          <cell r="A900" t="str">
            <v>JPY_TONA_EOD</v>
          </cell>
          <cell r="C900">
            <v>42312</v>
          </cell>
          <cell r="E900">
            <v>7.2605048176635001E-4</v>
          </cell>
          <cell r="F900">
            <v>0.99987270062151901</v>
          </cell>
        </row>
        <row r="901">
          <cell r="A901" t="str">
            <v>JPY_TONA_EOD</v>
          </cell>
          <cell r="C901">
            <v>42341</v>
          </cell>
          <cell r="E901">
            <v>7.1345957344486999E-4</v>
          </cell>
          <cell r="F901">
            <v>0.99981823093205302</v>
          </cell>
        </row>
        <row r="902">
          <cell r="A902" t="str">
            <v>JPY_TONA_EOD</v>
          </cell>
          <cell r="C902">
            <v>42373</v>
          </cell>
          <cell r="E902">
            <v>6.9742573195023003E-4</v>
          </cell>
          <cell r="F902">
            <v>0.99976118409230996</v>
          </cell>
        </row>
        <row r="903">
          <cell r="A903" t="str">
            <v>JPY_TONA_EOD</v>
          </cell>
          <cell r="C903">
            <v>42403</v>
          </cell>
          <cell r="E903">
            <v>6.8567331215393999E-4</v>
          </cell>
          <cell r="F903">
            <v>0.99970886604967801</v>
          </cell>
        </row>
        <row r="904">
          <cell r="A904" t="str">
            <v>JPY_TONA_EOD</v>
          </cell>
          <cell r="C904">
            <v>42432</v>
          </cell>
          <cell r="E904">
            <v>6.7581157018942E-4</v>
          </cell>
          <cell r="F904">
            <v>0.99965937493297796</v>
          </cell>
        </row>
        <row r="905">
          <cell r="A905" t="str">
            <v>JPY_TONA_EOD</v>
          </cell>
          <cell r="C905">
            <v>42464</v>
          </cell>
          <cell r="E905">
            <v>6.8060647134092001E-4</v>
          </cell>
          <cell r="F905">
            <v>0.99959731124387696</v>
          </cell>
        </row>
        <row r="906">
          <cell r="A906" t="str">
            <v>JPY_TONA_EOD</v>
          </cell>
          <cell r="C906">
            <v>42496</v>
          </cell>
          <cell r="E906">
            <v>6.6452770422181003E-4</v>
          </cell>
          <cell r="F906">
            <v>0.99954858720332795</v>
          </cell>
        </row>
        <row r="907">
          <cell r="A907" t="str">
            <v>JPY_TONA_EOD</v>
          </cell>
          <cell r="C907">
            <v>42524</v>
          </cell>
          <cell r="E907">
            <v>6.5683642206139999E-4</v>
          </cell>
          <cell r="F907">
            <v>0.99950344701507099</v>
          </cell>
        </row>
        <row r="908">
          <cell r="A908" t="str">
            <v>JPY_TONA_EOD</v>
          </cell>
          <cell r="C908">
            <v>42555</v>
          </cell>
          <cell r="E908">
            <v>6.4312893155503003E-4</v>
          </cell>
          <cell r="F908">
            <v>0.99945921317659803</v>
          </cell>
        </row>
        <row r="909">
          <cell r="A909" t="str">
            <v>JPY_TONA_EOD</v>
          </cell>
          <cell r="C909">
            <v>42585</v>
          </cell>
          <cell r="E909">
            <v>6.5542750620626005E-4</v>
          </cell>
          <cell r="F909">
            <v>0.99939503492933701</v>
          </cell>
        </row>
        <row r="910">
          <cell r="A910" t="str">
            <v>JPY_TONA_EOD</v>
          </cell>
          <cell r="C910">
            <v>42618</v>
          </cell>
          <cell r="E910">
            <v>6.2926132822978004E-4</v>
          </cell>
          <cell r="F910">
            <v>0.99936232205663</v>
          </cell>
        </row>
        <row r="911">
          <cell r="A911" t="str">
            <v>JPY_TONA_EOD</v>
          </cell>
          <cell r="C911">
            <v>42797</v>
          </cell>
          <cell r="E911">
            <v>5.7161812113886996E-4</v>
          </cell>
          <cell r="F911">
            <v>0.99914059320446202</v>
          </cell>
        </row>
        <row r="912">
          <cell r="A912" t="str">
            <v>JPY_TONA_EOD</v>
          </cell>
          <cell r="C912">
            <v>42982</v>
          </cell>
          <cell r="E912">
            <v>5.3401029206710002E-4</v>
          </cell>
          <cell r="F912">
            <v>0.99892670364328195</v>
          </cell>
        </row>
        <row r="913">
          <cell r="A913" t="str">
            <v>JPY_TONA_EOD</v>
          </cell>
          <cell r="C913">
            <v>43346</v>
          </cell>
          <cell r="E913">
            <v>5.8336246463983998E-4</v>
          </cell>
          <cell r="F913">
            <v>0.99824665675145297</v>
          </cell>
        </row>
        <row r="914">
          <cell r="A914" t="str">
            <v>JPY_TONA_EOD</v>
          </cell>
          <cell r="C914">
            <v>43711</v>
          </cell>
          <cell r="E914">
            <v>8.3857613336797004E-4</v>
          </cell>
          <cell r="F914">
            <v>0.99664444555876697</v>
          </cell>
        </row>
        <row r="915">
          <cell r="A915" t="str">
            <v>JPY_TONA_EOD</v>
          </cell>
          <cell r="C915">
            <v>44077</v>
          </cell>
          <cell r="E915">
            <v>1.25393387702688E-3</v>
          </cell>
          <cell r="F915">
            <v>0.99373628822014604</v>
          </cell>
        </row>
        <row r="916">
          <cell r="A916" t="str">
            <v>JPY_TONA_EOD</v>
          </cell>
          <cell r="C916">
            <v>44442</v>
          </cell>
          <cell r="E916">
            <v>1.76390658705092E-3</v>
          </cell>
          <cell r="F916">
            <v>0.98945324122758405</v>
          </cell>
        </row>
        <row r="917">
          <cell r="A917" t="str">
            <v>JPY_TONA_EOD</v>
          </cell>
          <cell r="C917">
            <v>44809</v>
          </cell>
          <cell r="E917">
            <v>2.3389198305203301E-3</v>
          </cell>
          <cell r="F917">
            <v>0.98372303818200402</v>
          </cell>
        </row>
        <row r="918">
          <cell r="A918" t="str">
            <v>JPY_TONA_EOD</v>
          </cell>
          <cell r="C918">
            <v>45173</v>
          </cell>
          <cell r="E918">
            <v>2.9319242606132799E-3</v>
          </cell>
          <cell r="F918">
            <v>0.97677831406431903</v>
          </cell>
        </row>
        <row r="919">
          <cell r="A919" t="str">
            <v>JPY_TONA_EOD</v>
          </cell>
          <cell r="C919">
            <v>45538</v>
          </cell>
          <cell r="E919">
            <v>3.5499219956418799E-3</v>
          </cell>
          <cell r="F919">
            <v>0.96850858976713305</v>
          </cell>
        </row>
        <row r="920">
          <cell r="A920" t="str">
            <v>JPY_TONA_EOD</v>
          </cell>
          <cell r="C920">
            <v>45903</v>
          </cell>
          <cell r="E920">
            <v>4.2025101420434799E-3</v>
          </cell>
          <cell r="F920">
            <v>0.95879051403389703</v>
          </cell>
        </row>
        <row r="921">
          <cell r="A921" t="str">
            <v>JPY_TONA_EOD</v>
          </cell>
          <cell r="C921">
            <v>46633</v>
          </cell>
          <cell r="E921">
            <v>5.5797252545992E-3</v>
          </cell>
          <cell r="F921">
            <v>0.93516421168111097</v>
          </cell>
        </row>
        <row r="922">
          <cell r="A922" t="str">
            <v>JPY_TONA_EOD</v>
          </cell>
          <cell r="C922">
            <v>47729</v>
          </cell>
          <cell r="E922">
            <v>7.8242985455302498E-3</v>
          </cell>
          <cell r="F922">
            <v>0.88914664969203405</v>
          </cell>
        </row>
        <row r="923">
          <cell r="A923" t="str">
            <v>JPY_TONA_EOD</v>
          </cell>
          <cell r="C923">
            <v>49555</v>
          </cell>
          <cell r="E923">
            <v>1.08171392540309E-2</v>
          </cell>
          <cell r="F923">
            <v>0.805292078394929</v>
          </cell>
        </row>
        <row r="924">
          <cell r="A924" t="str">
            <v>JPY_TONA_EOD</v>
          </cell>
          <cell r="C924">
            <v>51382</v>
          </cell>
          <cell r="E924">
            <v>1.25405444914125E-2</v>
          </cell>
          <cell r="F924">
            <v>0.73064846481163204</v>
          </cell>
        </row>
        <row r="925">
          <cell r="A925" t="str">
            <v>JPY_TONA_EOD</v>
          </cell>
          <cell r="C925">
            <v>53209</v>
          </cell>
          <cell r="E925">
            <v>1.35047059460908E-2</v>
          </cell>
          <cell r="F925">
            <v>0.66661129469122904</v>
          </cell>
        </row>
        <row r="926">
          <cell r="A926" t="str">
            <v>JPY_TONA_EOD</v>
          </cell>
          <cell r="C926">
            <v>56860</v>
          </cell>
          <cell r="E926">
            <v>1.4900309399549699E-2</v>
          </cell>
          <cell r="F926">
            <v>0.55073460352088799</v>
          </cell>
        </row>
        <row r="927">
          <cell r="A927" t="str">
            <v>MXN_TIIE_EOD</v>
          </cell>
          <cell r="C927">
            <v>42333</v>
          </cell>
          <cell r="E927">
            <v>3.5589567619267501E-2</v>
          </cell>
          <cell r="F927">
            <v>0.99174626913011699</v>
          </cell>
        </row>
        <row r="928">
          <cell r="A928" t="str">
            <v>MXN_TIIE_EOD</v>
          </cell>
          <cell r="C928">
            <v>42417</v>
          </cell>
          <cell r="E928">
            <v>3.7455917648839897E-2</v>
          </cell>
          <cell r="F928">
            <v>0.98280691438491496</v>
          </cell>
        </row>
        <row r="929">
          <cell r="A929" t="str">
            <v>MXN_TIIE_EOD</v>
          </cell>
          <cell r="C929">
            <v>42501</v>
          </cell>
          <cell r="E929">
            <v>3.8979563855414498E-2</v>
          </cell>
          <cell r="F929">
            <v>0.97334302875807699</v>
          </cell>
        </row>
        <row r="930">
          <cell r="A930" t="str">
            <v>MXN_TIIE_EOD</v>
          </cell>
          <cell r="C930">
            <v>42613</v>
          </cell>
          <cell r="E930">
            <v>4.0713562521380399E-2</v>
          </cell>
          <cell r="F930">
            <v>0.96010410036272298</v>
          </cell>
        </row>
        <row r="931">
          <cell r="A931" t="str">
            <v>MXN_TIIE_EOD</v>
          </cell>
          <cell r="C931">
            <v>42977</v>
          </cell>
          <cell r="E931">
            <v>4.5347939367666103E-2</v>
          </cell>
          <cell r="F931">
            <v>0.91340889694814698</v>
          </cell>
        </row>
        <row r="932">
          <cell r="A932" t="str">
            <v>MXN_TIIE_EOD</v>
          </cell>
          <cell r="C932">
            <v>43341</v>
          </cell>
          <cell r="E932">
            <v>4.9457884149116497E-2</v>
          </cell>
          <cell r="F932">
            <v>0.86234259063638297</v>
          </cell>
        </row>
        <row r="933">
          <cell r="A933" t="str">
            <v>MXN_TIIE_EOD</v>
          </cell>
          <cell r="C933">
            <v>43705</v>
          </cell>
          <cell r="E933">
            <v>5.3378452603532398E-2</v>
          </cell>
          <cell r="F933">
            <v>0.80809546037872004</v>
          </cell>
        </row>
        <row r="934">
          <cell r="A934" t="str">
            <v>MXN_TIIE_EOD</v>
          </cell>
          <cell r="C934">
            <v>44069</v>
          </cell>
          <cell r="E934">
            <v>5.6630871787173499E-2</v>
          </cell>
          <cell r="F934">
            <v>0.75387120090828397</v>
          </cell>
        </row>
        <row r="935">
          <cell r="A935" t="str">
            <v>MXN_TIIE_EOD</v>
          </cell>
          <cell r="C935">
            <v>44797</v>
          </cell>
          <cell r="E935">
            <v>6.1753059427972601E-2</v>
          </cell>
          <cell r="F935">
            <v>0.64969237509080302</v>
          </cell>
        </row>
        <row r="936">
          <cell r="A936" t="str">
            <v>MXN_TIIE_EOD</v>
          </cell>
          <cell r="C936">
            <v>45889</v>
          </cell>
          <cell r="E936">
            <v>6.6253762432628704E-2</v>
          </cell>
          <cell r="F936">
            <v>0.51638432754921704</v>
          </cell>
        </row>
        <row r="937">
          <cell r="A937" t="str">
            <v>MXN_TIIE_EOD</v>
          </cell>
          <cell r="C937">
            <v>47709</v>
          </cell>
          <cell r="E937">
            <v>7.1386845862623602E-2</v>
          </cell>
          <cell r="F937">
            <v>0.34367303187515003</v>
          </cell>
        </row>
        <row r="938">
          <cell r="A938" t="str">
            <v>MXN_TIIE_EOD</v>
          </cell>
          <cell r="C938">
            <v>49529</v>
          </cell>
          <cell r="E938">
            <v>7.4435011492964095E-2</v>
          </cell>
          <cell r="F938">
            <v>0.22654186184446701</v>
          </cell>
        </row>
        <row r="939">
          <cell r="A939" t="str">
            <v>MXN_TIIE_EOD</v>
          </cell>
          <cell r="C939">
            <v>53169</v>
          </cell>
          <cell r="E939">
            <v>7.7023132068023498E-2</v>
          </cell>
          <cell r="F939">
            <v>9.9801275425556002E-2</v>
          </cell>
        </row>
        <row r="940">
          <cell r="A940" t="str">
            <v>MXN_USDMXNBASIS_EOD</v>
          </cell>
          <cell r="C940">
            <v>42251</v>
          </cell>
          <cell r="E940">
            <v>2.7079436711463099E-2</v>
          </cell>
          <cell r="F940">
            <v>0.99977745405432705</v>
          </cell>
        </row>
        <row r="941">
          <cell r="A941" t="str">
            <v>MXN_USDMXNBASIS_EOD</v>
          </cell>
          <cell r="C941">
            <v>42282</v>
          </cell>
          <cell r="E941">
            <v>2.8675318598778501E-2</v>
          </cell>
          <cell r="F941">
            <v>0.99733243871354105</v>
          </cell>
        </row>
        <row r="942">
          <cell r="A942" t="str">
            <v>MXN_USDMXNBASIS_EOD</v>
          </cell>
          <cell r="C942">
            <v>42311</v>
          </cell>
          <cell r="E942">
            <v>2.9238999750880901E-2</v>
          </cell>
          <cell r="F942">
            <v>0.99496598188943197</v>
          </cell>
        </row>
        <row r="943">
          <cell r="A943" t="str">
            <v>MXN_USDMXNBASIS_EOD</v>
          </cell>
          <cell r="C943">
            <v>42341</v>
          </cell>
          <cell r="E943">
            <v>2.9394376470501801E-2</v>
          </cell>
          <cell r="F943">
            <v>0.99253845055326495</v>
          </cell>
        </row>
        <row r="944">
          <cell r="A944" t="str">
            <v>MXN_USDMXNBASIS_EOD</v>
          </cell>
          <cell r="C944">
            <v>42432</v>
          </cell>
          <cell r="E944">
            <v>3.08552471699594E-2</v>
          </cell>
          <cell r="F944">
            <v>0.984565919337684</v>
          </cell>
        </row>
        <row r="945">
          <cell r="A945" t="str">
            <v>MXN_USDMXNBASIS_EOD</v>
          </cell>
          <cell r="C945">
            <v>42524</v>
          </cell>
          <cell r="E945">
            <v>3.2389834709312601E-2</v>
          </cell>
          <cell r="F945">
            <v>0.97580545688769604</v>
          </cell>
        </row>
        <row r="946">
          <cell r="A946" t="str">
            <v>MXN_USDMXNBASIS_EOD</v>
          </cell>
          <cell r="C946">
            <v>42619</v>
          </cell>
          <cell r="E946">
            <v>3.3766916361181502E-2</v>
          </cell>
          <cell r="F946">
            <v>0.966260329385213</v>
          </cell>
        </row>
        <row r="947">
          <cell r="A947" t="str">
            <v>MXN_USDMXNBASIS_EOD</v>
          </cell>
          <cell r="C947">
            <v>42797</v>
          </cell>
          <cell r="E947">
            <v>3.6157703637243598E-2</v>
          </cell>
          <cell r="F947">
            <v>0.94706727446404404</v>
          </cell>
        </row>
        <row r="948">
          <cell r="A948" t="str">
            <v>MXN_USDMXNBASIS_EOD</v>
          </cell>
          <cell r="C948">
            <v>42978</v>
          </cell>
          <cell r="E948">
            <v>3.7998325118062899E-2</v>
          </cell>
          <cell r="F948">
            <v>0.92681931118002903</v>
          </cell>
        </row>
        <row r="949">
          <cell r="A949" t="str">
            <v>MXN_USDMXNBASIS_EOD</v>
          </cell>
          <cell r="C949">
            <v>43342</v>
          </cell>
          <cell r="E949">
            <v>4.0918840574766698E-2</v>
          </cell>
          <cell r="F949">
            <v>0.884578149089572</v>
          </cell>
        </row>
        <row r="950">
          <cell r="A950" t="str">
            <v>MXN_USDMXNBASIS_EOD</v>
          </cell>
          <cell r="C950">
            <v>43706</v>
          </cell>
          <cell r="E950">
            <v>4.3562510672742999E-2</v>
          </cell>
          <cell r="F950">
            <v>0.84028736538251303</v>
          </cell>
        </row>
        <row r="951">
          <cell r="A951" t="str">
            <v>MXN_USDMXNBASIS_EOD</v>
          </cell>
          <cell r="C951">
            <v>44070</v>
          </cell>
          <cell r="E951">
            <v>4.54525174171726E-2</v>
          </cell>
          <cell r="F951">
            <v>0.79700924162005304</v>
          </cell>
        </row>
        <row r="952">
          <cell r="A952" t="str">
            <v>MXN_USDMXNBASIS_EOD</v>
          </cell>
          <cell r="C952">
            <v>44798</v>
          </cell>
          <cell r="E952">
            <v>4.9302540285301802E-2</v>
          </cell>
          <cell r="F952">
            <v>0.70861536390267599</v>
          </cell>
        </row>
        <row r="953">
          <cell r="A953" t="str">
            <v>MXN_USDMXNBASIS_EOD</v>
          </cell>
          <cell r="C953">
            <v>45890</v>
          </cell>
          <cell r="E953">
            <v>5.2888210078112702E-2</v>
          </cell>
          <cell r="F953">
            <v>0.58994680501680796</v>
          </cell>
        </row>
        <row r="954">
          <cell r="A954" t="str">
            <v>MXN_USDMXNBASIS_EOD</v>
          </cell>
          <cell r="C954">
            <v>47710</v>
          </cell>
          <cell r="E954">
            <v>5.6994896668892403E-2</v>
          </cell>
          <cell r="F954">
            <v>0.426179996562774</v>
          </cell>
        </row>
        <row r="955">
          <cell r="A955" t="str">
            <v>MXN_USDMXNBASIS_EOD</v>
          </cell>
          <cell r="C955">
            <v>49530</v>
          </cell>
          <cell r="E955">
            <v>5.8594568104410598E-2</v>
          </cell>
          <cell r="F955">
            <v>0.31067691449127</v>
          </cell>
        </row>
        <row r="956">
          <cell r="A956" t="str">
            <v>MXN_USDMXNBASIS_EOD</v>
          </cell>
          <cell r="C956">
            <v>53170</v>
          </cell>
          <cell r="E956">
            <v>5.8075477409292399E-2</v>
          </cell>
          <cell r="F956">
            <v>0.17590534921373499</v>
          </cell>
        </row>
        <row r="957">
          <cell r="A957" t="str">
            <v>NOK_NIBOR_3M_EOD</v>
          </cell>
          <cell r="C957">
            <v>42341</v>
          </cell>
          <cell r="E957">
            <v>1.1440612792347E-2</v>
          </cell>
          <cell r="F957">
            <v>0.99708923905193803</v>
          </cell>
        </row>
        <row r="958">
          <cell r="A958" t="str">
            <v>NOK_NIBOR_3M_EOD</v>
          </cell>
          <cell r="C958">
            <v>42354</v>
          </cell>
          <cell r="E958">
            <v>1.13104200981418E-2</v>
          </cell>
          <cell r="F958">
            <v>0.99672071868044998</v>
          </cell>
        </row>
        <row r="959">
          <cell r="A959" t="str">
            <v>NOK_NIBOR_3M_EOD</v>
          </cell>
          <cell r="C959">
            <v>42445</v>
          </cell>
          <cell r="E959">
            <v>1.04830270952391E-2</v>
          </cell>
          <cell r="F959">
            <v>0.99435801355603204</v>
          </cell>
        </row>
        <row r="960">
          <cell r="A960" t="str">
            <v>NOK_NIBOR_3M_EOD</v>
          </cell>
          <cell r="C960">
            <v>42536</v>
          </cell>
          <cell r="E960">
            <v>9.9227936557048993E-3</v>
          </cell>
          <cell r="F960">
            <v>0.99220107865573204</v>
          </cell>
        </row>
        <row r="961">
          <cell r="A961" t="str">
            <v>NOK_NIBOR_3M_EOD</v>
          </cell>
          <cell r="C961">
            <v>42634</v>
          </cell>
          <cell r="E961">
            <v>9.5890114042012503E-3</v>
          </cell>
          <cell r="F961">
            <v>0.98991053566633003</v>
          </cell>
        </row>
        <row r="962">
          <cell r="A962" t="str">
            <v>NOK_NIBOR_3M_EOD</v>
          </cell>
          <cell r="C962">
            <v>42982</v>
          </cell>
          <cell r="E962">
            <v>9.5157500042252902E-3</v>
          </cell>
          <cell r="F962">
            <v>0.98104614459463102</v>
          </cell>
        </row>
        <row r="963">
          <cell r="A963" t="str">
            <v>NOK_NIBOR_3M_EOD</v>
          </cell>
          <cell r="C963">
            <v>43346</v>
          </cell>
          <cell r="E963">
            <v>1.05007483285432E-2</v>
          </cell>
          <cell r="F963">
            <v>0.96890515367520202</v>
          </cell>
        </row>
        <row r="964">
          <cell r="A964" t="str">
            <v>NOK_NIBOR_3M_EOD</v>
          </cell>
          <cell r="C964">
            <v>43711</v>
          </cell>
          <cell r="E964">
            <v>1.20421550664788E-2</v>
          </cell>
          <cell r="F964">
            <v>0.95287876557009799</v>
          </cell>
        </row>
        <row r="965">
          <cell r="A965" t="str">
            <v>NOK_NIBOR_3M_EOD</v>
          </cell>
          <cell r="C965">
            <v>44077</v>
          </cell>
          <cell r="E965">
            <v>1.37580489654235E-2</v>
          </cell>
          <cell r="F965">
            <v>0.93338173120724299</v>
          </cell>
        </row>
        <row r="966">
          <cell r="A966" t="str">
            <v>NOK_NIBOR_3M_EOD</v>
          </cell>
          <cell r="C966">
            <v>44442</v>
          </cell>
          <cell r="E966">
            <v>1.54974894592573E-2</v>
          </cell>
          <cell r="F966">
            <v>0.91105248373502901</v>
          </cell>
        </row>
        <row r="967">
          <cell r="A967" t="str">
            <v>NOK_NIBOR_3M_EOD</v>
          </cell>
          <cell r="C967">
            <v>44809</v>
          </cell>
          <cell r="E967">
            <v>1.7035652135648699E-2</v>
          </cell>
          <cell r="F967">
            <v>0.88733773951182904</v>
          </cell>
        </row>
        <row r="968">
          <cell r="A968" t="str">
            <v>NOK_NIBOR_3M_EOD</v>
          </cell>
          <cell r="C968">
            <v>45173</v>
          </cell>
          <cell r="E968">
            <v>1.8381237260613002E-2</v>
          </cell>
          <cell r="F968">
            <v>0.86303356448589696</v>
          </cell>
        </row>
        <row r="969">
          <cell r="A969" t="str">
            <v>NOK_NIBOR_3M_EOD</v>
          </cell>
          <cell r="C969">
            <v>45538</v>
          </cell>
          <cell r="E969">
            <v>1.9545941789830198E-2</v>
          </cell>
          <cell r="F969">
            <v>0.83846601543108501</v>
          </cell>
        </row>
        <row r="970">
          <cell r="A970" t="str">
            <v>NOK_NIBOR_3M_EOD</v>
          </cell>
          <cell r="C970">
            <v>45903</v>
          </cell>
          <cell r="E970">
            <v>2.0496569940985601E-2</v>
          </cell>
          <cell r="F970">
            <v>0.814446551494034</v>
          </cell>
        </row>
        <row r="971">
          <cell r="A971" t="str">
            <v>NOK_NIBOR_3M_EOD</v>
          </cell>
          <cell r="C971">
            <v>46633</v>
          </cell>
          <cell r="E971">
            <v>2.1610547315138898E-2</v>
          </cell>
          <cell r="F971">
            <v>0.77134263352527099</v>
          </cell>
        </row>
        <row r="972">
          <cell r="A972" t="str">
            <v>NOK_NIBOR_3M_EOD</v>
          </cell>
          <cell r="C972">
            <v>47729</v>
          </cell>
          <cell r="E972">
            <v>2.2301554831967701E-2</v>
          </cell>
          <cell r="F972">
            <v>0.71541683268463097</v>
          </cell>
        </row>
        <row r="973">
          <cell r="A973" t="str">
            <v>NOK_NIBOR_3M_EOD</v>
          </cell>
          <cell r="C973">
            <v>49555</v>
          </cell>
          <cell r="E973">
            <v>2.3090193386893901E-2</v>
          </cell>
          <cell r="F973">
            <v>0.62986693678042904</v>
          </cell>
        </row>
        <row r="974">
          <cell r="A974" t="str">
            <v>NOK_NIBOR_3M_EOD</v>
          </cell>
          <cell r="C974">
            <v>51382</v>
          </cell>
          <cell r="E974">
            <v>2.2978479861784099E-2</v>
          </cell>
          <cell r="F974">
            <v>0.562688781755595</v>
          </cell>
        </row>
        <row r="975">
          <cell r="A975" t="str">
            <v>NOK_NIBOR_3M_EOD</v>
          </cell>
          <cell r="C975">
            <v>53209</v>
          </cell>
          <cell r="E975">
            <v>2.2912800421931299E-2</v>
          </cell>
          <cell r="F975">
            <v>0.50254276639812201</v>
          </cell>
        </row>
        <row r="976">
          <cell r="A976" t="str">
            <v>NOK_NIBOR_6M_EOD</v>
          </cell>
          <cell r="C976">
            <v>42432</v>
          </cell>
          <cell r="E976">
            <v>1.1525153492724999E-2</v>
          </cell>
          <cell r="F976">
            <v>0.99420690467409001</v>
          </cell>
        </row>
        <row r="977">
          <cell r="A977" t="str">
            <v>NOK_NIBOR_6M_EOD</v>
          </cell>
          <cell r="C977">
            <v>42618</v>
          </cell>
          <cell r="E977">
            <v>1.0524030414099999E-2</v>
          </cell>
          <cell r="F977">
            <v>0.98938850816024804</v>
          </cell>
        </row>
        <row r="978">
          <cell r="A978" t="str">
            <v>NOK_NIBOR_6M_EOD</v>
          </cell>
          <cell r="C978">
            <v>42982</v>
          </cell>
          <cell r="E978">
            <v>1.02504386413867E-2</v>
          </cell>
          <cell r="F978">
            <v>0.97959778909153095</v>
          </cell>
        </row>
        <row r="979">
          <cell r="A979" t="str">
            <v>NOK_NIBOR_6M_EOD</v>
          </cell>
          <cell r="C979">
            <v>43346</v>
          </cell>
          <cell r="E979">
            <v>1.1184532039279599E-2</v>
          </cell>
          <cell r="F979">
            <v>0.96691419198601203</v>
          </cell>
        </row>
        <row r="980">
          <cell r="A980" t="str">
            <v>NOK_NIBOR_6M_EOD</v>
          </cell>
          <cell r="C980">
            <v>43711</v>
          </cell>
          <cell r="E980">
            <v>1.2703543028266101E-2</v>
          </cell>
          <cell r="F980">
            <v>0.95035604081424696</v>
          </cell>
        </row>
        <row r="981">
          <cell r="A981" t="str">
            <v>NOK_NIBOR_6M_EOD</v>
          </cell>
          <cell r="C981">
            <v>44077</v>
          </cell>
          <cell r="E981">
            <v>1.4419000672588601E-2</v>
          </cell>
          <cell r="F981">
            <v>0.93029548284531405</v>
          </cell>
        </row>
        <row r="982">
          <cell r="A982" t="str">
            <v>NOK_NIBOR_6M_EOD</v>
          </cell>
          <cell r="C982">
            <v>44442</v>
          </cell>
          <cell r="E982">
            <v>1.6158206223296698E-2</v>
          </cell>
          <cell r="F982">
            <v>0.90744137673179504</v>
          </cell>
        </row>
        <row r="983">
          <cell r="A983" t="str">
            <v>NOK_NIBOR_6M_EOD</v>
          </cell>
          <cell r="C983">
            <v>44809</v>
          </cell>
          <cell r="E983">
            <v>1.7696092705198799E-2</v>
          </cell>
          <cell r="F983">
            <v>0.883235381566711</v>
          </cell>
        </row>
        <row r="984">
          <cell r="A984" t="str">
            <v>NOK_NIBOR_6M_EOD</v>
          </cell>
          <cell r="C984">
            <v>45173</v>
          </cell>
          <cell r="E984">
            <v>1.9041155184160202E-2</v>
          </cell>
          <cell r="F984">
            <v>0.85848155912792301</v>
          </cell>
        </row>
        <row r="985">
          <cell r="A985" t="str">
            <v>NOK_NIBOR_6M_EOD</v>
          </cell>
          <cell r="C985">
            <v>45538</v>
          </cell>
          <cell r="E985">
            <v>2.0199935335370098E-2</v>
          </cell>
          <cell r="F985">
            <v>0.83353788121035399</v>
          </cell>
        </row>
        <row r="986">
          <cell r="A986" t="str">
            <v>NOK_NIBOR_6M_EOD</v>
          </cell>
          <cell r="C986">
            <v>45903</v>
          </cell>
          <cell r="E986">
            <v>2.11449287982464E-2</v>
          </cell>
          <cell r="F986">
            <v>0.80917590978451104</v>
          </cell>
        </row>
        <row r="987">
          <cell r="A987" t="str">
            <v>NOK_NIBOR_6M_EOD</v>
          </cell>
          <cell r="C987">
            <v>46633</v>
          </cell>
          <cell r="E987">
            <v>2.22477177166596E-2</v>
          </cell>
          <cell r="F987">
            <v>0.76546072169323598</v>
          </cell>
        </row>
        <row r="988">
          <cell r="A988" t="str">
            <v>NOK_NIBOR_6M_EOD</v>
          </cell>
          <cell r="C988">
            <v>47729</v>
          </cell>
          <cell r="E988">
            <v>2.29274642895104E-2</v>
          </cell>
          <cell r="F988">
            <v>0.70872418054733299</v>
          </cell>
        </row>
        <row r="989">
          <cell r="A989" t="str">
            <v>NOK_NIBOR_6M_EOD</v>
          </cell>
          <cell r="C989">
            <v>49555</v>
          </cell>
          <cell r="E989">
            <v>2.36988256646514E-2</v>
          </cell>
          <cell r="F989">
            <v>0.62223900270889199</v>
          </cell>
        </row>
        <row r="990">
          <cell r="A990" t="str">
            <v>NOK_NIBOR_6M_EOD</v>
          </cell>
          <cell r="C990">
            <v>51382</v>
          </cell>
          <cell r="E990">
            <v>2.35820259636185E-2</v>
          </cell>
          <cell r="F990">
            <v>0.55425404979896897</v>
          </cell>
        </row>
        <row r="991">
          <cell r="A991" t="str">
            <v>NOK_NIBOR_6M_EOD</v>
          </cell>
          <cell r="C991">
            <v>53209</v>
          </cell>
          <cell r="E991">
            <v>2.3510651938908399E-2</v>
          </cell>
          <cell r="F991">
            <v>0.49360084308348301</v>
          </cell>
        </row>
        <row r="992">
          <cell r="A992" t="str">
            <v>NOK_NIBOR_EOD</v>
          </cell>
          <cell r="C992">
            <v>42249</v>
          </cell>
          <cell r="E992">
            <v>1.0138748073534201E-2</v>
          </cell>
          <cell r="F992">
            <v>0.99997222299380595</v>
          </cell>
        </row>
        <row r="993">
          <cell r="A993" t="str">
            <v>NOK_NIBOR_EOD</v>
          </cell>
          <cell r="C993">
            <v>42250</v>
          </cell>
          <cell r="E993">
            <v>1.0138748073556501E-2</v>
          </cell>
          <cell r="F993">
            <v>0.99994444675917404</v>
          </cell>
        </row>
        <row r="994">
          <cell r="A994" t="str">
            <v>NOK_NIBOR_EOD</v>
          </cell>
          <cell r="C994">
            <v>42257</v>
          </cell>
          <cell r="E994">
            <v>1.11630330933425E-2</v>
          </cell>
          <cell r="F994">
            <v>0.99972478500780104</v>
          </cell>
        </row>
        <row r="995">
          <cell r="A995" t="str">
            <v>NOK_NIBOR_EOD</v>
          </cell>
          <cell r="C995">
            <v>42354</v>
          </cell>
          <cell r="E995">
            <v>1.1317937674197E-2</v>
          </cell>
          <cell r="F995">
            <v>0.99671854265563697</v>
          </cell>
        </row>
        <row r="996">
          <cell r="A996" t="str">
            <v>NOK_NIBOR_EOD</v>
          </cell>
          <cell r="C996">
            <v>42445</v>
          </cell>
          <cell r="E996">
            <v>1.0487072085400201E-2</v>
          </cell>
          <cell r="F996">
            <v>0.99435584268943999</v>
          </cell>
        </row>
        <row r="997">
          <cell r="A997" t="str">
            <v>NOK_NIBOR_EOD</v>
          </cell>
          <cell r="C997">
            <v>42536</v>
          </cell>
          <cell r="E997">
            <v>9.9255605413346402E-3</v>
          </cell>
          <cell r="F997">
            <v>0.99219891249812597</v>
          </cell>
        </row>
        <row r="998">
          <cell r="A998" t="str">
            <v>NOK_NIBOR_EOD</v>
          </cell>
          <cell r="C998">
            <v>42634</v>
          </cell>
          <cell r="E998">
            <v>9.5910758162769897E-3</v>
          </cell>
          <cell r="F998">
            <v>0.98990837450940194</v>
          </cell>
        </row>
        <row r="999">
          <cell r="A999" t="str">
            <v>NOK_NIBOR_EOD</v>
          </cell>
          <cell r="C999">
            <v>42982</v>
          </cell>
          <cell r="E999">
            <v>1.02528355829097E-2</v>
          </cell>
          <cell r="F999">
            <v>0.97959306729374795</v>
          </cell>
        </row>
        <row r="1000">
          <cell r="A1000" t="str">
            <v>NOK_NIBOR_EOD</v>
          </cell>
          <cell r="C1000">
            <v>43346</v>
          </cell>
          <cell r="E1000">
            <v>1.11878815745402E-2</v>
          </cell>
          <cell r="F1000">
            <v>0.96690444927599595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K31"/>
  <sheetViews>
    <sheetView tabSelected="1" workbookViewId="0">
      <selection activeCell="D11" sqref="D11"/>
    </sheetView>
  </sheetViews>
  <sheetFormatPr defaultColWidth="8" defaultRowHeight="11.25" x14ac:dyDescent="0.2"/>
  <cols>
    <col min="1" max="2" width="2.7109375" style="164" customWidth="1"/>
    <col min="3" max="3" width="18" style="164" bestFit="1" customWidth="1"/>
    <col min="4" max="4" width="23.85546875" style="164" bestFit="1" customWidth="1"/>
    <col min="5" max="5" width="22" style="164" bestFit="1" customWidth="1"/>
    <col min="6" max="8" width="2.7109375" style="164" customWidth="1"/>
    <col min="9" max="9" width="18.5703125" style="164" bestFit="1" customWidth="1"/>
    <col min="10" max="10" width="13.5703125" style="164" bestFit="1" customWidth="1"/>
    <col min="11" max="11" width="2.7109375" style="164" customWidth="1"/>
    <col min="12" max="16384" width="8" style="164"/>
  </cols>
  <sheetData>
    <row r="1" spans="2:11" ht="12" thickBot="1" x14ac:dyDescent="0.25">
      <c r="B1" s="164" t="str">
        <f>_xll.qlxlVersion(TRUE,Trigger)</f>
        <v>QuantLibXL 1.7.0 - MS VC++ (version unknown) - Multithreaded Dynamic Runtime library - Release Configuration - Sep 10 2015 18:24:23</v>
      </c>
    </row>
    <row r="2" spans="2:11" ht="18.75" thickBot="1" x14ac:dyDescent="0.3">
      <c r="B2" s="247" t="s">
        <v>6</v>
      </c>
      <c r="C2" s="248"/>
      <c r="D2" s="248"/>
      <c r="E2" s="248"/>
      <c r="F2" s="249"/>
      <c r="H2" s="247" t="s">
        <v>74</v>
      </c>
      <c r="I2" s="248"/>
      <c r="J2" s="248"/>
      <c r="K2" s="250"/>
    </row>
    <row r="3" spans="2:11" x14ac:dyDescent="0.2">
      <c r="B3" s="165"/>
      <c r="C3" s="1"/>
      <c r="D3" s="166"/>
      <c r="E3" s="166"/>
      <c r="F3" s="167"/>
      <c r="H3" s="168"/>
      <c r="I3" s="169"/>
      <c r="J3" s="169"/>
      <c r="K3" s="170"/>
    </row>
    <row r="4" spans="2:11" x14ac:dyDescent="0.2">
      <c r="B4" s="165"/>
      <c r="C4" s="171" t="s">
        <v>4</v>
      </c>
      <c r="D4" s="172" t="s">
        <v>122</v>
      </c>
      <c r="E4" s="166"/>
      <c r="F4" s="167"/>
      <c r="H4" s="168"/>
      <c r="I4" s="173" t="s">
        <v>73</v>
      </c>
      <c r="J4" s="174" t="b">
        <v>0</v>
      </c>
      <c r="K4" s="175"/>
    </row>
    <row r="5" spans="2:11" x14ac:dyDescent="0.2">
      <c r="B5" s="165"/>
      <c r="C5" s="176" t="s">
        <v>46</v>
      </c>
      <c r="D5" s="177"/>
      <c r="E5" s="166"/>
      <c r="F5" s="167"/>
      <c r="H5" s="168"/>
      <c r="I5" s="173" t="s">
        <v>72</v>
      </c>
      <c r="J5" s="178"/>
      <c r="K5" s="175"/>
    </row>
    <row r="6" spans="2:11" x14ac:dyDescent="0.2">
      <c r="B6" s="165"/>
      <c r="C6" s="176" t="s">
        <v>45</v>
      </c>
      <c r="D6" s="177" t="s">
        <v>51</v>
      </c>
      <c r="E6" s="166"/>
      <c r="F6" s="167"/>
      <c r="H6" s="168"/>
      <c r="I6" s="173" t="s">
        <v>71</v>
      </c>
      <c r="J6" s="179" t="b">
        <v>1</v>
      </c>
      <c r="K6" s="175"/>
    </row>
    <row r="7" spans="2:11" ht="12" thickBot="1" x14ac:dyDescent="0.25">
      <c r="B7" s="165"/>
      <c r="C7" s="176" t="s">
        <v>47</v>
      </c>
      <c r="D7" s="177" t="s">
        <v>123</v>
      </c>
      <c r="E7" s="166"/>
      <c r="F7" s="167"/>
      <c r="H7" s="180"/>
      <c r="I7" s="181"/>
      <c r="J7" s="181"/>
      <c r="K7" s="182"/>
    </row>
    <row r="8" spans="2:11" ht="12" thickBot="1" x14ac:dyDescent="0.25">
      <c r="B8" s="165"/>
      <c r="C8" s="176" t="s">
        <v>48</v>
      </c>
      <c r="D8" s="183" t="s">
        <v>52</v>
      </c>
      <c r="E8" s="166"/>
      <c r="F8" s="167"/>
      <c r="H8" s="184"/>
      <c r="I8" s="184"/>
      <c r="J8" s="184"/>
      <c r="K8" s="184"/>
    </row>
    <row r="9" spans="2:11" ht="18.75" thickBot="1" x14ac:dyDescent="0.3">
      <c r="B9" s="165"/>
      <c r="C9" s="176" t="s">
        <v>22</v>
      </c>
      <c r="D9" s="177" t="str">
        <f>Currency&amp;"_YC"&amp;IndexTenor&amp;"RH"</f>
        <v>EUR_YCONRH</v>
      </c>
      <c r="E9" s="166"/>
      <c r="F9" s="167"/>
      <c r="H9" s="247" t="s">
        <v>70</v>
      </c>
      <c r="I9" s="248"/>
      <c r="J9" s="248"/>
      <c r="K9" s="250"/>
    </row>
    <row r="10" spans="2:11" ht="12.75" x14ac:dyDescent="0.2">
      <c r="B10" s="165"/>
      <c r="C10" s="185" t="s">
        <v>12</v>
      </c>
      <c r="D10" s="177" t="b">
        <v>1</v>
      </c>
      <c r="E10" s="166"/>
      <c r="F10" s="167"/>
      <c r="H10" s="186"/>
      <c r="I10" s="187"/>
      <c r="J10" s="187"/>
      <c r="K10" s="188"/>
    </row>
    <row r="11" spans="2:11" ht="12.75" x14ac:dyDescent="0.2">
      <c r="B11" s="165"/>
      <c r="C11" s="185" t="s">
        <v>5</v>
      </c>
      <c r="D11" s="189"/>
      <c r="E11" s="166"/>
      <c r="F11" s="167"/>
      <c r="H11" s="186"/>
      <c r="I11" s="190" t="s">
        <v>69</v>
      </c>
      <c r="J11" s="174" t="s">
        <v>124</v>
      </c>
      <c r="K11" s="188"/>
    </row>
    <row r="12" spans="2:11" ht="12.75" x14ac:dyDescent="0.2">
      <c r="B12" s="165"/>
      <c r="C12" s="191" t="s">
        <v>42</v>
      </c>
      <c r="D12" s="192" t="b">
        <v>1</v>
      </c>
      <c r="E12" s="166"/>
      <c r="F12" s="167"/>
      <c r="H12" s="186"/>
      <c r="I12" s="190" t="s">
        <v>68</v>
      </c>
      <c r="J12" s="179" t="s">
        <v>67</v>
      </c>
      <c r="K12" s="188"/>
    </row>
    <row r="13" spans="2:11" ht="12.75" x14ac:dyDescent="0.2">
      <c r="B13" s="165"/>
      <c r="C13" s="193"/>
      <c r="D13" s="193"/>
      <c r="E13" s="166"/>
      <c r="F13" s="167"/>
      <c r="H13" s="186"/>
      <c r="I13" s="190" t="s">
        <v>118</v>
      </c>
      <c r="J13" s="179" t="s">
        <v>119</v>
      </c>
      <c r="K13" s="188"/>
    </row>
    <row r="14" spans="2:11" ht="12.75" x14ac:dyDescent="0.2">
      <c r="B14" s="165"/>
      <c r="C14" s="194" t="s">
        <v>13</v>
      </c>
      <c r="D14" s="195" t="str">
        <f>_xll.qlPiecewiseYieldCurve(D16,NDays,Calendar,_xll.ohPack(Selected!D2:D126),DayCounter,,,Accuracy,TraitsID,InterpolatorID,Permanent,,ObjectOverwrite)</f>
        <v>_EURYCON_linearLCH#0003</v>
      </c>
      <c r="E14" s="195" t="str">
        <f>_xll.qlPiecewiseYieldCurve(E16,E17,Calendar,_xll.ohPack(Selected!D2:D126),E19,,,E20,E21,E22,Permanent,,ObjectOverwrite)</f>
        <v>_EURYCON_cubicLCH#0001</v>
      </c>
      <c r="F14" s="167"/>
      <c r="H14" s="186"/>
      <c r="I14" s="190" t="s">
        <v>114</v>
      </c>
      <c r="J14" s="179" t="s">
        <v>116</v>
      </c>
      <c r="K14" s="188"/>
    </row>
    <row r="15" spans="2:11" ht="12.75" x14ac:dyDescent="0.2">
      <c r="B15" s="165"/>
      <c r="C15" s="196" t="s">
        <v>14</v>
      </c>
      <c r="D15" s="197" t="str">
        <f>_xll.ohRangeRetrieveError(YieldCurve1)</f>
        <v/>
      </c>
      <c r="E15" s="197" t="str">
        <f>_xll.ohRangeRetrieveError(YieldCurve2)</f>
        <v/>
      </c>
      <c r="F15" s="167"/>
      <c r="H15" s="186"/>
      <c r="I15" s="190" t="s">
        <v>115</v>
      </c>
      <c r="J15" s="179" t="s">
        <v>117</v>
      </c>
      <c r="K15" s="188"/>
    </row>
    <row r="16" spans="2:11" ht="12.75" x14ac:dyDescent="0.2">
      <c r="B16" s="165"/>
      <c r="C16" s="194" t="s">
        <v>8</v>
      </c>
      <c r="D16" s="198" t="str">
        <f>"_"&amp;Currency&amp;"YC"&amp;IndexTenor&amp;LCHlinear</f>
        <v>_EURYCON_linearLCH</v>
      </c>
      <c r="E16" s="198" t="str">
        <f>"_"&amp;Currency&amp;"YC"&amp;IndexTenor&amp;LCHcubic</f>
        <v>_EURYCON_cubicLCH</v>
      </c>
      <c r="F16" s="167"/>
      <c r="H16" s="186"/>
      <c r="I16" s="190" t="s">
        <v>79</v>
      </c>
      <c r="J16" s="174" t="s">
        <v>125</v>
      </c>
      <c r="K16" s="188"/>
    </row>
    <row r="17" spans="2:11" ht="12.75" x14ac:dyDescent="0.2">
      <c r="B17" s="165"/>
      <c r="C17" s="202" t="s">
        <v>9</v>
      </c>
      <c r="D17" s="203">
        <v>0</v>
      </c>
      <c r="E17" s="203">
        <v>0</v>
      </c>
      <c r="F17" s="167"/>
      <c r="H17" s="186"/>
      <c r="I17" s="190" t="s">
        <v>113</v>
      </c>
      <c r="J17" s="174" t="str">
        <f>PROPER(Currency)&amp;"ON"&amp;"_LCH1"</f>
        <v>EurON_LCH1</v>
      </c>
      <c r="K17" s="188"/>
    </row>
    <row r="18" spans="2:11" ht="12.75" x14ac:dyDescent="0.2">
      <c r="B18" s="165"/>
      <c r="C18" s="202" t="s">
        <v>3</v>
      </c>
      <c r="D18" s="204" t="s">
        <v>121</v>
      </c>
      <c r="E18" s="204" t="s">
        <v>121</v>
      </c>
      <c r="F18" s="167"/>
      <c r="H18" s="186"/>
      <c r="I18" s="190" t="s">
        <v>66</v>
      </c>
      <c r="J18" s="174" t="str">
        <f>PROPER(Currency)&amp;"ON"&amp;"_LCH2"</f>
        <v>EurON_LCH2</v>
      </c>
      <c r="K18" s="188"/>
    </row>
    <row r="19" spans="2:11" ht="12.75" x14ac:dyDescent="0.2">
      <c r="B19" s="165"/>
      <c r="C19" s="202" t="s">
        <v>7</v>
      </c>
      <c r="D19" s="204"/>
      <c r="E19" s="204"/>
      <c r="F19" s="167"/>
      <c r="H19" s="186"/>
      <c r="I19" s="190" t="s">
        <v>112</v>
      </c>
      <c r="J19" s="174" t="str">
        <f>UPPER(Currency)&amp;"STD"&amp;LCHlinear</f>
        <v>EURSTD_linearLCH</v>
      </c>
      <c r="K19" s="188"/>
    </row>
    <row r="20" spans="2:11" ht="15.75" thickBot="1" x14ac:dyDescent="0.3">
      <c r="B20" s="165"/>
      <c r="C20" s="202" t="s">
        <v>21</v>
      </c>
      <c r="D20" s="205" t="e">
        <v>#N/A</v>
      </c>
      <c r="E20" s="205" t="e">
        <f>NA()</f>
        <v>#N/A</v>
      </c>
      <c r="F20" s="167"/>
      <c r="H20" s="199"/>
      <c r="I20" s="200"/>
      <c r="J20" s="200"/>
      <c r="K20" s="201"/>
    </row>
    <row r="21" spans="2:11" x14ac:dyDescent="0.2">
      <c r="B21" s="165"/>
      <c r="C21" s="202" t="s">
        <v>10</v>
      </c>
      <c r="D21" s="206" t="s">
        <v>97</v>
      </c>
      <c r="E21" s="206" t="s">
        <v>109</v>
      </c>
      <c r="F21" s="167"/>
    </row>
    <row r="22" spans="2:11" x14ac:dyDescent="0.2">
      <c r="B22" s="165"/>
      <c r="C22" s="196" t="s">
        <v>11</v>
      </c>
      <c r="D22" s="207" t="s">
        <v>96</v>
      </c>
      <c r="E22" s="207" t="s">
        <v>110</v>
      </c>
      <c r="F22" s="167"/>
    </row>
    <row r="23" spans="2:11" x14ac:dyDescent="0.2">
      <c r="B23" s="165"/>
      <c r="C23" s="193"/>
      <c r="D23" s="193"/>
      <c r="E23" s="166"/>
      <c r="F23" s="167"/>
    </row>
    <row r="24" spans="2:11" x14ac:dyDescent="0.2">
      <c r="B24" s="165"/>
      <c r="C24" s="208">
        <f>_xll.qlTermStructureReferenceDate(YieldCurve1)</f>
        <v>42248</v>
      </c>
      <c r="D24" s="209">
        <f>_xll.qlYieldTSDiscount(YieldCurve1,C24)</f>
        <v>1</v>
      </c>
      <c r="E24" s="209">
        <f>_xll.qlYieldTSDiscount(YieldCurve2,C24)</f>
        <v>1</v>
      </c>
      <c r="F24" s="167"/>
    </row>
    <row r="25" spans="2:11" x14ac:dyDescent="0.2">
      <c r="B25" s="165"/>
      <c r="C25" s="210">
        <f>MAX(_xll.ohPack(Selected!J2:J126))</f>
        <v>64165</v>
      </c>
      <c r="D25" s="177">
        <f>_xll.qlYieldTSDiscount(YieldCurve1,C25)</f>
        <v>0.39838119492744956</v>
      </c>
      <c r="E25" s="177">
        <f>_xll.qlYieldTSDiscount(YieldCurve2,C25)</f>
        <v>0.39863909166284439</v>
      </c>
      <c r="F25" s="167"/>
    </row>
    <row r="26" spans="2:11" x14ac:dyDescent="0.2">
      <c r="B26" s="165"/>
      <c r="C26" s="211" t="s">
        <v>14</v>
      </c>
      <c r="D26" s="212" t="str">
        <f>_xll.ohRangeRetrieveError(Selected!K1)</f>
        <v/>
      </c>
      <c r="E26" s="212" t="str">
        <f>_xll.ohRangeRetrieveError(Selected!L1)</f>
        <v/>
      </c>
      <c r="F26" s="167"/>
    </row>
    <row r="27" spans="2:11" x14ac:dyDescent="0.2">
      <c r="B27" s="165"/>
      <c r="C27" s="220"/>
      <c r="D27" s="221" t="str">
        <f>UPPER(Currency)&amp;IndexTenor&amp;LCHlinear</f>
        <v>EURON_linearLCH</v>
      </c>
      <c r="E27" s="221" t="str">
        <f>UPPER(Currency)&amp;IndexTenor&amp;LCHcubic</f>
        <v>EURON_cubicLCH</v>
      </c>
      <c r="F27" s="167"/>
    </row>
    <row r="28" spans="2:11" x14ac:dyDescent="0.2">
      <c r="B28" s="165"/>
      <c r="C28" s="213" t="s">
        <v>111</v>
      </c>
      <c r="D28" s="214" t="b">
        <f>_xll.qlRelinkableHandleLinkTo(D27,YieldCurve1)</f>
        <v>1</v>
      </c>
      <c r="E28" s="214" t="b">
        <f>_xll.qlRelinkableHandleLinkTo(E27,YieldCurve2)</f>
        <v>1</v>
      </c>
      <c r="F28" s="167"/>
    </row>
    <row r="29" spans="2:11" x14ac:dyDescent="0.2">
      <c r="B29" s="165"/>
      <c r="C29" s="215" t="s">
        <v>78</v>
      </c>
      <c r="D29" s="230" t="b">
        <v>0</v>
      </c>
      <c r="E29" s="230" t="b">
        <v>0</v>
      </c>
      <c r="F29" s="167"/>
    </row>
    <row r="30" spans="2:11" ht="12" thickBot="1" x14ac:dyDescent="0.25">
      <c r="B30" s="216"/>
      <c r="C30" s="225"/>
      <c r="D30" s="217"/>
      <c r="E30" s="218"/>
      <c r="F30" s="219"/>
    </row>
    <row r="31" spans="2:11" ht="11.25" customHeight="1" x14ac:dyDescent="0.2"/>
  </sheetData>
  <mergeCells count="3">
    <mergeCell ref="B2:F2"/>
    <mergeCell ref="H2:K2"/>
    <mergeCell ref="H9:K9"/>
  </mergeCells>
  <phoneticPr fontId="4" type="noConversion"/>
  <dataValidations count="3">
    <dataValidation type="list" allowBlank="1" showInputMessage="1" showErrorMessage="1" sqref="D18 E18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4">
      <formula1>"EUR,USD,GBP,JPY,CHF,AUD,CNY,CNH,HKD,RMB,SEK,PLN,HUF,CZK"</formula1>
    </dataValidation>
    <dataValidation type="list" allowBlank="1" showInputMessage="1" showErrorMessage="1" sqref="J16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64"/>
  <sheetViews>
    <sheetView topLeftCell="B1" workbookViewId="0">
      <selection activeCell="B1" sqref="B1"/>
    </sheetView>
  </sheetViews>
  <sheetFormatPr defaultRowHeight="11.25" outlineLevelCol="1" x14ac:dyDescent="0.2"/>
  <cols>
    <col min="1" max="1" width="15.140625" style="159" hidden="1" customWidth="1" outlineLevel="1"/>
    <col min="2" max="2" width="21.42578125" style="159" bestFit="1" customWidth="1" collapsed="1"/>
    <col min="3" max="3" width="11" style="159" bestFit="1" customWidth="1"/>
    <col min="4" max="4" width="8" style="159" bestFit="1" customWidth="1"/>
    <col min="5" max="5" width="8.85546875" style="159" customWidth="1"/>
    <col min="6" max="6" width="9" style="159" bestFit="1" customWidth="1"/>
    <col min="7" max="8" width="17.28515625" style="159" bestFit="1" customWidth="1"/>
    <col min="9" max="9" width="2.7109375" style="140" bestFit="1" customWidth="1"/>
    <col min="10" max="10" width="18.28515625" style="140" bestFit="1" customWidth="1"/>
    <col min="11" max="16384" width="9.140625" style="140"/>
  </cols>
  <sheetData>
    <row r="1" spans="1:9" ht="22.5" customHeight="1" x14ac:dyDescent="0.2">
      <c r="A1" s="137" t="s">
        <v>18</v>
      </c>
      <c r="B1" s="138" t="s">
        <v>83</v>
      </c>
      <c r="C1" s="138" t="s">
        <v>15</v>
      </c>
      <c r="D1" s="138" t="s">
        <v>1</v>
      </c>
      <c r="E1" s="138" t="s">
        <v>2</v>
      </c>
      <c r="F1" s="138" t="s">
        <v>49</v>
      </c>
      <c r="G1" s="138" t="s">
        <v>0</v>
      </c>
      <c r="H1" s="138" t="s">
        <v>103</v>
      </c>
      <c r="I1" s="139"/>
    </row>
    <row r="2" spans="1:9" ht="11.25" customHeight="1" x14ac:dyDescent="0.2">
      <c r="A2" s="160" t="str">
        <f>Deposits!F4</f>
        <v>obj_0058e#0001</v>
      </c>
      <c r="B2" s="145" t="str">
        <f>_xll.qlRateHelperQuoteName(A2)</f>
        <v>EUR1DOIS_LCHQuote</v>
      </c>
      <c r="C2" s="146">
        <f>_xll.qlRateHelperQuoteValue($A2,Trigger)</f>
        <v>-1.25E-3</v>
      </c>
      <c r="D2" s="147" t="b">
        <v>1</v>
      </c>
      <c r="E2" s="147">
        <v>70</v>
      </c>
      <c r="F2" s="147">
        <v>1</v>
      </c>
      <c r="G2" s="148">
        <f>_xll.qlRateHelperEarliestDate($A2,Trigger)</f>
        <v>42248</v>
      </c>
      <c r="H2" s="149">
        <f>_xll.qlRateHelperMaturityDate($A2,Trigger)</f>
        <v>42249</v>
      </c>
      <c r="I2" s="90"/>
    </row>
    <row r="3" spans="1:9" ht="11.25" customHeight="1" x14ac:dyDescent="0.2">
      <c r="A3" s="161" t="str">
        <f>Deposits!F5</f>
        <v>obj_0058b#0001</v>
      </c>
      <c r="B3" s="141" t="str">
        <f>_xll.qlRateHelperQuoteName(A3)</f>
        <v>EUR2DOIS_LCHQuote</v>
      </c>
      <c r="C3" s="142">
        <f>_xll.qlRateHelperQuoteValue($A3,Trigger)</f>
        <v>-1.25E-3</v>
      </c>
      <c r="D3" s="12" t="b">
        <v>1</v>
      </c>
      <c r="E3" s="12">
        <v>70</v>
      </c>
      <c r="F3" s="12">
        <v>1</v>
      </c>
      <c r="G3" s="143">
        <f>_xll.qlRateHelperEarliestDate($A3,Trigger)</f>
        <v>42249</v>
      </c>
      <c r="H3" s="144">
        <f>_xll.qlRateHelperMaturityDate($A3,Trigger)</f>
        <v>42250</v>
      </c>
      <c r="I3" s="90"/>
    </row>
    <row r="4" spans="1:9" x14ac:dyDescent="0.2">
      <c r="A4" s="160" t="str">
        <f>Swaps!G5</f>
        <v>obj_00591#0001</v>
      </c>
      <c r="B4" s="145" t="str">
        <f>_xll.qlRateHelperQuoteName(A4)</f>
        <v>EUR1WOIS_LCHQuote</v>
      </c>
      <c r="C4" s="146">
        <f>_xll.qlRateHelperQuoteValue($A4,Trigger)</f>
        <v>-1.32E-3</v>
      </c>
      <c r="D4" s="147" t="b">
        <v>1</v>
      </c>
      <c r="E4" s="147">
        <v>50</v>
      </c>
      <c r="F4" s="147">
        <v>1</v>
      </c>
      <c r="G4" s="148">
        <f>_xll.qlRateHelperEarliestDate($A4,Trigger)</f>
        <v>42250</v>
      </c>
      <c r="H4" s="149">
        <f>_xll.qlRateHelperMaturityDate($A4,Trigger)</f>
        <v>42257</v>
      </c>
      <c r="I4" s="90"/>
    </row>
    <row r="5" spans="1:9" x14ac:dyDescent="0.2">
      <c r="A5" s="161" t="str">
        <f>Swaps!G6</f>
        <v>obj_00590#0001</v>
      </c>
      <c r="B5" s="141" t="str">
        <f>_xll.qlRateHelperQuoteName(A5)</f>
        <v>EUR2WOIS_LCHQuote</v>
      </c>
      <c r="C5" s="142">
        <f>_xll.qlRateHelperQuoteValue($A5,Trigger)</f>
        <v>-1.2800000000000001E-3</v>
      </c>
      <c r="D5" s="12" t="b">
        <v>1</v>
      </c>
      <c r="E5" s="12">
        <v>50</v>
      </c>
      <c r="F5" s="12">
        <v>1</v>
      </c>
      <c r="G5" s="143">
        <f>_xll.qlRateHelperEarliestDate($A5,Trigger)</f>
        <v>42250</v>
      </c>
      <c r="H5" s="144">
        <f>_xll.qlRateHelperMaturityDate($A5,Trigger)</f>
        <v>42264</v>
      </c>
      <c r="I5" s="90"/>
    </row>
    <row r="6" spans="1:9" x14ac:dyDescent="0.2">
      <c r="A6" s="161" t="str">
        <f>Swaps!G7</f>
        <v>obj_0059c#0001</v>
      </c>
      <c r="B6" s="141" t="str">
        <f>_xll.qlRateHelperQuoteName(A6)</f>
        <v>EUR3WOIS_LCHQuote</v>
      </c>
      <c r="C6" s="142">
        <f>_xll.qlRateHelperQuoteValue($A6,Trigger)</f>
        <v>-1.2750000000000001E-3</v>
      </c>
      <c r="D6" s="12" t="b">
        <v>1</v>
      </c>
      <c r="E6" s="12">
        <v>50</v>
      </c>
      <c r="F6" s="12">
        <v>1</v>
      </c>
      <c r="G6" s="143">
        <f>_xll.qlRateHelperEarliestDate($A6,Trigger)</f>
        <v>42250</v>
      </c>
      <c r="H6" s="144">
        <f>_xll.qlRateHelperMaturityDate($A6,Trigger)</f>
        <v>42271</v>
      </c>
      <c r="I6" s="90"/>
    </row>
    <row r="7" spans="1:9" x14ac:dyDescent="0.2">
      <c r="A7" s="161" t="str">
        <f>Swaps!G8</f>
        <v>obj_0059d#0001</v>
      </c>
      <c r="B7" s="141" t="str">
        <f>_xll.qlRateHelperQuoteName(A7)</f>
        <v>EUR1MOIS_LCHQuote</v>
      </c>
      <c r="C7" s="142">
        <f>_xll.qlRateHelperQuoteValue($A7,Trigger)</f>
        <v>-1.2416667E-3</v>
      </c>
      <c r="D7" s="12" t="b">
        <v>1</v>
      </c>
      <c r="E7" s="12">
        <v>50</v>
      </c>
      <c r="F7" s="12">
        <v>1</v>
      </c>
      <c r="G7" s="143">
        <f>_xll.qlRateHelperEarliestDate($A7,Trigger)</f>
        <v>42250</v>
      </c>
      <c r="H7" s="144">
        <f>_xll.qlRateHelperMaturityDate($A7,Trigger)</f>
        <v>42282</v>
      </c>
      <c r="I7" s="90"/>
    </row>
    <row r="8" spans="1:9" x14ac:dyDescent="0.2">
      <c r="A8" s="161" t="str">
        <f>Swaps!G9</f>
        <v>obj_0059b#0001</v>
      </c>
      <c r="B8" s="141" t="str">
        <f>_xll.qlRateHelperQuoteName(A8)</f>
        <v>EUR2MOIS_LCHQuote</v>
      </c>
      <c r="C8" s="142">
        <f>_xll.qlRateHelperQuoteValue($A8,Trigger)</f>
        <v>-1.2949999999999999E-3</v>
      </c>
      <c r="D8" s="12" t="b">
        <v>1</v>
      </c>
      <c r="E8" s="12">
        <v>50</v>
      </c>
      <c r="F8" s="12">
        <v>1</v>
      </c>
      <c r="G8" s="143">
        <f>_xll.qlRateHelperEarliestDate($A8,Trigger)</f>
        <v>42250</v>
      </c>
      <c r="H8" s="144">
        <f>_xll.qlRateHelperMaturityDate($A8,Trigger)</f>
        <v>42311</v>
      </c>
      <c r="I8" s="90"/>
    </row>
    <row r="9" spans="1:9" x14ac:dyDescent="0.2">
      <c r="A9" s="161" t="str">
        <f>Swaps!G10</f>
        <v>obj_00594#0001</v>
      </c>
      <c r="B9" s="141" t="str">
        <f>_xll.qlRateHelperQuoteName(A9)</f>
        <v>EUR3MOIS_LCHQuote</v>
      </c>
      <c r="C9" s="142">
        <f>_xll.qlRateHelperQuoteValue($A9,Trigger)</f>
        <v>-1.3075000000000001E-3</v>
      </c>
      <c r="D9" s="12" t="b">
        <v>1</v>
      </c>
      <c r="E9" s="12">
        <v>50</v>
      </c>
      <c r="F9" s="12">
        <v>1</v>
      </c>
      <c r="G9" s="143">
        <f>_xll.qlRateHelperEarliestDate($A9,Trigger)</f>
        <v>42250</v>
      </c>
      <c r="H9" s="144">
        <f>_xll.qlRateHelperMaturityDate($A9,Trigger)</f>
        <v>42341</v>
      </c>
      <c r="I9" s="90"/>
    </row>
    <row r="10" spans="1:9" x14ac:dyDescent="0.2">
      <c r="A10" s="161" t="str">
        <f>Swaps!G11</f>
        <v>obj_0059a#0001</v>
      </c>
      <c r="B10" s="141" t="str">
        <f>_xll.qlRateHelperQuoteName(A10)</f>
        <v>EUR4MOIS_LCHQuote</v>
      </c>
      <c r="C10" s="142">
        <f>_xll.qlRateHelperQuoteValue($A10,Trigger)</f>
        <v>-1.2866666999999999E-3</v>
      </c>
      <c r="D10" s="12" t="b">
        <v>1</v>
      </c>
      <c r="E10" s="12">
        <v>50</v>
      </c>
      <c r="F10" s="12">
        <v>1</v>
      </c>
      <c r="G10" s="143">
        <f>_xll.qlRateHelperEarliestDate($A10,Trigger)</f>
        <v>42250</v>
      </c>
      <c r="H10" s="144">
        <f>_xll.qlRateHelperMaturityDate($A10,Trigger)</f>
        <v>42373</v>
      </c>
      <c r="I10" s="90"/>
    </row>
    <row r="11" spans="1:9" x14ac:dyDescent="0.2">
      <c r="A11" s="161" t="str">
        <f>Swaps!G12</f>
        <v>obj_0059e#0001</v>
      </c>
      <c r="B11" s="141" t="str">
        <f>_xll.qlRateHelperQuoteName(A11)</f>
        <v>EUR5MOIS_LCHQuote</v>
      </c>
      <c r="C11" s="142">
        <f>_xll.qlRateHelperQuoteValue($A11,Trigger)</f>
        <v>-1.325E-3</v>
      </c>
      <c r="D11" s="12" t="b">
        <v>1</v>
      </c>
      <c r="E11" s="12">
        <v>50</v>
      </c>
      <c r="F11" s="12">
        <v>1</v>
      </c>
      <c r="G11" s="143">
        <f>_xll.qlRateHelperEarliestDate($A11,Trigger)</f>
        <v>42250</v>
      </c>
      <c r="H11" s="144">
        <f>_xll.qlRateHelperMaturityDate($A11,Trigger)</f>
        <v>42403</v>
      </c>
      <c r="I11" s="90"/>
    </row>
    <row r="12" spans="1:9" x14ac:dyDescent="0.2">
      <c r="A12" s="161" t="str">
        <f>Swaps!G13</f>
        <v>obj_00593#0001</v>
      </c>
      <c r="B12" s="141" t="str">
        <f>_xll.qlRateHelperQuoteName(A12)</f>
        <v>EUR6MOIS_LCHQuote</v>
      </c>
      <c r="C12" s="142">
        <f>_xll.qlRateHelperQuoteValue($A12,Trigger)</f>
        <v>-1.3500000000000001E-3</v>
      </c>
      <c r="D12" s="12" t="b">
        <v>1</v>
      </c>
      <c r="E12" s="12">
        <v>50</v>
      </c>
      <c r="F12" s="12">
        <v>1</v>
      </c>
      <c r="G12" s="143">
        <f>_xll.qlRateHelperEarliestDate($A12,Trigger)</f>
        <v>42250</v>
      </c>
      <c r="H12" s="144">
        <f>_xll.qlRateHelperMaturityDate($A12,Trigger)</f>
        <v>42432</v>
      </c>
      <c r="I12" s="90"/>
    </row>
    <row r="13" spans="1:9" x14ac:dyDescent="0.2">
      <c r="A13" s="161" t="str">
        <f>Swaps!G14</f>
        <v>obj_00592#0001</v>
      </c>
      <c r="B13" s="141" t="str">
        <f>_xll.qlRateHelperQuoteName(A13)</f>
        <v>EUR7MOIS_LCHQuote</v>
      </c>
      <c r="C13" s="142">
        <f>_xll.qlRateHelperQuoteValue($A13,Trigger)</f>
        <v>-1.3625E-3</v>
      </c>
      <c r="D13" s="12" t="b">
        <v>1</v>
      </c>
      <c r="E13" s="12">
        <v>50</v>
      </c>
      <c r="F13" s="12">
        <v>1</v>
      </c>
      <c r="G13" s="143">
        <f>_xll.qlRateHelperEarliestDate($A13,Trigger)</f>
        <v>42250</v>
      </c>
      <c r="H13" s="144">
        <f>_xll.qlRateHelperMaturityDate($A13,Trigger)</f>
        <v>42464</v>
      </c>
      <c r="I13" s="90"/>
    </row>
    <row r="14" spans="1:9" x14ac:dyDescent="0.2">
      <c r="A14" s="161" t="str">
        <f>Swaps!G15</f>
        <v>obj_00596#0001</v>
      </c>
      <c r="B14" s="141" t="str">
        <f>_xll.qlRateHelperQuoteName(A14)</f>
        <v>EUR8MOIS_LCHQuote</v>
      </c>
      <c r="C14" s="142">
        <f>_xll.qlRateHelperQuoteValue($A14,Trigger)</f>
        <v>-1.3675E-3</v>
      </c>
      <c r="D14" s="12" t="b">
        <v>1</v>
      </c>
      <c r="E14" s="12">
        <v>50</v>
      </c>
      <c r="F14" s="12">
        <v>1</v>
      </c>
      <c r="G14" s="143">
        <f>_xll.qlRateHelperEarliestDate($A14,Trigger)</f>
        <v>42250</v>
      </c>
      <c r="H14" s="144">
        <f>_xll.qlRateHelperMaturityDate($A14,Trigger)</f>
        <v>42493</v>
      </c>
      <c r="I14" s="90"/>
    </row>
    <row r="15" spans="1:9" x14ac:dyDescent="0.2">
      <c r="A15" s="161" t="str">
        <f>Swaps!G16</f>
        <v>obj_00599#0001</v>
      </c>
      <c r="B15" s="141" t="str">
        <f>_xll.qlRateHelperQuoteName(A15)</f>
        <v>EUR9MOIS_LCHQuote</v>
      </c>
      <c r="C15" s="142">
        <f>_xll.qlRateHelperQuoteValue($A15,Trigger)</f>
        <v>-1.3799999999999999E-3</v>
      </c>
      <c r="D15" s="12" t="b">
        <v>1</v>
      </c>
      <c r="E15" s="12">
        <v>50</v>
      </c>
      <c r="F15" s="12">
        <v>1</v>
      </c>
      <c r="G15" s="143">
        <f>_xll.qlRateHelperEarliestDate($A15,Trigger)</f>
        <v>42250</v>
      </c>
      <c r="H15" s="144">
        <f>_xll.qlRateHelperMaturityDate($A15,Trigger)</f>
        <v>42524</v>
      </c>
      <c r="I15" s="90"/>
    </row>
    <row r="16" spans="1:9" x14ac:dyDescent="0.2">
      <c r="A16" s="161" t="str">
        <f>Swaps!G17</f>
        <v>obj_0058f#0001</v>
      </c>
      <c r="B16" s="141" t="str">
        <f>_xll.qlRateHelperQuoteName(A16)</f>
        <v>EUR10MOIS_LCHQuote</v>
      </c>
      <c r="C16" s="142">
        <f>_xll.qlRateHelperQuoteValue($A16,Trigger)</f>
        <v>-1.3875000000000001E-3</v>
      </c>
      <c r="D16" s="12" t="b">
        <v>1</v>
      </c>
      <c r="E16" s="12">
        <v>50</v>
      </c>
      <c r="F16" s="12">
        <v>1</v>
      </c>
      <c r="G16" s="143">
        <f>_xll.qlRateHelperEarliestDate($A16,Trigger)</f>
        <v>42250</v>
      </c>
      <c r="H16" s="144">
        <f>_xll.qlRateHelperMaturityDate($A16,Trigger)</f>
        <v>42555</v>
      </c>
      <c r="I16" s="90"/>
    </row>
    <row r="17" spans="1:9" x14ac:dyDescent="0.2">
      <c r="A17" s="161" t="str">
        <f>Swaps!G18</f>
        <v>obj_00597#0001</v>
      </c>
      <c r="B17" s="141" t="str">
        <f>_xll.qlRateHelperQuoteName(A17)</f>
        <v>EUR11MOIS_LCHQuote</v>
      </c>
      <c r="C17" s="142">
        <f>_xll.qlRateHelperQuoteValue($A17,Trigger)</f>
        <v>-1.4366667000000001E-3</v>
      </c>
      <c r="D17" s="12" t="b">
        <v>1</v>
      </c>
      <c r="E17" s="12">
        <v>50</v>
      </c>
      <c r="F17" s="12">
        <v>1</v>
      </c>
      <c r="G17" s="143">
        <f>_xll.qlRateHelperEarliestDate($A17,Trigger)</f>
        <v>42250</v>
      </c>
      <c r="H17" s="144">
        <f>_xll.qlRateHelperMaturityDate($A17,Trigger)</f>
        <v>42585</v>
      </c>
      <c r="I17" s="90"/>
    </row>
    <row r="18" spans="1:9" x14ac:dyDescent="0.2">
      <c r="A18" s="161" t="str">
        <f>Swaps!G19</f>
        <v>obj_00581#0001</v>
      </c>
      <c r="B18" s="141" t="str">
        <f>_xll.qlRateHelperQuoteName(A18)</f>
        <v>EUR1YOIS_LCHQuote</v>
      </c>
      <c r="C18" s="142">
        <f>_xll.qlRateHelperQuoteValue($A18,Trigger)</f>
        <v>-1.4366667000000001E-3</v>
      </c>
      <c r="D18" s="12" t="b">
        <v>1</v>
      </c>
      <c r="E18" s="12">
        <v>50</v>
      </c>
      <c r="F18" s="12">
        <v>1</v>
      </c>
      <c r="G18" s="143">
        <f>_xll.qlRateHelperEarliestDate($A18,Trigger)</f>
        <v>42250</v>
      </c>
      <c r="H18" s="144">
        <f>_xll.qlRateHelperMaturityDate($A18,Trigger)</f>
        <v>42618</v>
      </c>
      <c r="I18" s="90"/>
    </row>
    <row r="19" spans="1:9" x14ac:dyDescent="0.2">
      <c r="A19" s="161" t="str">
        <f>Swaps!G20</f>
        <v>obj_0059f#0001</v>
      </c>
      <c r="B19" s="141" t="str">
        <f>_xll.qlRateHelperQuoteName(A19)</f>
        <v>EUR15MOIS_LCHQuote</v>
      </c>
      <c r="C19" s="142">
        <f>_xll.qlRateHelperQuoteValue($A19,Trigger)</f>
        <v>-1.4400000000000001E-3</v>
      </c>
      <c r="D19" s="12" t="b">
        <v>1</v>
      </c>
      <c r="E19" s="12">
        <v>50</v>
      </c>
      <c r="F19" s="12">
        <v>1</v>
      </c>
      <c r="G19" s="143">
        <f>_xll.qlRateHelperEarliestDate($A19,Trigger)</f>
        <v>42250</v>
      </c>
      <c r="H19" s="144">
        <f>_xll.qlRateHelperMaturityDate($A19,Trigger)</f>
        <v>42709</v>
      </c>
      <c r="I19" s="90"/>
    </row>
    <row r="20" spans="1:9" x14ac:dyDescent="0.2">
      <c r="A20" s="161" t="str">
        <f>Swaps!G21</f>
        <v>obj_00598#0001</v>
      </c>
      <c r="B20" s="141" t="str">
        <f>_xll.qlRateHelperQuoteName(A20)</f>
        <v>EUR18MOIS_LCHQuote</v>
      </c>
      <c r="C20" s="142">
        <f>_xll.qlRateHelperQuoteValue($A20,Trigger)</f>
        <v>-1.4033333E-3</v>
      </c>
      <c r="D20" s="12" t="b">
        <v>1</v>
      </c>
      <c r="E20" s="12">
        <v>50</v>
      </c>
      <c r="F20" s="12">
        <v>1</v>
      </c>
      <c r="G20" s="143">
        <f>_xll.qlRateHelperEarliestDate($A20,Trigger)</f>
        <v>42250</v>
      </c>
      <c r="H20" s="144">
        <f>_xll.qlRateHelperMaturityDate($A20,Trigger)</f>
        <v>42797</v>
      </c>
      <c r="I20" s="90"/>
    </row>
    <row r="21" spans="1:9" x14ac:dyDescent="0.2">
      <c r="A21" s="161" t="str">
        <f>Swaps!G22</f>
        <v>obj_00595#0001</v>
      </c>
      <c r="B21" s="141" t="str">
        <f>_xll.qlRateHelperQuoteName(A21)</f>
        <v>EUR21MOIS_LCHQuote</v>
      </c>
      <c r="C21" s="142">
        <f>_xll.qlRateHelperQuoteValue($A21,Trigger)</f>
        <v>-1.31E-3</v>
      </c>
      <c r="D21" s="12" t="b">
        <v>1</v>
      </c>
      <c r="E21" s="12">
        <v>50</v>
      </c>
      <c r="F21" s="12">
        <v>1</v>
      </c>
      <c r="G21" s="143">
        <f>_xll.qlRateHelperEarliestDate($A21,Trigger)</f>
        <v>42250</v>
      </c>
      <c r="H21" s="144">
        <f>_xll.qlRateHelperMaturityDate($A21,Trigger)</f>
        <v>42891</v>
      </c>
      <c r="I21" s="90"/>
    </row>
    <row r="22" spans="1:9" x14ac:dyDescent="0.2">
      <c r="A22" s="161" t="str">
        <f>Swaps!G23</f>
        <v>obj_0058a#0001</v>
      </c>
      <c r="B22" s="141" t="str">
        <f>_xll.qlRateHelperQuoteName(A22)</f>
        <v>EUR2YOIS_LCHQuote</v>
      </c>
      <c r="C22" s="142">
        <f>_xll.qlRateHelperQuoteValue($A22,Trigger)</f>
        <v>-1.175E-3</v>
      </c>
      <c r="D22" s="12" t="b">
        <v>1</v>
      </c>
      <c r="E22" s="12">
        <v>50</v>
      </c>
      <c r="F22" s="12">
        <v>1</v>
      </c>
      <c r="G22" s="143">
        <f>_xll.qlRateHelperEarliestDate($A22,Trigger)</f>
        <v>42250</v>
      </c>
      <c r="H22" s="144">
        <f>_xll.qlRateHelperMaturityDate($A22,Trigger)</f>
        <v>42982</v>
      </c>
      <c r="I22" s="90"/>
    </row>
    <row r="23" spans="1:9" x14ac:dyDescent="0.2">
      <c r="A23" s="160" t="str">
        <f>'Swap EONIA 3E'!L4</f>
        <v>obj_0057f#0001</v>
      </c>
      <c r="B23" s="145" t="str">
        <f>_xll.qlRateHelperQuoteName(A23)</f>
        <v>EUR1EON3E3Y_LCHQuote</v>
      </c>
      <c r="C23" s="146">
        <f>_xll.qlRateHelperQuoteValue($A23,Trigger)</f>
        <v>-4.8200000000000001E-4</v>
      </c>
      <c r="D23" s="147" t="b">
        <v>1</v>
      </c>
      <c r="E23" s="147">
        <v>50</v>
      </c>
      <c r="F23" s="147">
        <v>1</v>
      </c>
      <c r="G23" s="148">
        <f>_xll.qlRateHelperEarliestDate($A23,Trigger)</f>
        <v>42250</v>
      </c>
      <c r="H23" s="149">
        <f>_xll.qlRateHelperMaturityDate($A23,Trigger)</f>
        <v>43346</v>
      </c>
      <c r="I23" s="90"/>
    </row>
    <row r="24" spans="1:9" x14ac:dyDescent="0.2">
      <c r="A24" s="161" t="str">
        <f>'Swap EONIA 3E'!L5</f>
        <v>obj_0058d#0001</v>
      </c>
      <c r="B24" s="141" t="str">
        <f>_xll.qlRateHelperQuoteName(A24)</f>
        <v>EUR1EON3E4Y_LCHQuote</v>
      </c>
      <c r="C24" s="142">
        <f>_xll.qlRateHelperQuoteValue($A24,Trigger)</f>
        <v>6.8274999999999998E-4</v>
      </c>
      <c r="D24" s="12" t="b">
        <v>1</v>
      </c>
      <c r="E24" s="12">
        <v>50</v>
      </c>
      <c r="F24" s="12">
        <v>1</v>
      </c>
      <c r="G24" s="143">
        <f>_xll.qlRateHelperEarliestDate($A24,Trigger)</f>
        <v>42250</v>
      </c>
      <c r="H24" s="144">
        <f>_xll.qlRateHelperMaturityDate($A24,Trigger)</f>
        <v>43711</v>
      </c>
      <c r="I24" s="90"/>
    </row>
    <row r="25" spans="1:9" x14ac:dyDescent="0.2">
      <c r="A25" s="162" t="str">
        <f>'Swap EONIA 3E'!L6</f>
        <v>obj_00588#0001</v>
      </c>
      <c r="B25" s="141" t="str">
        <f>_xll.qlRateHelperQuoteName(A25)</f>
        <v>EUR1EON3E5Y_LCHQuote</v>
      </c>
      <c r="C25" s="142">
        <f>_xll.qlRateHelperQuoteValue($A25,Trigger)</f>
        <v>2.0430000000000001E-3</v>
      </c>
      <c r="D25" s="12" t="b">
        <v>1</v>
      </c>
      <c r="E25" s="12">
        <v>50</v>
      </c>
      <c r="F25" s="12">
        <v>1</v>
      </c>
      <c r="G25" s="143">
        <f>_xll.qlRateHelperEarliestDate($A25,Trigger)</f>
        <v>42250</v>
      </c>
      <c r="H25" s="144">
        <f>_xll.qlRateHelperMaturityDate($A25,Trigger)</f>
        <v>44077</v>
      </c>
      <c r="I25" s="90"/>
    </row>
    <row r="26" spans="1:9" x14ac:dyDescent="0.2">
      <c r="A26" s="162" t="str">
        <f>'Swap EONIA 3E'!L7</f>
        <v>obj_0058c#0001</v>
      </c>
      <c r="B26" s="141" t="str">
        <f>_xll.qlRateHelperQuoteName(A26)</f>
        <v>EUR1EON3E6Y_LCHQuote</v>
      </c>
      <c r="C26" s="142">
        <f>_xll.qlRateHelperQuoteValue($A26,Trigger)</f>
        <v>3.5070499999999998E-3</v>
      </c>
      <c r="D26" s="12" t="b">
        <v>1</v>
      </c>
      <c r="E26" s="12">
        <v>50</v>
      </c>
      <c r="F26" s="12">
        <v>1</v>
      </c>
      <c r="G26" s="143">
        <f>_xll.qlRateHelperEarliestDate($A26,Trigger)</f>
        <v>42250</v>
      </c>
      <c r="H26" s="144">
        <f>_xll.qlRateHelperMaturityDate($A26,Trigger)</f>
        <v>44442</v>
      </c>
      <c r="I26" s="90"/>
    </row>
    <row r="27" spans="1:9" x14ac:dyDescent="0.2">
      <c r="A27" s="162" t="str">
        <f>'Swap EONIA 3E'!L8</f>
        <v>obj_00584#0001</v>
      </c>
      <c r="B27" s="141" t="str">
        <f>_xll.qlRateHelperQuoteName(A27)</f>
        <v>EUR1EON3E7Y_LCHQuote</v>
      </c>
      <c r="C27" s="142">
        <f>_xll.qlRateHelperQuoteValue($A27,Trigger)</f>
        <v>4.9900999999999999E-3</v>
      </c>
      <c r="D27" s="12" t="b">
        <v>1</v>
      </c>
      <c r="E27" s="12">
        <v>50</v>
      </c>
      <c r="F27" s="12">
        <v>1</v>
      </c>
      <c r="G27" s="143">
        <f>_xll.qlRateHelperEarliestDate($A27,Trigger)</f>
        <v>42250</v>
      </c>
      <c r="H27" s="144">
        <f>_xll.qlRateHelperMaturityDate($A27,Trigger)</f>
        <v>44809</v>
      </c>
      <c r="I27" s="90"/>
    </row>
    <row r="28" spans="1:9" x14ac:dyDescent="0.2">
      <c r="A28" s="162" t="str">
        <f>'Swap EONIA 3E'!L9</f>
        <v>obj_0057c#0001</v>
      </c>
      <c r="B28" s="141" t="str">
        <f>_xll.qlRateHelperQuoteName(A28)</f>
        <v>EUR1EON3E8Y_LCHQuote</v>
      </c>
      <c r="C28" s="142">
        <f>_xll.qlRateHelperQuoteValue($A28,Trigger)</f>
        <v>6.3995500000000004E-3</v>
      </c>
      <c r="D28" s="12" t="b">
        <v>1</v>
      </c>
      <c r="E28" s="12">
        <v>50</v>
      </c>
      <c r="F28" s="12">
        <v>1</v>
      </c>
      <c r="G28" s="143">
        <f>_xll.qlRateHelperEarliestDate($A28,Trigger)</f>
        <v>42250</v>
      </c>
      <c r="H28" s="144">
        <f>_xll.qlRateHelperMaturityDate($A28,Trigger)</f>
        <v>45173</v>
      </c>
      <c r="I28" s="90"/>
    </row>
    <row r="29" spans="1:9" x14ac:dyDescent="0.2">
      <c r="A29" s="162" t="str">
        <f>'Swap EONIA 3E'!L10</f>
        <v>obj_0057b#0001</v>
      </c>
      <c r="B29" s="141" t="str">
        <f>_xll.qlRateHelperQuoteName(A29)</f>
        <v>EUR1EON3E9Y_LCHQuote</v>
      </c>
      <c r="C29" s="142">
        <f>_xll.qlRateHelperQuoteValue($A29,Trigger)</f>
        <v>7.7026000000000004E-3</v>
      </c>
      <c r="D29" s="12" t="b">
        <v>1</v>
      </c>
      <c r="E29" s="12">
        <v>50</v>
      </c>
      <c r="F29" s="12">
        <v>1</v>
      </c>
      <c r="G29" s="143">
        <f>_xll.qlRateHelperEarliestDate($A29,Trigger)</f>
        <v>42250</v>
      </c>
      <c r="H29" s="144">
        <f>_xll.qlRateHelperMaturityDate($A29,Trigger)</f>
        <v>45538</v>
      </c>
      <c r="I29" s="90"/>
    </row>
    <row r="30" spans="1:9" x14ac:dyDescent="0.2">
      <c r="A30" s="162" t="str">
        <f>'Swap EONIA 3E'!L11</f>
        <v>obj_0057a#0001</v>
      </c>
      <c r="B30" s="141" t="str">
        <f>_xll.qlRateHelperQuoteName(A30)</f>
        <v>EUR1EON3E10Y_LCHQuote</v>
      </c>
      <c r="C30" s="142">
        <f>_xll.qlRateHelperQuoteValue($A30,Trigger)</f>
        <v>8.8521999999999993E-3</v>
      </c>
      <c r="D30" s="12" t="b">
        <v>1</v>
      </c>
      <c r="E30" s="12">
        <v>50</v>
      </c>
      <c r="F30" s="12">
        <v>1</v>
      </c>
      <c r="G30" s="143">
        <f>_xll.qlRateHelperEarliestDate($A30,Trigger)</f>
        <v>42250</v>
      </c>
      <c r="H30" s="144">
        <f>_xll.qlRateHelperMaturityDate($A30,Trigger)</f>
        <v>45903</v>
      </c>
      <c r="I30" s="90"/>
    </row>
    <row r="31" spans="1:9" x14ac:dyDescent="0.2">
      <c r="A31" s="162" t="str">
        <f>'Swap EONIA 3E'!L12</f>
        <v>obj_00587#0001</v>
      </c>
      <c r="B31" s="141" t="str">
        <f>_xll.qlRateHelperQuoteName(A31)</f>
        <v>EUR1EON3E12Y_LCHQuote</v>
      </c>
      <c r="C31" s="142">
        <f>_xll.qlRateHelperQuoteValue($A31,Trigger)</f>
        <v>1.0721400000000001E-2</v>
      </c>
      <c r="D31" s="12" t="b">
        <v>1</v>
      </c>
      <c r="E31" s="12">
        <v>50</v>
      </c>
      <c r="F31" s="12">
        <v>1</v>
      </c>
      <c r="G31" s="143">
        <f>_xll.qlRateHelperEarliestDate($A31,Trigger)</f>
        <v>42250</v>
      </c>
      <c r="H31" s="144">
        <f>_xll.qlRateHelperMaturityDate($A31,Trigger)</f>
        <v>46633</v>
      </c>
      <c r="I31" s="90"/>
    </row>
    <row r="32" spans="1:9" x14ac:dyDescent="0.2">
      <c r="A32" s="162" t="str">
        <f>'Swap EONIA 3E'!L13</f>
        <v>obj_0057e#0001</v>
      </c>
      <c r="B32" s="141" t="str">
        <f>_xll.qlRateHelperQuoteName(A32)</f>
        <v>EUR1EON3E15Y_LCHQuote</v>
      </c>
      <c r="C32" s="142">
        <f>_xll.qlRateHelperQuoteValue($A32,Trigger)</f>
        <v>1.27002E-2</v>
      </c>
      <c r="D32" s="12" t="b">
        <v>1</v>
      </c>
      <c r="E32" s="12">
        <v>50</v>
      </c>
      <c r="F32" s="12">
        <v>1</v>
      </c>
      <c r="G32" s="143">
        <f>_xll.qlRateHelperEarliestDate($A32,Trigger)</f>
        <v>42250</v>
      </c>
      <c r="H32" s="144">
        <f>_xll.qlRateHelperMaturityDate($A32,Trigger)</f>
        <v>47729</v>
      </c>
      <c r="I32" s="90"/>
    </row>
    <row r="33" spans="1:9" x14ac:dyDescent="0.2">
      <c r="A33" s="162" t="str">
        <f>'Swap EONIA 3E'!L14</f>
        <v>obj_00583#0001</v>
      </c>
      <c r="B33" s="141" t="str">
        <f>_xll.qlRateHelperQuoteName(A33)</f>
        <v>EUR1EON3E20Y_LCHQuote</v>
      </c>
      <c r="C33" s="142">
        <f>_xll.qlRateHelperQuoteValue($A33,Trigger)</f>
        <v>1.43558E-2</v>
      </c>
      <c r="D33" s="12" t="b">
        <v>1</v>
      </c>
      <c r="E33" s="12">
        <v>50</v>
      </c>
      <c r="F33" s="12">
        <v>1</v>
      </c>
      <c r="G33" s="143">
        <f>_xll.qlRateHelperEarliestDate($A33,Trigger)</f>
        <v>42250</v>
      </c>
      <c r="H33" s="144">
        <f>_xll.qlRateHelperMaturityDate($A33,Trigger)</f>
        <v>49555</v>
      </c>
      <c r="I33" s="90"/>
    </row>
    <row r="34" spans="1:9" x14ac:dyDescent="0.2">
      <c r="A34" s="162" t="str">
        <f>'Swap EONIA 3E'!L15</f>
        <v>obj_00589#0001</v>
      </c>
      <c r="B34" s="141" t="str">
        <f>_xll.qlRateHelperQuoteName(A34)</f>
        <v>EUR1EON3E25Y_LCHQuote</v>
      </c>
      <c r="C34" s="142">
        <f>_xll.qlRateHelperQuoteValue($A34,Trigger)</f>
        <v>1.4874699999999999E-2</v>
      </c>
      <c r="D34" s="12" t="b">
        <v>1</v>
      </c>
      <c r="E34" s="12">
        <v>50</v>
      </c>
      <c r="F34" s="12">
        <v>1</v>
      </c>
      <c r="G34" s="143">
        <f>_xll.qlRateHelperEarliestDate($A34,Trigger)</f>
        <v>42250</v>
      </c>
      <c r="H34" s="144">
        <f>_xll.qlRateHelperMaturityDate($A34,Trigger)</f>
        <v>51382</v>
      </c>
      <c r="I34" s="90"/>
    </row>
    <row r="35" spans="1:9" x14ac:dyDescent="0.2">
      <c r="A35" s="162" t="str">
        <f>'Swap EONIA 3E'!L16</f>
        <v>obj_0057d#0001</v>
      </c>
      <c r="B35" s="141" t="str">
        <f>_xll.qlRateHelperQuoteName(A35)</f>
        <v>EUR1EON3E30Y_LCHQuote</v>
      </c>
      <c r="C35" s="142">
        <f>_xll.qlRateHelperQuoteValue($A35,Trigger)</f>
        <v>1.51054E-2</v>
      </c>
      <c r="D35" s="12" t="b">
        <v>1</v>
      </c>
      <c r="E35" s="12">
        <v>50</v>
      </c>
      <c r="F35" s="12">
        <v>1</v>
      </c>
      <c r="G35" s="143">
        <f>_xll.qlRateHelperEarliestDate($A35,Trigger)</f>
        <v>42250</v>
      </c>
      <c r="H35" s="144">
        <f>_xll.qlRateHelperMaturityDate($A35,Trigger)</f>
        <v>53209</v>
      </c>
      <c r="I35" s="90"/>
    </row>
    <row r="36" spans="1:9" x14ac:dyDescent="0.2">
      <c r="A36" s="162" t="str">
        <f>'Swap EONIA 3E'!L17</f>
        <v>obj_00579#0001</v>
      </c>
      <c r="B36" s="141" t="str">
        <f>_xll.qlRateHelperQuoteName(A36)</f>
        <v>EUR1EON3E40Y_LCHQuote</v>
      </c>
      <c r="C36" s="142">
        <f>_xll.qlRateHelperQuoteValue($A36,Trigger)</f>
        <v>1.5446E-2</v>
      </c>
      <c r="D36" s="12" t="b">
        <v>1</v>
      </c>
      <c r="E36" s="12">
        <v>50</v>
      </c>
      <c r="F36" s="12">
        <v>1</v>
      </c>
      <c r="G36" s="143">
        <f>_xll.qlRateHelperEarliestDate($A36,Trigger)</f>
        <v>42250</v>
      </c>
      <c r="H36" s="144">
        <f>_xll.qlRateHelperMaturityDate($A36,Trigger)</f>
        <v>56860</v>
      </c>
      <c r="I36" s="90"/>
    </row>
    <row r="37" spans="1:9" x14ac:dyDescent="0.2">
      <c r="A37" s="162" t="str">
        <f>'Swap EONIA 3E'!L18</f>
        <v>obj_00586#0001</v>
      </c>
      <c r="B37" s="141" t="str">
        <f>_xll.qlRateHelperQuoteName(A37)</f>
        <v>EUR1EON3E50Y_LCHQuote</v>
      </c>
      <c r="C37" s="142">
        <f>_xll.qlRateHelperQuoteValue($A37,Trigger)</f>
        <v>1.5240999999999999E-2</v>
      </c>
      <c r="D37" s="12" t="b">
        <v>1</v>
      </c>
      <c r="E37" s="12">
        <v>50</v>
      </c>
      <c r="F37" s="12">
        <v>1</v>
      </c>
      <c r="G37" s="143">
        <f>_xll.qlRateHelperEarliestDate($A37,Trigger)</f>
        <v>42250</v>
      </c>
      <c r="H37" s="144">
        <f>_xll.qlRateHelperMaturityDate($A37,Trigger)</f>
        <v>60513</v>
      </c>
      <c r="I37" s="90"/>
    </row>
    <row r="38" spans="1:9" x14ac:dyDescent="0.2">
      <c r="A38" s="163" t="str">
        <f>'Swap EONIA 3E'!L19</f>
        <v>obj_00585#0001</v>
      </c>
      <c r="B38" s="150" t="str">
        <f>_xll.qlRateHelperQuoteName(A38)</f>
        <v>EUR1EON3E60Y_LCHQuote</v>
      </c>
      <c r="C38" s="151">
        <f>_xll.qlRateHelperQuoteValue($A38,Trigger)</f>
        <v>1.5055000000000001E-2</v>
      </c>
      <c r="D38" s="152" t="b">
        <v>1</v>
      </c>
      <c r="E38" s="152">
        <v>50</v>
      </c>
      <c r="F38" s="152">
        <v>1</v>
      </c>
      <c r="G38" s="153">
        <f>_xll.qlRateHelperEarliestDate($A38,Trigger)</f>
        <v>42250</v>
      </c>
      <c r="H38" s="154">
        <f>_xll.qlRateHelperMaturityDate($A38,Trigger)</f>
        <v>64165</v>
      </c>
      <c r="I38" s="90"/>
    </row>
    <row r="39" spans="1:9" ht="12" thickBot="1" x14ac:dyDescent="0.25">
      <c r="A39" s="155"/>
      <c r="B39" s="156"/>
      <c r="C39" s="156"/>
      <c r="D39" s="156"/>
      <c r="E39" s="156"/>
      <c r="F39" s="156"/>
      <c r="G39" s="156"/>
      <c r="H39" s="156"/>
      <c r="I39" s="157"/>
    </row>
    <row r="40" spans="1:9" x14ac:dyDescent="0.2">
      <c r="A40" s="158"/>
    </row>
    <row r="41" spans="1:9" x14ac:dyDescent="0.2">
      <c r="A41" s="158"/>
    </row>
    <row r="42" spans="1:9" x14ac:dyDescent="0.2">
      <c r="A42" s="158"/>
    </row>
    <row r="43" spans="1:9" x14ac:dyDescent="0.2">
      <c r="A43" s="158"/>
    </row>
    <row r="44" spans="1:9" x14ac:dyDescent="0.2">
      <c r="A44" s="158"/>
    </row>
    <row r="45" spans="1:9" x14ac:dyDescent="0.2">
      <c r="A45" s="158"/>
    </row>
    <row r="46" spans="1:9" x14ac:dyDescent="0.2">
      <c r="A46" s="158"/>
    </row>
    <row r="47" spans="1:9" x14ac:dyDescent="0.2">
      <c r="A47" s="158"/>
    </row>
    <row r="48" spans="1:9" x14ac:dyDescent="0.2">
      <c r="A48" s="158"/>
    </row>
    <row r="49" spans="1:9" x14ac:dyDescent="0.2">
      <c r="A49" s="158"/>
    </row>
    <row r="50" spans="1:9" x14ac:dyDescent="0.2">
      <c r="A50" s="158"/>
    </row>
    <row r="51" spans="1:9" x14ac:dyDescent="0.2">
      <c r="A51" s="158"/>
    </row>
    <row r="52" spans="1:9" x14ac:dyDescent="0.2">
      <c r="A52" s="158"/>
    </row>
    <row r="53" spans="1:9" x14ac:dyDescent="0.2">
      <c r="A53" s="158"/>
    </row>
    <row r="54" spans="1:9" x14ac:dyDescent="0.2">
      <c r="A54" s="158"/>
    </row>
    <row r="55" spans="1:9" x14ac:dyDescent="0.2">
      <c r="A55" s="158"/>
    </row>
    <row r="56" spans="1:9" x14ac:dyDescent="0.2">
      <c r="A56" s="158"/>
      <c r="I56" s="158"/>
    </row>
    <row r="57" spans="1:9" x14ac:dyDescent="0.2">
      <c r="A57" s="158"/>
      <c r="I57" s="158"/>
    </row>
    <row r="58" spans="1:9" x14ac:dyDescent="0.2">
      <c r="A58" s="158"/>
      <c r="I58" s="158"/>
    </row>
    <row r="59" spans="1:9" x14ac:dyDescent="0.2">
      <c r="A59" s="158"/>
      <c r="I59" s="158"/>
    </row>
    <row r="60" spans="1:9" x14ac:dyDescent="0.2">
      <c r="A60" s="158"/>
      <c r="I60" s="158"/>
    </row>
    <row r="61" spans="1:9" x14ac:dyDescent="0.2">
      <c r="A61" s="158"/>
      <c r="I61" s="158"/>
    </row>
    <row r="62" spans="1:9" x14ac:dyDescent="0.2">
      <c r="A62" s="158"/>
      <c r="I62" s="158"/>
    </row>
    <row r="63" spans="1:9" x14ac:dyDescent="0.2">
      <c r="A63" s="158"/>
      <c r="I63" s="158"/>
    </row>
    <row r="64" spans="1:9" x14ac:dyDescent="0.2">
      <c r="A64" s="158"/>
      <c r="I64" s="158"/>
    </row>
    <row r="65" spans="1:9" x14ac:dyDescent="0.2">
      <c r="A65" s="158"/>
      <c r="I65" s="158"/>
    </row>
    <row r="66" spans="1:9" x14ac:dyDescent="0.2">
      <c r="A66" s="158"/>
      <c r="I66" s="158"/>
    </row>
    <row r="67" spans="1:9" x14ac:dyDescent="0.2">
      <c r="A67" s="158"/>
      <c r="I67" s="158"/>
    </row>
    <row r="68" spans="1:9" x14ac:dyDescent="0.2">
      <c r="A68" s="158"/>
      <c r="I68" s="158"/>
    </row>
    <row r="69" spans="1:9" x14ac:dyDescent="0.2">
      <c r="A69" s="158"/>
      <c r="I69" s="158"/>
    </row>
    <row r="70" spans="1:9" x14ac:dyDescent="0.2">
      <c r="A70" s="158"/>
    </row>
    <row r="71" spans="1:9" x14ac:dyDescent="0.2">
      <c r="A71" s="158"/>
    </row>
    <row r="72" spans="1:9" x14ac:dyDescent="0.2">
      <c r="A72" s="158"/>
    </row>
    <row r="73" spans="1:9" x14ac:dyDescent="0.2">
      <c r="A73" s="158"/>
    </row>
    <row r="74" spans="1:9" x14ac:dyDescent="0.2">
      <c r="A74" s="158"/>
    </row>
    <row r="75" spans="1:9" x14ac:dyDescent="0.2">
      <c r="A75" s="158"/>
    </row>
    <row r="76" spans="1:9" x14ac:dyDescent="0.2">
      <c r="A76" s="158"/>
    </row>
    <row r="77" spans="1:9" x14ac:dyDescent="0.2">
      <c r="A77" s="158"/>
    </row>
    <row r="78" spans="1:9" x14ac:dyDescent="0.2">
      <c r="A78" s="158"/>
    </row>
    <row r="79" spans="1:9" x14ac:dyDescent="0.2">
      <c r="A79" s="158"/>
    </row>
    <row r="80" spans="1:9" x14ac:dyDescent="0.2">
      <c r="A80" s="158"/>
    </row>
    <row r="81" spans="1:8" x14ac:dyDescent="0.2">
      <c r="A81" s="158"/>
      <c r="B81" s="140"/>
      <c r="C81" s="140"/>
      <c r="D81" s="140"/>
      <c r="E81" s="140"/>
      <c r="F81" s="140"/>
      <c r="G81" s="140"/>
      <c r="H81" s="140"/>
    </row>
    <row r="82" spans="1:8" x14ac:dyDescent="0.2">
      <c r="A82" s="158"/>
      <c r="B82" s="140"/>
      <c r="C82" s="140"/>
      <c r="D82" s="140"/>
      <c r="E82" s="140"/>
      <c r="F82" s="140"/>
      <c r="G82" s="140"/>
      <c r="H82" s="140"/>
    </row>
    <row r="83" spans="1:8" x14ac:dyDescent="0.2">
      <c r="B83" s="140"/>
      <c r="C83" s="140"/>
      <c r="D83" s="140"/>
      <c r="E83" s="140"/>
      <c r="F83" s="140"/>
      <c r="G83" s="140"/>
      <c r="H83" s="140"/>
    </row>
    <row r="84" spans="1:8" x14ac:dyDescent="0.2">
      <c r="B84" s="140"/>
      <c r="C84" s="140"/>
      <c r="D84" s="140"/>
      <c r="E84" s="140"/>
      <c r="F84" s="140"/>
      <c r="G84" s="140"/>
      <c r="H84" s="140"/>
    </row>
    <row r="85" spans="1:8" x14ac:dyDescent="0.2">
      <c r="B85" s="140"/>
      <c r="C85" s="140"/>
      <c r="D85" s="140"/>
      <c r="E85" s="140"/>
      <c r="F85" s="140"/>
      <c r="G85" s="140"/>
      <c r="H85" s="140"/>
    </row>
    <row r="86" spans="1:8" x14ac:dyDescent="0.2">
      <c r="B86" s="140"/>
      <c r="C86" s="140"/>
      <c r="D86" s="140"/>
      <c r="E86" s="140"/>
      <c r="F86" s="140"/>
      <c r="G86" s="140"/>
      <c r="H86" s="140"/>
    </row>
    <row r="87" spans="1:8" x14ac:dyDescent="0.2">
      <c r="B87" s="140"/>
      <c r="C87" s="140"/>
      <c r="D87" s="140"/>
      <c r="E87" s="140"/>
      <c r="F87" s="140"/>
      <c r="G87" s="140"/>
      <c r="H87" s="140"/>
    </row>
    <row r="88" spans="1:8" x14ac:dyDescent="0.2">
      <c r="B88" s="140"/>
      <c r="C88" s="140"/>
      <c r="D88" s="140"/>
      <c r="E88" s="140"/>
      <c r="F88" s="140"/>
      <c r="G88" s="140"/>
      <c r="H88" s="140"/>
    </row>
    <row r="89" spans="1:8" x14ac:dyDescent="0.2">
      <c r="B89" s="140"/>
      <c r="C89" s="140"/>
      <c r="D89" s="140"/>
      <c r="E89" s="140"/>
      <c r="F89" s="140"/>
      <c r="G89" s="140"/>
      <c r="H89" s="140"/>
    </row>
    <row r="90" spans="1:8" x14ac:dyDescent="0.2">
      <c r="B90" s="140"/>
      <c r="C90" s="140"/>
      <c r="D90" s="140"/>
      <c r="E90" s="140"/>
      <c r="F90" s="140"/>
      <c r="G90" s="140"/>
      <c r="H90" s="140"/>
    </row>
    <row r="91" spans="1:8" x14ac:dyDescent="0.2">
      <c r="B91" s="140"/>
      <c r="C91" s="140"/>
      <c r="D91" s="140"/>
      <c r="E91" s="140"/>
      <c r="F91" s="140"/>
      <c r="G91" s="140"/>
      <c r="H91" s="140"/>
    </row>
    <row r="92" spans="1:8" x14ac:dyDescent="0.2">
      <c r="B92" s="140"/>
      <c r="C92" s="140"/>
      <c r="D92" s="140"/>
      <c r="E92" s="140"/>
      <c r="F92" s="140"/>
      <c r="G92" s="140"/>
      <c r="H92" s="140"/>
    </row>
    <row r="93" spans="1:8" x14ac:dyDescent="0.2">
      <c r="B93" s="140"/>
      <c r="C93" s="140"/>
      <c r="D93" s="140"/>
      <c r="E93" s="140"/>
      <c r="F93" s="140"/>
      <c r="G93" s="140"/>
      <c r="H93" s="140"/>
    </row>
    <row r="94" spans="1:8" x14ac:dyDescent="0.2">
      <c r="B94" s="140"/>
      <c r="C94" s="140"/>
      <c r="D94" s="140"/>
      <c r="E94" s="140"/>
      <c r="F94" s="140"/>
      <c r="G94" s="140"/>
      <c r="H94" s="140"/>
    </row>
    <row r="95" spans="1:8" x14ac:dyDescent="0.2">
      <c r="B95" s="140"/>
      <c r="C95" s="140"/>
      <c r="D95" s="140"/>
      <c r="E95" s="140"/>
      <c r="F95" s="140"/>
      <c r="G95" s="140"/>
      <c r="H95" s="140"/>
    </row>
    <row r="96" spans="1:8" x14ac:dyDescent="0.2">
      <c r="B96" s="140"/>
      <c r="C96" s="140"/>
      <c r="D96" s="140"/>
      <c r="E96" s="140"/>
      <c r="F96" s="140"/>
      <c r="G96" s="140"/>
      <c r="H96" s="140"/>
    </row>
    <row r="97" spans="1:8" x14ac:dyDescent="0.2">
      <c r="A97" s="140"/>
      <c r="B97" s="140"/>
      <c r="C97" s="140"/>
      <c r="D97" s="140"/>
      <c r="E97" s="140"/>
      <c r="F97" s="140"/>
      <c r="G97" s="140"/>
      <c r="H97" s="140"/>
    </row>
    <row r="98" spans="1:8" x14ac:dyDescent="0.2">
      <c r="A98" s="140"/>
      <c r="B98" s="140"/>
      <c r="C98" s="140"/>
      <c r="D98" s="140"/>
      <c r="E98" s="140"/>
      <c r="F98" s="140"/>
      <c r="G98" s="140"/>
      <c r="H98" s="140"/>
    </row>
    <row r="99" spans="1:8" x14ac:dyDescent="0.2">
      <c r="A99" s="140"/>
      <c r="B99" s="140"/>
      <c r="C99" s="140"/>
      <c r="D99" s="140"/>
      <c r="E99" s="140"/>
      <c r="F99" s="140"/>
      <c r="G99" s="140"/>
      <c r="H99" s="140"/>
    </row>
    <row r="100" spans="1:8" x14ac:dyDescent="0.2">
      <c r="A100" s="140"/>
      <c r="B100" s="140"/>
      <c r="C100" s="140"/>
      <c r="D100" s="140"/>
      <c r="E100" s="140"/>
      <c r="F100" s="140"/>
      <c r="G100" s="140"/>
      <c r="H100" s="140"/>
    </row>
    <row r="101" spans="1:8" x14ac:dyDescent="0.2">
      <c r="A101" s="140"/>
      <c r="B101" s="140"/>
      <c r="C101" s="140"/>
      <c r="D101" s="140"/>
      <c r="E101" s="140"/>
      <c r="F101" s="140"/>
      <c r="G101" s="140"/>
      <c r="H101" s="140"/>
    </row>
    <row r="102" spans="1:8" x14ac:dyDescent="0.2">
      <c r="A102" s="140"/>
      <c r="B102" s="140"/>
      <c r="C102" s="140"/>
      <c r="D102" s="140"/>
      <c r="E102" s="140"/>
      <c r="F102" s="140"/>
      <c r="G102" s="140"/>
      <c r="H102" s="140"/>
    </row>
    <row r="103" spans="1:8" x14ac:dyDescent="0.2">
      <c r="A103" s="140"/>
      <c r="B103" s="140"/>
      <c r="C103" s="140"/>
      <c r="D103" s="140"/>
      <c r="E103" s="140"/>
      <c r="F103" s="140"/>
      <c r="G103" s="140"/>
      <c r="H103" s="140"/>
    </row>
    <row r="104" spans="1:8" x14ac:dyDescent="0.2">
      <c r="A104" s="140"/>
      <c r="B104" s="140"/>
      <c r="C104" s="140"/>
      <c r="D104" s="140"/>
      <c r="E104" s="140"/>
      <c r="F104" s="140"/>
      <c r="G104" s="140"/>
      <c r="H104" s="140"/>
    </row>
    <row r="105" spans="1:8" x14ac:dyDescent="0.2">
      <c r="A105" s="140"/>
      <c r="B105" s="140"/>
      <c r="C105" s="140"/>
      <c r="D105" s="140"/>
      <c r="E105" s="140"/>
      <c r="F105" s="140"/>
      <c r="G105" s="140"/>
      <c r="H105" s="140"/>
    </row>
    <row r="106" spans="1:8" x14ac:dyDescent="0.2">
      <c r="A106" s="140"/>
      <c r="B106" s="140"/>
      <c r="C106" s="140"/>
      <c r="D106" s="140"/>
      <c r="E106" s="140"/>
      <c r="F106" s="140"/>
      <c r="G106" s="140"/>
      <c r="H106" s="140"/>
    </row>
    <row r="107" spans="1:8" x14ac:dyDescent="0.2">
      <c r="A107" s="140"/>
      <c r="B107" s="140"/>
      <c r="C107" s="140"/>
      <c r="D107" s="140"/>
      <c r="E107" s="140"/>
      <c r="F107" s="140"/>
      <c r="G107" s="140"/>
      <c r="H107" s="140"/>
    </row>
    <row r="108" spans="1:8" x14ac:dyDescent="0.2">
      <c r="A108" s="140"/>
      <c r="B108" s="140"/>
      <c r="C108" s="140"/>
      <c r="D108" s="140"/>
      <c r="E108" s="140"/>
      <c r="F108" s="140"/>
      <c r="G108" s="140"/>
      <c r="H108" s="140"/>
    </row>
    <row r="109" spans="1:8" x14ac:dyDescent="0.2">
      <c r="A109" s="140"/>
      <c r="B109" s="140"/>
      <c r="C109" s="140"/>
      <c r="D109" s="140"/>
      <c r="E109" s="140"/>
      <c r="F109" s="140"/>
      <c r="G109" s="140"/>
      <c r="H109" s="140"/>
    </row>
    <row r="110" spans="1:8" x14ac:dyDescent="0.2">
      <c r="A110" s="140"/>
      <c r="B110" s="140"/>
      <c r="C110" s="140"/>
      <c r="D110" s="140"/>
      <c r="E110" s="140"/>
      <c r="F110" s="140"/>
      <c r="G110" s="140"/>
      <c r="H110" s="140"/>
    </row>
    <row r="111" spans="1:8" x14ac:dyDescent="0.2">
      <c r="A111" s="140"/>
      <c r="B111" s="140"/>
      <c r="C111" s="140"/>
      <c r="D111" s="140"/>
      <c r="E111" s="140"/>
      <c r="F111" s="140"/>
      <c r="G111" s="140"/>
      <c r="H111" s="140"/>
    </row>
    <row r="112" spans="1:8" x14ac:dyDescent="0.2">
      <c r="A112" s="140"/>
      <c r="B112" s="140"/>
      <c r="C112" s="140"/>
      <c r="D112" s="140"/>
      <c r="E112" s="140"/>
      <c r="F112" s="140"/>
      <c r="G112" s="140"/>
      <c r="H112" s="140"/>
    </row>
    <row r="113" spans="1:8" x14ac:dyDescent="0.2">
      <c r="A113" s="140"/>
      <c r="B113" s="140"/>
      <c r="C113" s="140"/>
      <c r="D113" s="140"/>
      <c r="E113" s="140"/>
      <c r="F113" s="140"/>
      <c r="G113" s="140"/>
      <c r="H113" s="140"/>
    </row>
    <row r="114" spans="1:8" x14ac:dyDescent="0.2">
      <c r="A114" s="140"/>
      <c r="B114" s="140"/>
      <c r="C114" s="140"/>
      <c r="D114" s="140"/>
      <c r="E114" s="140"/>
      <c r="F114" s="140"/>
      <c r="G114" s="140"/>
      <c r="H114" s="140"/>
    </row>
    <row r="115" spans="1:8" x14ac:dyDescent="0.2">
      <c r="A115" s="140"/>
      <c r="B115" s="140"/>
      <c r="C115" s="140"/>
      <c r="D115" s="140"/>
      <c r="E115" s="140"/>
      <c r="F115" s="140"/>
      <c r="G115" s="140"/>
      <c r="H115" s="140"/>
    </row>
    <row r="116" spans="1:8" x14ac:dyDescent="0.2">
      <c r="A116" s="140"/>
      <c r="B116" s="140"/>
      <c r="C116" s="140"/>
      <c r="D116" s="140"/>
      <c r="E116" s="140"/>
      <c r="F116" s="140"/>
      <c r="G116" s="140"/>
      <c r="H116" s="140"/>
    </row>
    <row r="117" spans="1:8" x14ac:dyDescent="0.2">
      <c r="A117" s="140"/>
      <c r="B117" s="140"/>
      <c r="C117" s="140"/>
      <c r="D117" s="140"/>
      <c r="E117" s="140"/>
      <c r="F117" s="140"/>
      <c r="G117" s="140"/>
      <c r="H117" s="140"/>
    </row>
    <row r="118" spans="1:8" x14ac:dyDescent="0.2">
      <c r="A118" s="140"/>
      <c r="B118" s="140"/>
      <c r="C118" s="140"/>
      <c r="D118" s="140"/>
      <c r="E118" s="140"/>
      <c r="F118" s="140"/>
      <c r="G118" s="140"/>
      <c r="H118" s="140"/>
    </row>
    <row r="119" spans="1:8" x14ac:dyDescent="0.2">
      <c r="A119" s="140"/>
      <c r="B119" s="140"/>
      <c r="C119" s="140"/>
      <c r="D119" s="140"/>
      <c r="E119" s="140"/>
      <c r="F119" s="140"/>
      <c r="G119" s="140"/>
      <c r="H119" s="140"/>
    </row>
    <row r="120" spans="1:8" x14ac:dyDescent="0.2">
      <c r="A120" s="140"/>
      <c r="B120" s="140"/>
      <c r="C120" s="140"/>
      <c r="D120" s="140"/>
      <c r="E120" s="140"/>
      <c r="F120" s="140"/>
      <c r="G120" s="140"/>
      <c r="H120" s="140"/>
    </row>
    <row r="121" spans="1:8" x14ac:dyDescent="0.2">
      <c r="A121" s="140"/>
      <c r="B121" s="140"/>
      <c r="C121" s="140"/>
      <c r="D121" s="140"/>
      <c r="E121" s="140"/>
      <c r="F121" s="140"/>
      <c r="G121" s="140"/>
      <c r="H121" s="140"/>
    </row>
    <row r="122" spans="1:8" x14ac:dyDescent="0.2">
      <c r="A122" s="140"/>
      <c r="B122" s="140"/>
      <c r="C122" s="140"/>
      <c r="D122" s="140"/>
      <c r="E122" s="140"/>
      <c r="F122" s="140"/>
      <c r="G122" s="140"/>
      <c r="H122" s="140"/>
    </row>
    <row r="123" spans="1:8" x14ac:dyDescent="0.2">
      <c r="A123" s="140"/>
      <c r="B123" s="140"/>
      <c r="C123" s="140"/>
      <c r="D123" s="140"/>
      <c r="E123" s="140"/>
      <c r="F123" s="140"/>
      <c r="G123" s="140"/>
      <c r="H123" s="140"/>
    </row>
    <row r="124" spans="1:8" x14ac:dyDescent="0.2">
      <c r="A124" s="140"/>
      <c r="B124" s="140"/>
      <c r="C124" s="140"/>
      <c r="D124" s="140"/>
      <c r="E124" s="140"/>
      <c r="F124" s="140"/>
      <c r="G124" s="140"/>
      <c r="H124" s="140"/>
    </row>
    <row r="125" spans="1:8" x14ac:dyDescent="0.2">
      <c r="A125" s="140"/>
      <c r="B125" s="140"/>
      <c r="C125" s="140"/>
      <c r="D125" s="140"/>
      <c r="E125" s="140"/>
      <c r="F125" s="140"/>
      <c r="G125" s="140"/>
      <c r="H125" s="140"/>
    </row>
    <row r="126" spans="1:8" x14ac:dyDescent="0.2">
      <c r="A126" s="140"/>
      <c r="B126" s="140"/>
      <c r="C126" s="140"/>
      <c r="D126" s="140"/>
      <c r="E126" s="140"/>
      <c r="F126" s="140"/>
      <c r="G126" s="140"/>
      <c r="H126" s="140"/>
    </row>
    <row r="127" spans="1:8" x14ac:dyDescent="0.2">
      <c r="A127" s="140"/>
      <c r="B127" s="140"/>
      <c r="C127" s="140"/>
      <c r="D127" s="140"/>
      <c r="E127" s="140"/>
      <c r="F127" s="140"/>
      <c r="G127" s="140"/>
      <c r="H127" s="140"/>
    </row>
    <row r="128" spans="1:8" x14ac:dyDescent="0.2">
      <c r="A128" s="140"/>
      <c r="B128" s="140"/>
      <c r="C128" s="140"/>
      <c r="D128" s="140"/>
      <c r="E128" s="140"/>
      <c r="F128" s="140"/>
      <c r="G128" s="140"/>
      <c r="H128" s="140"/>
    </row>
    <row r="129" spans="1:8" x14ac:dyDescent="0.2">
      <c r="A129" s="140"/>
      <c r="B129" s="140"/>
      <c r="C129" s="140"/>
      <c r="D129" s="140"/>
      <c r="E129" s="140"/>
      <c r="F129" s="140"/>
      <c r="G129" s="140"/>
      <c r="H129" s="140"/>
    </row>
    <row r="130" spans="1:8" x14ac:dyDescent="0.2">
      <c r="A130" s="140"/>
      <c r="B130" s="140"/>
      <c r="C130" s="140"/>
      <c r="D130" s="140"/>
      <c r="E130" s="140"/>
      <c r="F130" s="140"/>
      <c r="G130" s="140"/>
      <c r="H130" s="140"/>
    </row>
    <row r="131" spans="1:8" x14ac:dyDescent="0.2">
      <c r="A131" s="140"/>
      <c r="B131" s="140"/>
      <c r="C131" s="140"/>
      <c r="D131" s="140"/>
      <c r="E131" s="140"/>
      <c r="F131" s="140"/>
      <c r="G131" s="140"/>
      <c r="H131" s="140"/>
    </row>
    <row r="132" spans="1:8" x14ac:dyDescent="0.2">
      <c r="A132" s="140"/>
      <c r="B132" s="140"/>
      <c r="C132" s="140"/>
      <c r="D132" s="140"/>
      <c r="E132" s="140"/>
      <c r="F132" s="140"/>
      <c r="G132" s="140"/>
      <c r="H132" s="140"/>
    </row>
    <row r="133" spans="1:8" x14ac:dyDescent="0.2">
      <c r="A133" s="140"/>
      <c r="B133" s="140"/>
      <c r="C133" s="140"/>
      <c r="D133" s="140"/>
      <c r="E133" s="140"/>
      <c r="F133" s="140"/>
      <c r="G133" s="140"/>
      <c r="H133" s="140"/>
    </row>
    <row r="134" spans="1:8" x14ac:dyDescent="0.2">
      <c r="A134" s="140"/>
      <c r="B134" s="140"/>
      <c r="C134" s="140"/>
      <c r="D134" s="140"/>
      <c r="E134" s="140"/>
      <c r="F134" s="140"/>
      <c r="G134" s="140"/>
      <c r="H134" s="140"/>
    </row>
    <row r="135" spans="1:8" x14ac:dyDescent="0.2">
      <c r="A135" s="140"/>
      <c r="B135" s="140"/>
      <c r="C135" s="140"/>
      <c r="D135" s="140"/>
      <c r="E135" s="140"/>
      <c r="F135" s="140"/>
      <c r="G135" s="140"/>
      <c r="H135" s="140"/>
    </row>
    <row r="136" spans="1:8" x14ac:dyDescent="0.2">
      <c r="A136" s="140"/>
      <c r="B136" s="140"/>
      <c r="C136" s="140"/>
      <c r="D136" s="140"/>
      <c r="E136" s="140"/>
      <c r="F136" s="140"/>
      <c r="G136" s="140"/>
      <c r="H136" s="140"/>
    </row>
    <row r="137" spans="1:8" x14ac:dyDescent="0.2">
      <c r="A137" s="140"/>
      <c r="B137" s="140"/>
      <c r="C137" s="140"/>
      <c r="D137" s="140"/>
      <c r="E137" s="140"/>
      <c r="F137" s="140"/>
      <c r="G137" s="140"/>
      <c r="H137" s="140"/>
    </row>
    <row r="138" spans="1:8" x14ac:dyDescent="0.2">
      <c r="A138" s="140"/>
      <c r="B138" s="140"/>
      <c r="C138" s="140"/>
      <c r="D138" s="140"/>
      <c r="E138" s="140"/>
      <c r="F138" s="140"/>
      <c r="G138" s="140"/>
      <c r="H138" s="140"/>
    </row>
    <row r="139" spans="1:8" x14ac:dyDescent="0.2">
      <c r="A139" s="140"/>
      <c r="B139" s="140"/>
      <c r="C139" s="140"/>
      <c r="D139" s="140"/>
      <c r="E139" s="140"/>
      <c r="F139" s="140"/>
      <c r="G139" s="140"/>
      <c r="H139" s="140"/>
    </row>
    <row r="140" spans="1:8" x14ac:dyDescent="0.2">
      <c r="A140" s="140"/>
      <c r="B140" s="140"/>
      <c r="C140" s="140"/>
      <c r="D140" s="140"/>
      <c r="E140" s="140"/>
      <c r="F140" s="140"/>
      <c r="G140" s="140"/>
      <c r="H140" s="140"/>
    </row>
    <row r="141" spans="1:8" x14ac:dyDescent="0.2">
      <c r="A141" s="140"/>
      <c r="B141" s="140"/>
      <c r="C141" s="140"/>
      <c r="D141" s="140"/>
      <c r="E141" s="140"/>
      <c r="F141" s="140"/>
      <c r="G141" s="140"/>
      <c r="H141" s="140"/>
    </row>
    <row r="142" spans="1:8" x14ac:dyDescent="0.2">
      <c r="A142" s="140"/>
      <c r="B142" s="140"/>
      <c r="C142" s="140"/>
      <c r="D142" s="140"/>
      <c r="E142" s="140"/>
      <c r="F142" s="140"/>
      <c r="G142" s="140"/>
      <c r="H142" s="140"/>
    </row>
    <row r="143" spans="1:8" x14ac:dyDescent="0.2">
      <c r="A143" s="140"/>
      <c r="B143" s="140"/>
      <c r="C143" s="140"/>
      <c r="D143" s="140"/>
      <c r="E143" s="140"/>
      <c r="F143" s="140"/>
      <c r="G143" s="140"/>
      <c r="H143" s="140"/>
    </row>
    <row r="144" spans="1:8" x14ac:dyDescent="0.2">
      <c r="A144" s="140"/>
      <c r="B144" s="140"/>
      <c r="C144" s="140"/>
      <c r="D144" s="140"/>
      <c r="E144" s="140"/>
      <c r="F144" s="140"/>
      <c r="G144" s="140"/>
      <c r="H144" s="140"/>
    </row>
    <row r="145" spans="1:8" x14ac:dyDescent="0.2">
      <c r="A145" s="140"/>
      <c r="B145" s="140"/>
      <c r="C145" s="140"/>
      <c r="D145" s="140"/>
      <c r="E145" s="140"/>
      <c r="F145" s="140"/>
      <c r="G145" s="140"/>
      <c r="H145" s="140"/>
    </row>
    <row r="146" spans="1:8" x14ac:dyDescent="0.2">
      <c r="A146" s="140"/>
      <c r="B146" s="140"/>
      <c r="C146" s="140"/>
      <c r="D146" s="140"/>
      <c r="E146" s="140"/>
      <c r="F146" s="140"/>
      <c r="G146" s="140"/>
      <c r="H146" s="140"/>
    </row>
    <row r="147" spans="1:8" x14ac:dyDescent="0.2">
      <c r="A147" s="140"/>
      <c r="B147" s="140"/>
      <c r="C147" s="140"/>
      <c r="D147" s="140"/>
      <c r="E147" s="140"/>
      <c r="F147" s="140"/>
      <c r="G147" s="140"/>
      <c r="H147" s="140"/>
    </row>
    <row r="148" spans="1:8" x14ac:dyDescent="0.2">
      <c r="A148" s="140"/>
      <c r="B148" s="140"/>
      <c r="C148" s="140"/>
      <c r="D148" s="140"/>
      <c r="E148" s="140"/>
      <c r="F148" s="140"/>
      <c r="G148" s="140"/>
      <c r="H148" s="140"/>
    </row>
    <row r="149" spans="1:8" x14ac:dyDescent="0.2">
      <c r="A149" s="140"/>
      <c r="B149" s="140"/>
      <c r="C149" s="140"/>
      <c r="D149" s="140"/>
      <c r="E149" s="140"/>
      <c r="F149" s="140"/>
      <c r="G149" s="140"/>
      <c r="H149" s="140"/>
    </row>
    <row r="150" spans="1:8" x14ac:dyDescent="0.2">
      <c r="A150" s="140"/>
      <c r="B150" s="140"/>
      <c r="C150" s="140"/>
      <c r="D150" s="140"/>
      <c r="E150" s="140"/>
      <c r="F150" s="140"/>
      <c r="G150" s="140"/>
      <c r="H150" s="140"/>
    </row>
    <row r="151" spans="1:8" x14ac:dyDescent="0.2">
      <c r="A151" s="140"/>
      <c r="B151" s="140"/>
      <c r="C151" s="140"/>
      <c r="D151" s="140"/>
      <c r="E151" s="140"/>
      <c r="F151" s="140"/>
      <c r="G151" s="140"/>
      <c r="H151" s="140"/>
    </row>
    <row r="152" spans="1:8" x14ac:dyDescent="0.2">
      <c r="A152" s="140"/>
      <c r="B152" s="140"/>
      <c r="C152" s="140"/>
      <c r="D152" s="140"/>
      <c r="E152" s="140"/>
      <c r="F152" s="140"/>
      <c r="G152" s="140"/>
      <c r="H152" s="140"/>
    </row>
    <row r="153" spans="1:8" x14ac:dyDescent="0.2">
      <c r="A153" s="140"/>
      <c r="B153" s="140"/>
      <c r="C153" s="140"/>
      <c r="D153" s="140"/>
      <c r="E153" s="140"/>
      <c r="F153" s="140"/>
      <c r="G153" s="140"/>
      <c r="H153" s="140"/>
    </row>
    <row r="154" spans="1:8" x14ac:dyDescent="0.2">
      <c r="A154" s="140"/>
      <c r="B154" s="140"/>
      <c r="C154" s="140"/>
      <c r="D154" s="140"/>
      <c r="E154" s="140"/>
      <c r="F154" s="140"/>
      <c r="G154" s="140"/>
      <c r="H154" s="140"/>
    </row>
    <row r="155" spans="1:8" x14ac:dyDescent="0.2">
      <c r="A155" s="140"/>
      <c r="B155" s="140"/>
      <c r="C155" s="140"/>
      <c r="D155" s="140"/>
      <c r="E155" s="140"/>
      <c r="F155" s="140"/>
      <c r="G155" s="140"/>
      <c r="H155" s="140"/>
    </row>
    <row r="156" spans="1:8" x14ac:dyDescent="0.2">
      <c r="A156" s="140"/>
      <c r="B156" s="140"/>
      <c r="C156" s="140"/>
      <c r="D156" s="140"/>
      <c r="E156" s="140"/>
      <c r="F156" s="140"/>
      <c r="G156" s="140"/>
      <c r="H156" s="140"/>
    </row>
    <row r="157" spans="1:8" x14ac:dyDescent="0.2">
      <c r="A157" s="140"/>
      <c r="B157" s="140"/>
      <c r="C157" s="140"/>
      <c r="D157" s="140"/>
      <c r="E157" s="140"/>
      <c r="F157" s="140"/>
      <c r="G157" s="140"/>
      <c r="H157" s="140"/>
    </row>
    <row r="158" spans="1:8" x14ac:dyDescent="0.2">
      <c r="A158" s="140"/>
      <c r="B158" s="140"/>
      <c r="C158" s="140"/>
      <c r="D158" s="140"/>
      <c r="E158" s="140"/>
      <c r="F158" s="140"/>
      <c r="G158" s="140"/>
      <c r="H158" s="140"/>
    </row>
    <row r="159" spans="1:8" x14ac:dyDescent="0.2">
      <c r="A159" s="140"/>
      <c r="B159" s="140"/>
      <c r="C159" s="140"/>
      <c r="D159" s="140"/>
      <c r="E159" s="140"/>
      <c r="F159" s="140"/>
      <c r="G159" s="140"/>
      <c r="H159" s="140"/>
    </row>
    <row r="160" spans="1:8" x14ac:dyDescent="0.2">
      <c r="A160" s="140"/>
      <c r="B160" s="140"/>
      <c r="C160" s="140"/>
      <c r="D160" s="140"/>
      <c r="E160" s="140"/>
      <c r="F160" s="140"/>
      <c r="G160" s="140"/>
      <c r="H160" s="140"/>
    </row>
    <row r="161" spans="1:8" x14ac:dyDescent="0.2">
      <c r="A161" s="140"/>
      <c r="B161" s="140"/>
      <c r="C161" s="140"/>
      <c r="D161" s="140"/>
      <c r="E161" s="140"/>
      <c r="F161" s="140"/>
      <c r="G161" s="140"/>
      <c r="H161" s="140"/>
    </row>
    <row r="162" spans="1:8" x14ac:dyDescent="0.2">
      <c r="A162" s="140"/>
      <c r="B162" s="140"/>
      <c r="C162" s="140"/>
      <c r="D162" s="140"/>
      <c r="E162" s="140"/>
      <c r="F162" s="140"/>
      <c r="G162" s="140"/>
      <c r="H162" s="140"/>
    </row>
    <row r="163" spans="1:8" x14ac:dyDescent="0.2">
      <c r="A163" s="140"/>
      <c r="B163" s="140"/>
      <c r="C163" s="140"/>
      <c r="D163" s="140"/>
      <c r="E163" s="140"/>
      <c r="F163" s="140"/>
      <c r="G163" s="140"/>
      <c r="H163" s="140"/>
    </row>
    <row r="164" spans="1:8" x14ac:dyDescent="0.2">
      <c r="A164" s="140"/>
      <c r="B164" s="140"/>
      <c r="C164" s="140"/>
      <c r="D164" s="140"/>
      <c r="E164" s="140"/>
      <c r="F164" s="140"/>
      <c r="G164" s="140"/>
      <c r="H164" s="140"/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Y126"/>
  <sheetViews>
    <sheetView workbookViewId="0">
      <selection sqref="A1:B1"/>
    </sheetView>
  </sheetViews>
  <sheetFormatPr defaultRowHeight="11.25" outlineLevelCol="1" x14ac:dyDescent="0.2"/>
  <cols>
    <col min="1" max="1" width="24.42578125" style="13" bestFit="1" customWidth="1"/>
    <col min="2" max="2" width="9" style="13" bestFit="1" customWidth="1"/>
    <col min="3" max="3" width="5.5703125" style="13" customWidth="1"/>
    <col min="4" max="4" width="13.140625" style="136" hidden="1" customWidth="1" outlineLevel="1"/>
    <col min="5" max="5" width="21.42578125" style="136" bestFit="1" customWidth="1" collapsed="1"/>
    <col min="6" max="6" width="9" style="136" bestFit="1" customWidth="1"/>
    <col min="7" max="7" width="8" style="136" bestFit="1" customWidth="1"/>
    <col min="8" max="8" width="17.28515625" style="136" bestFit="1" customWidth="1"/>
    <col min="9" max="9" width="17.28515625" style="136" customWidth="1"/>
    <col min="10" max="10" width="17.28515625" style="136" bestFit="1" customWidth="1"/>
    <col min="11" max="11" width="13.140625" style="13" bestFit="1" customWidth="1"/>
    <col min="12" max="13" width="9.140625" style="13"/>
    <col min="14" max="16" width="17.28515625" style="13" bestFit="1" customWidth="1"/>
    <col min="17" max="17" width="10" style="13" bestFit="1" customWidth="1"/>
    <col min="18" max="18" width="13.140625" style="13" bestFit="1" customWidth="1"/>
    <col min="19" max="20" width="9.140625" style="13"/>
    <col min="21" max="21" width="13.140625" style="13" bestFit="1" customWidth="1"/>
    <col min="22" max="22" width="10" style="13" bestFit="1" customWidth="1"/>
    <col min="23" max="24" width="9.140625" style="13"/>
    <col min="25" max="25" width="12" style="13" bestFit="1" customWidth="1"/>
    <col min="26" max="16384" width="9.140625" style="13"/>
  </cols>
  <sheetData>
    <row r="1" spans="1:25" ht="24" customHeight="1" thickBot="1" x14ac:dyDescent="0.25">
      <c r="A1" s="251" t="s">
        <v>20</v>
      </c>
      <c r="B1" s="252"/>
      <c r="D1" s="110" t="s">
        <v>19</v>
      </c>
      <c r="E1" s="111" t="s">
        <v>82</v>
      </c>
      <c r="F1" s="112" t="s">
        <v>50</v>
      </c>
      <c r="G1" s="112"/>
      <c r="H1" s="112" t="s">
        <v>0</v>
      </c>
      <c r="I1" s="226" t="s">
        <v>103</v>
      </c>
      <c r="J1" s="113" t="s">
        <v>120</v>
      </c>
      <c r="K1" s="114">
        <f t="array" ref="K1:K126">_xll.qlPiecewiseYieldCurveData(YieldCurve1)</f>
        <v>-1.2673633113901206E-3</v>
      </c>
      <c r="L1" s="13">
        <f t="array" ref="L1:L126">_xll.qlPiecewiseYieldCurveData(YieldCurve2)</f>
        <v>1</v>
      </c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</row>
    <row r="2" spans="1:25" x14ac:dyDescent="0.2">
      <c r="A2" s="116" t="s">
        <v>43</v>
      </c>
      <c r="B2" s="117">
        <v>8</v>
      </c>
      <c r="C2" s="118"/>
      <c r="D2" s="119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obj_0058e</v>
      </c>
      <c r="E2" s="119" t="str">
        <f>_xll.qlRateHelperQuoteName(D2)</f>
        <v>EUR1DOIS_LCHQuote</v>
      </c>
      <c r="F2" s="120">
        <f>_xll.qlRateHelperQuoteValue($D2)</f>
        <v>-1.25E-3</v>
      </c>
      <c r="G2" s="120" t="str">
        <f>IF(ISERROR(_xll.qlSwapRateHelperSpread($D2)),IF(ISERROR(_xll.qlFuturesRateHelperConvexityAdjustment($D2)),"--",_xll.qlFuturesRateHelperConvexityAdjustment($D2)),_xll.qlSwapRateHelperSpread($D2))</f>
        <v>--</v>
      </c>
      <c r="H2" s="121">
        <f>_xll.qlRateHelperEarliestDate($D2)</f>
        <v>42248</v>
      </c>
      <c r="I2" s="121">
        <f>_xll.qlRateHelperMaturityDate(D2)</f>
        <v>42249</v>
      </c>
      <c r="J2" s="122">
        <f>_xll.qlRateHelperPillarDate($D2)</f>
        <v>42249</v>
      </c>
      <c r="K2" s="114">
        <v>-1.2673633113901206E-3</v>
      </c>
      <c r="L2" s="13">
        <v>1.0000034722342785</v>
      </c>
      <c r="M2" s="123"/>
      <c r="N2" s="115"/>
      <c r="O2" s="115"/>
      <c r="P2" s="115"/>
      <c r="Q2" s="125"/>
      <c r="R2" s="25"/>
      <c r="S2" s="25"/>
      <c r="T2" s="115"/>
      <c r="U2" s="124"/>
      <c r="V2" s="115"/>
      <c r="W2" s="25"/>
      <c r="X2" s="115"/>
      <c r="Y2" s="124"/>
    </row>
    <row r="3" spans="1:25" x14ac:dyDescent="0.2">
      <c r="A3" s="126" t="s">
        <v>44</v>
      </c>
      <c r="B3" s="127">
        <v>1</v>
      </c>
      <c r="C3" s="118"/>
      <c r="D3" s="119" t="str">
        <v>obj_0058b</v>
      </c>
      <c r="E3" s="119" t="str">
        <f>_xll.qlRateHelperQuoteName(D3)</f>
        <v>EUR2DOIS_LCHQuote</v>
      </c>
      <c r="F3" s="120">
        <f>_xll.qlRateHelperQuoteValue($D3)</f>
        <v>-1.25E-3</v>
      </c>
      <c r="G3" s="120" t="str">
        <f>IF(ISERROR(_xll.qlSwapRateHelperSpread($D3)),IF(ISERROR(_xll.qlFuturesRateHelperConvexityAdjustment($D3)),"--",_xll.qlFuturesRateHelperConvexityAdjustment($D3)),_xll.qlSwapRateHelperSpread($D3))</f>
        <v>--</v>
      </c>
      <c r="H3" s="121">
        <f>_xll.qlRateHelperEarliestDate($D3)</f>
        <v>42249</v>
      </c>
      <c r="I3" s="121">
        <f>_xll.qlRateHelperMaturityDate(D3)</f>
        <v>42250</v>
      </c>
      <c r="J3" s="122">
        <f>_xll.qlRateHelperPillarDate($D3)</f>
        <v>42250</v>
      </c>
      <c r="K3" s="114">
        <v>-1.2673633114192282E-3</v>
      </c>
      <c r="L3" s="13">
        <v>1.0000069444806134</v>
      </c>
      <c r="M3" s="123"/>
      <c r="N3" s="115"/>
      <c r="O3" s="115"/>
      <c r="P3" s="115"/>
      <c r="Q3" s="125"/>
      <c r="R3" s="25"/>
      <c r="S3" s="25"/>
      <c r="T3" s="115"/>
      <c r="U3" s="124"/>
      <c r="V3" s="115"/>
      <c r="W3" s="25"/>
      <c r="X3" s="115"/>
      <c r="Y3" s="124"/>
    </row>
    <row r="4" spans="1:25" x14ac:dyDescent="0.2">
      <c r="A4" s="126" t="s">
        <v>16</v>
      </c>
      <c r="B4" s="127">
        <v>2</v>
      </c>
      <c r="C4" s="118"/>
      <c r="D4" s="119" t="str">
        <v>obj_00591</v>
      </c>
      <c r="E4" s="119" t="str">
        <f>_xll.qlRateHelperQuoteName(D4)</f>
        <v>EUR1WOIS_LCHQuote</v>
      </c>
      <c r="F4" s="120">
        <f>_xll.qlRateHelperQuoteValue($D4)</f>
        <v>-1.32E-3</v>
      </c>
      <c r="G4" s="120" t="str">
        <f>IF(ISERROR(_xll.qlSwapRateHelperSpread($D4)),IF(ISERROR(_xll.qlFuturesRateHelperConvexityAdjustment($D4)),"--",_xll.qlFuturesRateHelperConvexityAdjustment($D4)),_xll.qlSwapRateHelperSpread($D4))</f>
        <v>--</v>
      </c>
      <c r="H4" s="121">
        <f>_xll.qlRateHelperEarliestDate($D4)</f>
        <v>42250</v>
      </c>
      <c r="I4" s="121">
        <f>_xll.qlRateHelperMaturityDate(D4)</f>
        <v>42257</v>
      </c>
      <c r="J4" s="122">
        <f>_xll.qlRateHelperPillarDate($D4)</f>
        <v>42257</v>
      </c>
      <c r="K4" s="114">
        <v>-1.3225755760887378E-3</v>
      </c>
      <c r="L4" s="13">
        <v>1.000032611984357</v>
      </c>
      <c r="M4" s="123"/>
      <c r="N4" s="115"/>
      <c r="O4" s="115"/>
      <c r="P4" s="115"/>
      <c r="Q4" s="125"/>
      <c r="R4" s="25"/>
      <c r="S4" s="25"/>
      <c r="T4" s="115"/>
      <c r="U4" s="124"/>
      <c r="V4" s="115"/>
      <c r="W4" s="25"/>
      <c r="X4" s="115"/>
      <c r="Y4" s="124"/>
    </row>
    <row r="5" spans="1:25" ht="12" thickBot="1" x14ac:dyDescent="0.25">
      <c r="A5" s="128" t="s">
        <v>17</v>
      </c>
      <c r="B5" s="129" t="s">
        <v>39</v>
      </c>
      <c r="C5" s="118"/>
      <c r="D5" s="119" t="str">
        <v>obj_00590</v>
      </c>
      <c r="E5" s="119" t="str">
        <f>_xll.qlRateHelperQuoteName(D5)</f>
        <v>EUR2WOIS_LCHQuote</v>
      </c>
      <c r="F5" s="120">
        <f>_xll.qlRateHelperQuoteValue($D5)</f>
        <v>-1.2800000000000001E-3</v>
      </c>
      <c r="G5" s="120" t="str">
        <f>IF(ISERROR(_xll.qlSwapRateHelperSpread($D5)),IF(ISERROR(_xll.qlFuturesRateHelperConvexityAdjustment($D5)),"--",_xll.qlFuturesRateHelperConvexityAdjustment($D5)),_xll.qlSwapRateHelperSpread($D5))</f>
        <v>--</v>
      </c>
      <c r="H5" s="121">
        <f>_xll.qlRateHelperEarliestDate($D5)</f>
        <v>42250</v>
      </c>
      <c r="I5" s="121">
        <f>_xll.qlRateHelperMaturityDate(D5)</f>
        <v>42264</v>
      </c>
      <c r="J5" s="122">
        <f>_xll.qlRateHelperPillarDate($D5)</f>
        <v>42264</v>
      </c>
      <c r="K5" s="114">
        <v>-1.294004233040815E-3</v>
      </c>
      <c r="L5" s="13">
        <v>1.0000567250820391</v>
      </c>
      <c r="M5" s="123"/>
      <c r="N5" s="115"/>
      <c r="O5" s="115"/>
      <c r="P5" s="115"/>
      <c r="Q5" s="125"/>
      <c r="R5" s="25"/>
      <c r="S5" s="25"/>
      <c r="T5" s="115"/>
      <c r="U5" s="124"/>
      <c r="V5" s="115"/>
      <c r="W5" s="25"/>
      <c r="X5" s="115"/>
      <c r="Y5" s="124"/>
    </row>
    <row r="6" spans="1:25" x14ac:dyDescent="0.2">
      <c r="C6" s="118"/>
      <c r="D6" s="119" t="str">
        <v>obj_0059c</v>
      </c>
      <c r="E6" s="119" t="str">
        <f>_xll.qlRateHelperQuoteName(D6)</f>
        <v>EUR3WOIS_LCHQuote</v>
      </c>
      <c r="F6" s="120">
        <f>_xll.qlRateHelperQuoteValue($D6)</f>
        <v>-1.2750000000000001E-3</v>
      </c>
      <c r="G6" s="120" t="str">
        <f>IF(ISERROR(_xll.qlSwapRateHelperSpread($D6)),IF(ISERROR(_xll.qlFuturesRateHelperConvexityAdjustment($D6)),"--",_xll.qlFuturesRateHelperConvexityAdjustment($D6)),_xll.qlSwapRateHelperSpread($D6))</f>
        <v>--</v>
      </c>
      <c r="H6" s="121">
        <f>_xll.qlRateHelperEarliestDate($D6)</f>
        <v>42250</v>
      </c>
      <c r="I6" s="121">
        <f>_xll.qlRateHelperMaturityDate(D6)</f>
        <v>42271</v>
      </c>
      <c r="J6" s="122">
        <f>_xll.qlRateHelperPillarDate($D6)</f>
        <v>42271</v>
      </c>
      <c r="K6" s="114">
        <v>-1.2905483129239245E-3</v>
      </c>
      <c r="L6" s="13">
        <v>1.0000813255291996</v>
      </c>
      <c r="M6" s="123"/>
      <c r="N6" s="115"/>
      <c r="O6" s="115"/>
      <c r="P6" s="115"/>
      <c r="Q6" s="125"/>
      <c r="R6" s="25"/>
      <c r="S6" s="25"/>
      <c r="T6" s="115"/>
      <c r="U6" s="124"/>
      <c r="V6" s="115"/>
      <c r="W6" s="25"/>
      <c r="X6" s="115"/>
      <c r="Y6" s="124"/>
    </row>
    <row r="7" spans="1:25" x14ac:dyDescent="0.2">
      <c r="B7" s="130"/>
      <c r="C7" s="118"/>
      <c r="D7" s="119" t="str">
        <v>obj_0059d</v>
      </c>
      <c r="E7" s="119" t="str">
        <f>_xll.qlRateHelperQuoteName(D7)</f>
        <v>EUR1MOIS_LCHQuote</v>
      </c>
      <c r="F7" s="120">
        <f>_xll.qlRateHelperQuoteValue($D7)</f>
        <v>-1.2416667E-3</v>
      </c>
      <c r="G7" s="120" t="str">
        <f>IF(ISERROR(_xll.qlSwapRateHelperSpread($D7)),IF(ISERROR(_xll.qlFuturesRateHelperConvexityAdjustment($D7)),"--",_xll.qlFuturesRateHelperConvexityAdjustment($D7)),_xll.qlSwapRateHelperSpread($D7))</f>
        <v>--</v>
      </c>
      <c r="H7" s="121">
        <f>_xll.qlRateHelperEarliestDate($D7)</f>
        <v>42250</v>
      </c>
      <c r="I7" s="121">
        <f>_xll.qlRateHelperMaturityDate(D7)</f>
        <v>42282</v>
      </c>
      <c r="J7" s="122">
        <f>_xll.qlRateHelperPillarDate($D7)</f>
        <v>42282</v>
      </c>
      <c r="K7" s="114">
        <v>-1.2594745939901258E-3</v>
      </c>
      <c r="L7" s="13">
        <v>1.000117327803453</v>
      </c>
      <c r="M7" s="123"/>
      <c r="N7" s="115"/>
      <c r="O7" s="115"/>
      <c r="P7" s="115"/>
      <c r="Q7" s="125"/>
      <c r="R7" s="25"/>
      <c r="S7" s="25"/>
      <c r="T7" s="115"/>
      <c r="U7" s="124"/>
      <c r="V7" s="115"/>
      <c r="W7" s="25"/>
      <c r="X7" s="115"/>
      <c r="Y7" s="124"/>
    </row>
    <row r="8" spans="1:25" x14ac:dyDescent="0.2">
      <c r="C8" s="118"/>
      <c r="D8" s="119" t="str">
        <v>obj_0059b</v>
      </c>
      <c r="E8" s="119" t="str">
        <f>_xll.qlRateHelperQuoteName(D8)</f>
        <v>EUR2MOIS_LCHQuote</v>
      </c>
      <c r="F8" s="120">
        <f>_xll.qlRateHelperQuoteValue($D8)</f>
        <v>-1.2949999999999999E-3</v>
      </c>
      <c r="G8" s="120" t="str">
        <f>IF(ISERROR(_xll.qlSwapRateHelperSpread($D8)),IF(ISERROR(_xll.qlFuturesRateHelperConvexityAdjustment($D8)),"--",_xll.qlFuturesRateHelperConvexityAdjustment($D8)),_xll.qlSwapRateHelperSpread($D8))</f>
        <v>--</v>
      </c>
      <c r="H8" s="121">
        <f>_xll.qlRateHelperEarliestDate($D8)</f>
        <v>42250</v>
      </c>
      <c r="I8" s="121">
        <f>_xll.qlRateHelperMaturityDate(D8)</f>
        <v>42311</v>
      </c>
      <c r="J8" s="122">
        <f>_xll.qlRateHelperPillarDate($D8)</f>
        <v>42311</v>
      </c>
      <c r="K8" s="114">
        <v>-1.3116772701444984E-3</v>
      </c>
      <c r="L8" s="13">
        <v>1.0002264247206714</v>
      </c>
      <c r="M8" s="123"/>
      <c r="N8" s="115"/>
      <c r="O8" s="115"/>
      <c r="P8" s="115"/>
      <c r="Q8" s="125"/>
      <c r="R8" s="25"/>
      <c r="S8" s="25"/>
      <c r="T8" s="115"/>
      <c r="U8" s="124"/>
      <c r="V8" s="115"/>
      <c r="W8" s="25"/>
      <c r="X8" s="115"/>
      <c r="Y8" s="124"/>
    </row>
    <row r="9" spans="1:25" x14ac:dyDescent="0.2">
      <c r="C9" s="118"/>
      <c r="D9" s="119" t="str">
        <v>obj_00594</v>
      </c>
      <c r="E9" s="119" t="str">
        <f>_xll.qlRateHelperQuoteName(D9)</f>
        <v>EUR3MOIS_LCHQuote</v>
      </c>
      <c r="F9" s="120">
        <f>_xll.qlRateHelperQuoteValue($D9)</f>
        <v>-1.3075000000000001E-3</v>
      </c>
      <c r="G9" s="120" t="str">
        <f>IF(ISERROR(_xll.qlSwapRateHelperSpread($D9)),IF(ISERROR(_xll.qlFuturesRateHelperConvexityAdjustment($D9)),"--",_xll.qlFuturesRateHelperConvexityAdjustment($D9)),_xll.qlSwapRateHelperSpread($D9))</f>
        <v>--</v>
      </c>
      <c r="H9" s="121">
        <f>_xll.qlRateHelperEarliestDate($D9)</f>
        <v>42250</v>
      </c>
      <c r="I9" s="121">
        <f>_xll.qlRateHelperMaturityDate(D9)</f>
        <v>42341</v>
      </c>
      <c r="J9" s="122">
        <f>_xll.qlRateHelperPillarDate($D9)</f>
        <v>42341</v>
      </c>
      <c r="K9" s="114">
        <v>-1.3246204419033567E-3</v>
      </c>
      <c r="L9" s="13">
        <v>1.0003375629919711</v>
      </c>
      <c r="M9" s="123"/>
      <c r="N9" s="115"/>
      <c r="O9" s="115"/>
      <c r="P9" s="115"/>
      <c r="Q9" s="125"/>
      <c r="R9" s="25"/>
      <c r="S9" s="25"/>
      <c r="T9" s="115"/>
      <c r="U9" s="124"/>
      <c r="V9" s="115"/>
      <c r="W9" s="25"/>
      <c r="X9" s="115"/>
      <c r="Y9" s="124"/>
    </row>
    <row r="10" spans="1:25" x14ac:dyDescent="0.2">
      <c r="C10" s="118"/>
      <c r="D10" s="119" t="str">
        <v>obj_0059a</v>
      </c>
      <c r="E10" s="119" t="str">
        <f>_xll.qlRateHelperQuoteName(D10)</f>
        <v>EUR4MOIS_LCHQuote</v>
      </c>
      <c r="F10" s="120">
        <f>_xll.qlRateHelperQuoteValue($D10)</f>
        <v>-1.2866666999999999E-3</v>
      </c>
      <c r="G10" s="120" t="str">
        <f>IF(ISERROR(_xll.qlSwapRateHelperSpread($D10)),IF(ISERROR(_xll.qlFuturesRateHelperConvexityAdjustment($D10)),"--",_xll.qlFuturesRateHelperConvexityAdjustment($D10)),_xll.qlSwapRateHelperSpread($D10))</f>
        <v>--</v>
      </c>
      <c r="H10" s="121">
        <f>_xll.qlRateHelperEarliestDate($D10)</f>
        <v>42250</v>
      </c>
      <c r="I10" s="121">
        <f>_xll.qlRateHelperMaturityDate(D10)</f>
        <v>42373</v>
      </c>
      <c r="J10" s="122">
        <f>_xll.qlRateHelperPillarDate($D10)</f>
        <v>42373</v>
      </c>
      <c r="K10" s="114">
        <v>-1.3042245299932722E-3</v>
      </c>
      <c r="L10" s="13">
        <v>1.0004467520004177</v>
      </c>
      <c r="M10" s="123"/>
      <c r="N10" s="115"/>
      <c r="O10" s="115"/>
      <c r="P10" s="115"/>
      <c r="Q10" s="125"/>
      <c r="R10" s="25"/>
      <c r="S10" s="25"/>
      <c r="T10" s="115"/>
      <c r="U10" s="124"/>
      <c r="V10" s="115"/>
      <c r="W10" s="25"/>
      <c r="X10" s="115"/>
      <c r="Y10" s="124"/>
    </row>
    <row r="11" spans="1:25" x14ac:dyDescent="0.2">
      <c r="C11" s="118"/>
      <c r="D11" s="119" t="str">
        <v>obj_0059e</v>
      </c>
      <c r="E11" s="119" t="str">
        <f>_xll.qlRateHelperQuoteName(D11)</f>
        <v>EUR5MOIS_LCHQuote</v>
      </c>
      <c r="F11" s="120">
        <f>_xll.qlRateHelperQuoteValue($D11)</f>
        <v>-1.325E-3</v>
      </c>
      <c r="G11" s="120" t="str">
        <f>IF(ISERROR(_xll.qlSwapRateHelperSpread($D11)),IF(ISERROR(_xll.qlFuturesRateHelperConvexityAdjustment($D11)),"--",_xll.qlFuturesRateHelperConvexityAdjustment($D11)),_xll.qlSwapRateHelperSpread($D11))</f>
        <v>--</v>
      </c>
      <c r="H11" s="121">
        <f>_xll.qlRateHelperEarliestDate($D11)</f>
        <v>42250</v>
      </c>
      <c r="I11" s="121">
        <f>_xll.qlRateHelperMaturityDate(D11)</f>
        <v>42403</v>
      </c>
      <c r="J11" s="122">
        <f>_xll.qlRateHelperPillarDate($D11)</f>
        <v>42403</v>
      </c>
      <c r="K11" s="114">
        <v>-1.3427951347776607E-3</v>
      </c>
      <c r="L11" s="13">
        <v>1.0005703906818662</v>
      </c>
      <c r="M11" s="123"/>
      <c r="N11" s="115"/>
      <c r="O11" s="115"/>
      <c r="P11" s="115"/>
      <c r="Q11" s="125"/>
      <c r="R11" s="25"/>
      <c r="S11" s="25"/>
      <c r="T11" s="115"/>
      <c r="U11" s="124"/>
      <c r="V11" s="115"/>
      <c r="W11" s="25"/>
      <c r="X11" s="115"/>
      <c r="Y11" s="124"/>
    </row>
    <row r="12" spans="1:25" x14ac:dyDescent="0.2">
      <c r="C12" s="118"/>
      <c r="D12" s="119" t="str">
        <v>obj_00593</v>
      </c>
      <c r="E12" s="119" t="str">
        <f>_xll.qlRateHelperQuoteName(D12)</f>
        <v>EUR6MOIS_LCHQuote</v>
      </c>
      <c r="F12" s="120">
        <f>_xll.qlRateHelperQuoteValue($D12)</f>
        <v>-1.3500000000000001E-3</v>
      </c>
      <c r="G12" s="120" t="str">
        <f>IF(ISERROR(_xll.qlSwapRateHelperSpread($D12)),IF(ISERROR(_xll.qlFuturesRateHelperConvexityAdjustment($D12)),"--",_xll.qlFuturesRateHelperConvexityAdjustment($D12)),_xll.qlSwapRateHelperSpread($D12))</f>
        <v>--</v>
      </c>
      <c r="H12" s="121">
        <f>_xll.qlRateHelperEarliestDate($D12)</f>
        <v>42250</v>
      </c>
      <c r="I12" s="121">
        <f>_xll.qlRateHelperMaturityDate(D12)</f>
        <v>42432</v>
      </c>
      <c r="J12" s="122">
        <f>_xll.qlRateHelperPillarDate($D12)</f>
        <v>42432</v>
      </c>
      <c r="K12" s="114">
        <v>-1.3681101900144066E-3</v>
      </c>
      <c r="L12" s="13">
        <v>1.0006899153478384</v>
      </c>
      <c r="M12" s="123"/>
      <c r="N12" s="115"/>
      <c r="O12" s="115"/>
      <c r="P12" s="115"/>
      <c r="Q12" s="125"/>
      <c r="R12" s="25"/>
      <c r="S12" s="25"/>
      <c r="T12" s="115"/>
      <c r="U12" s="124"/>
      <c r="V12" s="115"/>
      <c r="W12" s="25"/>
      <c r="X12" s="115"/>
      <c r="Y12" s="124"/>
    </row>
    <row r="13" spans="1:25" x14ac:dyDescent="0.2">
      <c r="C13" s="118"/>
      <c r="D13" s="119" t="str">
        <v>obj_00592</v>
      </c>
      <c r="E13" s="119" t="str">
        <f>_xll.qlRateHelperQuoteName(D13)</f>
        <v>EUR7MOIS_LCHQuote</v>
      </c>
      <c r="F13" s="120">
        <f>_xll.qlRateHelperQuoteValue($D13)</f>
        <v>-1.3625E-3</v>
      </c>
      <c r="G13" s="120" t="str">
        <f>IF(ISERROR(_xll.qlSwapRateHelperSpread($D13)),IF(ISERROR(_xll.qlFuturesRateHelperConvexityAdjustment($D13)),"--",_xll.qlFuturesRateHelperConvexityAdjustment($D13)),_xll.qlSwapRateHelperSpread($D13))</f>
        <v>--</v>
      </c>
      <c r="H13" s="121">
        <f>_xll.qlRateHelperEarliestDate($D13)</f>
        <v>42250</v>
      </c>
      <c r="I13" s="121">
        <f>_xll.qlRateHelperMaturityDate(D13)</f>
        <v>42464</v>
      </c>
      <c r="J13" s="122">
        <f>_xll.qlRateHelperPillarDate($D13)</f>
        <v>42464</v>
      </c>
      <c r="K13" s="114">
        <v>-1.3809220453776484E-3</v>
      </c>
      <c r="L13" s="13">
        <v>1.0008175371845149</v>
      </c>
      <c r="M13" s="123"/>
      <c r="N13" s="115"/>
      <c r="O13" s="115"/>
      <c r="P13" s="115"/>
      <c r="Q13" s="125"/>
      <c r="R13" s="25"/>
      <c r="S13" s="25"/>
      <c r="T13" s="115"/>
      <c r="U13" s="124"/>
      <c r="V13" s="115"/>
      <c r="W13" s="25"/>
      <c r="X13" s="115"/>
      <c r="Y13" s="124"/>
    </row>
    <row r="14" spans="1:25" x14ac:dyDescent="0.2">
      <c r="C14" s="118"/>
      <c r="D14" s="119" t="str">
        <v>obj_00596</v>
      </c>
      <c r="E14" s="119" t="str">
        <f>_xll.qlRateHelperQuoteName(D14)</f>
        <v>EUR8MOIS_LCHQuote</v>
      </c>
      <c r="F14" s="120">
        <f>_xll.qlRateHelperQuoteValue($D14)</f>
        <v>-1.3675E-3</v>
      </c>
      <c r="G14" s="120" t="str">
        <f>IF(ISERROR(_xll.qlSwapRateHelperSpread($D14)),IF(ISERROR(_xll.qlFuturesRateHelperConvexityAdjustment($D14)),"--",_xll.qlFuturesRateHelperConvexityAdjustment($D14)),_xll.qlSwapRateHelperSpread($D14))</f>
        <v>--</v>
      </c>
      <c r="H14" s="121">
        <f>_xll.qlRateHelperEarliestDate($D14)</f>
        <v>42250</v>
      </c>
      <c r="I14" s="121">
        <f>_xll.qlRateHelperMaturityDate(D14)</f>
        <v>42493</v>
      </c>
      <c r="J14" s="122">
        <f>_xll.qlRateHelperPillarDate($D14)</f>
        <v>42493</v>
      </c>
      <c r="K14" s="114">
        <v>-1.3861556448077482E-3</v>
      </c>
      <c r="L14" s="13">
        <v>1.0009308662283214</v>
      </c>
      <c r="M14" s="123"/>
      <c r="N14" s="115"/>
      <c r="O14" s="115"/>
      <c r="P14" s="115"/>
      <c r="Q14" s="125"/>
      <c r="R14" s="25"/>
      <c r="S14" s="25"/>
      <c r="T14" s="115"/>
      <c r="U14" s="124"/>
      <c r="V14" s="115"/>
      <c r="W14" s="25"/>
      <c r="X14" s="115"/>
      <c r="Y14" s="124"/>
    </row>
    <row r="15" spans="1:25" x14ac:dyDescent="0.2">
      <c r="C15" s="118"/>
      <c r="D15" s="119" t="str">
        <v>obj_00599</v>
      </c>
      <c r="E15" s="119" t="str">
        <f>_xll.qlRateHelperQuoteName(D15)</f>
        <v>EUR9MOIS_LCHQuote</v>
      </c>
      <c r="F15" s="120">
        <f>_xll.qlRateHelperQuoteValue($D15)</f>
        <v>-1.3799999999999999E-3</v>
      </c>
      <c r="G15" s="120" t="str">
        <f>IF(ISERROR(_xll.qlSwapRateHelperSpread($D15)),IF(ISERROR(_xll.qlFuturesRateHelperConvexityAdjustment($D15)),"--",_xll.qlFuturesRateHelperConvexityAdjustment($D15)),_xll.qlSwapRateHelperSpread($D15))</f>
        <v>--</v>
      </c>
      <c r="H15" s="121">
        <f>_xll.qlRateHelperEarliestDate($D15)</f>
        <v>42250</v>
      </c>
      <c r="I15" s="121">
        <f>_xll.qlRateHelperMaturityDate(D15)</f>
        <v>42524</v>
      </c>
      <c r="J15" s="122">
        <f>_xll.qlRateHelperPillarDate($D15)</f>
        <v>42524</v>
      </c>
      <c r="K15" s="114">
        <v>-1.3989415521719537E-3</v>
      </c>
      <c r="L15" s="13">
        <v>1.0010583894756928</v>
      </c>
      <c r="M15" s="123"/>
      <c r="N15" s="115"/>
      <c r="O15" s="115"/>
      <c r="P15" s="115"/>
      <c r="Q15" s="125"/>
      <c r="R15" s="25"/>
      <c r="S15" s="25"/>
      <c r="T15" s="115"/>
      <c r="U15" s="124"/>
      <c r="V15" s="115"/>
      <c r="W15" s="25"/>
      <c r="X15" s="115"/>
      <c r="Y15" s="124"/>
    </row>
    <row r="16" spans="1:25" x14ac:dyDescent="0.2">
      <c r="C16" s="118"/>
      <c r="D16" s="119" t="str">
        <v>obj_0058f</v>
      </c>
      <c r="E16" s="119" t="str">
        <f>_xll.qlRateHelperQuoteName(D16)</f>
        <v>EUR10MOIS_LCHQuote</v>
      </c>
      <c r="F16" s="120">
        <f>_xll.qlRateHelperQuoteValue($D16)</f>
        <v>-1.3875000000000001E-3</v>
      </c>
      <c r="G16" s="120" t="str">
        <f>IF(ISERROR(_xll.qlSwapRateHelperSpread($D16)),IF(ISERROR(_xll.qlFuturesRateHelperConvexityAdjustment($D16)),"--",_xll.qlFuturesRateHelperConvexityAdjustment($D16)),_xll.qlSwapRateHelperSpread($D16))</f>
        <v>--</v>
      </c>
      <c r="H16" s="121">
        <f>_xll.qlRateHelperEarliestDate($D16)</f>
        <v>42250</v>
      </c>
      <c r="I16" s="121">
        <f>_xll.qlRateHelperMaturityDate(D16)</f>
        <v>42555</v>
      </c>
      <c r="J16" s="122">
        <f>_xll.qlRateHelperPillarDate($D16)</f>
        <v>42555</v>
      </c>
      <c r="K16" s="114">
        <v>-1.4066847429405895E-3</v>
      </c>
      <c r="L16" s="13">
        <v>1.0011838569624698</v>
      </c>
      <c r="M16" s="123"/>
      <c r="N16" s="115"/>
      <c r="O16" s="115"/>
      <c r="P16" s="115"/>
      <c r="Q16" s="125"/>
      <c r="R16" s="25"/>
      <c r="S16" s="25"/>
      <c r="T16" s="115"/>
      <c r="U16" s="124"/>
      <c r="V16" s="115"/>
      <c r="W16" s="25"/>
      <c r="X16" s="115"/>
      <c r="Y16" s="124"/>
    </row>
    <row r="17" spans="3:25" x14ac:dyDescent="0.2">
      <c r="C17" s="118"/>
      <c r="D17" s="119" t="str">
        <v>obj_00597</v>
      </c>
      <c r="E17" s="119" t="str">
        <f>_xll.qlRateHelperQuoteName(D17)</f>
        <v>EUR11MOIS_LCHQuote</v>
      </c>
      <c r="F17" s="120">
        <f>_xll.qlRateHelperQuoteValue($D17)</f>
        <v>-1.4366667000000001E-3</v>
      </c>
      <c r="G17" s="120" t="str">
        <f>IF(ISERROR(_xll.qlSwapRateHelperSpread($D17)),IF(ISERROR(_xll.qlFuturesRateHelperConvexityAdjustment($D17)),"--",_xll.qlFuturesRateHelperConvexityAdjustment($D17)),_xll.qlSwapRateHelperSpread($D17))</f>
        <v>--</v>
      </c>
      <c r="H17" s="121">
        <f>_xll.qlRateHelperEarliestDate($D17)</f>
        <v>42250</v>
      </c>
      <c r="I17" s="121">
        <f>_xll.qlRateHelperMaturityDate(D17)</f>
        <v>42585</v>
      </c>
      <c r="J17" s="122">
        <f>_xll.qlRateHelperPillarDate($D17)</f>
        <v>42585</v>
      </c>
      <c r="K17" s="114">
        <v>-1.4564659782794771E-3</v>
      </c>
      <c r="L17" s="13">
        <v>1.0013456416456461</v>
      </c>
      <c r="M17" s="123"/>
      <c r="N17" s="115"/>
      <c r="O17" s="115"/>
      <c r="P17" s="115"/>
      <c r="Q17" s="125"/>
      <c r="R17" s="25"/>
      <c r="S17" s="25"/>
      <c r="T17" s="115"/>
      <c r="U17" s="124"/>
      <c r="V17" s="115"/>
      <c r="W17" s="25"/>
      <c r="X17" s="115"/>
      <c r="Y17" s="124"/>
    </row>
    <row r="18" spans="3:25" x14ac:dyDescent="0.2">
      <c r="C18" s="118"/>
      <c r="D18" s="119" t="str">
        <v>obj_00581</v>
      </c>
      <c r="E18" s="119" t="str">
        <f>_xll.qlRateHelperQuoteName(D18)</f>
        <v>EUR1YOIS_LCHQuote</v>
      </c>
      <c r="F18" s="120">
        <f>_xll.qlRateHelperQuoteValue($D18)</f>
        <v>-1.4366667000000001E-3</v>
      </c>
      <c r="G18" s="120" t="str">
        <f>IF(ISERROR(_xll.qlSwapRateHelperSpread($D18)),IF(ISERROR(_xll.qlFuturesRateHelperConvexityAdjustment($D18)),"--",_xll.qlFuturesRateHelperConvexityAdjustment($D18)),_xll.qlSwapRateHelperSpread($D18))</f>
        <v>--</v>
      </c>
      <c r="H18" s="121">
        <f>_xll.qlRateHelperEarliestDate($D18)</f>
        <v>42250</v>
      </c>
      <c r="I18" s="121">
        <f>_xll.qlRateHelperMaturityDate(D18)</f>
        <v>42618</v>
      </c>
      <c r="J18" s="122">
        <f>_xll.qlRateHelperPillarDate($D18)</f>
        <v>42618</v>
      </c>
      <c r="K18" s="114">
        <v>-1.4566622449617064E-3</v>
      </c>
      <c r="L18" s="13">
        <v>1.0014777072572663</v>
      </c>
      <c r="M18" s="123"/>
      <c r="N18" s="115"/>
      <c r="O18" s="115"/>
      <c r="P18" s="115"/>
      <c r="Q18" s="125"/>
      <c r="R18" s="25"/>
      <c r="S18" s="25"/>
      <c r="T18" s="115"/>
      <c r="U18" s="124"/>
      <c r="V18" s="115"/>
      <c r="W18" s="25"/>
      <c r="X18" s="115"/>
      <c r="Y18" s="124"/>
    </row>
    <row r="19" spans="3:25" x14ac:dyDescent="0.2">
      <c r="C19" s="118"/>
      <c r="D19" s="119" t="str">
        <v>obj_0059f</v>
      </c>
      <c r="E19" s="119" t="str">
        <f>_xll.qlRateHelperQuoteName(D19)</f>
        <v>EUR15MOIS_LCHQuote</v>
      </c>
      <c r="F19" s="120">
        <f>_xll.qlRateHelperQuoteValue($D19)</f>
        <v>-1.4400000000000001E-3</v>
      </c>
      <c r="G19" s="120" t="str">
        <f>IF(ISERROR(_xll.qlSwapRateHelperSpread($D19)),IF(ISERROR(_xll.qlFuturesRateHelperConvexityAdjustment($D19)),"--",_xll.qlFuturesRateHelperConvexityAdjustment($D19)),_xll.qlSwapRateHelperSpread($D19))</f>
        <v>--</v>
      </c>
      <c r="H19" s="121">
        <f>_xll.qlRateHelperEarliestDate($D19)</f>
        <v>42250</v>
      </c>
      <c r="I19" s="121">
        <f>_xll.qlRateHelperMaturityDate(D19)</f>
        <v>42709</v>
      </c>
      <c r="J19" s="122">
        <f>_xll.qlRateHelperPillarDate($D19)</f>
        <v>42709</v>
      </c>
      <c r="K19" s="114">
        <v>-1.4600657011260567E-3</v>
      </c>
      <c r="L19" s="13">
        <v>1.001845784348103</v>
      </c>
      <c r="M19" s="123"/>
      <c r="N19" s="115"/>
      <c r="O19" s="115"/>
      <c r="P19" s="115"/>
      <c r="Q19" s="125"/>
      <c r="R19" s="25"/>
      <c r="S19" s="25"/>
      <c r="T19" s="115"/>
      <c r="U19" s="124"/>
      <c r="V19" s="115"/>
      <c r="W19" s="25"/>
      <c r="X19" s="115"/>
      <c r="Y19" s="124"/>
    </row>
    <row r="20" spans="3:25" x14ac:dyDescent="0.2">
      <c r="C20" s="118"/>
      <c r="D20" s="119" t="str">
        <v>obj_00598</v>
      </c>
      <c r="E20" s="119" t="str">
        <f>_xll.qlRateHelperQuoteName(D20)</f>
        <v>EUR18MOIS_LCHQuote</v>
      </c>
      <c r="F20" s="120">
        <f>_xll.qlRateHelperQuoteValue($D20)</f>
        <v>-1.4033333E-3</v>
      </c>
      <c r="G20" s="120" t="str">
        <f>IF(ISERROR(_xll.qlSwapRateHelperSpread($D20)),IF(ISERROR(_xll.qlFuturesRateHelperConvexityAdjustment($D20)),"--",_xll.qlFuturesRateHelperConvexityAdjustment($D20)),_xll.qlSwapRateHelperSpread($D20))</f>
        <v>--</v>
      </c>
      <c r="H20" s="121">
        <f>_xll.qlRateHelperEarliestDate($D20)</f>
        <v>42250</v>
      </c>
      <c r="I20" s="121">
        <f>_xll.qlRateHelperMaturityDate(D20)</f>
        <v>42797</v>
      </c>
      <c r="J20" s="122">
        <f>_xll.qlRateHelperPillarDate($D20)</f>
        <v>42797</v>
      </c>
      <c r="K20" s="114">
        <v>-1.4230859768645089E-3</v>
      </c>
      <c r="L20" s="13">
        <v>1.0021427697206491</v>
      </c>
      <c r="M20" s="123"/>
      <c r="N20" s="115"/>
      <c r="O20" s="115"/>
      <c r="P20" s="115"/>
      <c r="Q20" s="125"/>
      <c r="R20" s="25"/>
      <c r="S20" s="25"/>
      <c r="T20" s="115"/>
      <c r="U20" s="124"/>
      <c r="V20" s="115"/>
      <c r="W20" s="25"/>
      <c r="X20" s="115"/>
      <c r="Y20" s="124"/>
    </row>
    <row r="21" spans="3:25" x14ac:dyDescent="0.2">
      <c r="C21" s="118"/>
      <c r="D21" s="119" t="str">
        <v>obj_00595</v>
      </c>
      <c r="E21" s="119" t="str">
        <f>_xll.qlRateHelperQuoteName(D21)</f>
        <v>EUR21MOIS_LCHQuote</v>
      </c>
      <c r="F21" s="120">
        <f>_xll.qlRateHelperQuoteValue($D21)</f>
        <v>-1.31E-3</v>
      </c>
      <c r="G21" s="120" t="str">
        <f>IF(ISERROR(_xll.qlSwapRateHelperSpread($D21)),IF(ISERROR(_xll.qlFuturesRateHelperConvexityAdjustment($D21)),"--",_xll.qlFuturesRateHelperConvexityAdjustment($D21)),_xll.qlSwapRateHelperSpread($D21))</f>
        <v>--</v>
      </c>
      <c r="H21" s="121">
        <f>_xll.qlRateHelperEarliestDate($D21)</f>
        <v>42250</v>
      </c>
      <c r="I21" s="121">
        <f>_xll.qlRateHelperMaturityDate(D21)</f>
        <v>42891</v>
      </c>
      <c r="J21" s="122">
        <f>_xll.qlRateHelperPillarDate($D21)</f>
        <v>42891</v>
      </c>
      <c r="K21" s="114">
        <v>-1.3288244150142813E-3</v>
      </c>
      <c r="L21" s="13">
        <v>1.0023436574208853</v>
      </c>
      <c r="M21" s="123"/>
      <c r="N21" s="115"/>
      <c r="O21" s="115"/>
      <c r="P21" s="115"/>
      <c r="Q21" s="125"/>
      <c r="R21" s="25"/>
      <c r="S21" s="25"/>
      <c r="T21" s="115"/>
      <c r="U21" s="124"/>
      <c r="V21" s="115"/>
      <c r="W21" s="25"/>
      <c r="X21" s="115"/>
      <c r="Y21" s="124"/>
    </row>
    <row r="22" spans="3:25" x14ac:dyDescent="0.2">
      <c r="C22" s="118"/>
      <c r="D22" s="119" t="str">
        <v>obj_0058a</v>
      </c>
      <c r="E22" s="119" t="str">
        <f>_xll.qlRateHelperQuoteName(D22)</f>
        <v>EUR2YOIS_LCHQuote</v>
      </c>
      <c r="F22" s="120">
        <f>_xll.qlRateHelperQuoteValue($D22)</f>
        <v>-1.175E-3</v>
      </c>
      <c r="G22" s="120" t="str">
        <f>IF(ISERROR(_xll.qlSwapRateHelperSpread($D22)),IF(ISERROR(_xll.qlFuturesRateHelperConvexityAdjustment($D22)),"--",_xll.qlFuturesRateHelperConvexityAdjustment($D22)),_xll.qlSwapRateHelperSpread($D22))</f>
        <v>--</v>
      </c>
      <c r="H22" s="121">
        <f>_xll.qlRateHelperEarliestDate($D22)</f>
        <v>42250</v>
      </c>
      <c r="I22" s="121">
        <f>_xll.qlRateHelperMaturityDate(D22)</f>
        <v>42982</v>
      </c>
      <c r="J22" s="122">
        <f>_xll.qlRateHelperPillarDate($D22)</f>
        <v>42982</v>
      </c>
      <c r="K22" s="114">
        <v>-1.192396858680474E-3</v>
      </c>
      <c r="L22" s="13">
        <v>1.0024007382483058</v>
      </c>
      <c r="M22" s="123"/>
      <c r="N22" s="115"/>
      <c r="O22" s="115"/>
      <c r="P22" s="115"/>
      <c r="Q22" s="125"/>
      <c r="R22" s="25"/>
      <c r="S22" s="25"/>
      <c r="T22" s="115"/>
      <c r="U22" s="124"/>
      <c r="V22" s="115"/>
      <c r="W22" s="25"/>
      <c r="X22" s="115"/>
      <c r="Y22" s="124"/>
    </row>
    <row r="23" spans="3:25" x14ac:dyDescent="0.2">
      <c r="C23" s="118"/>
      <c r="D23" s="119" t="str">
        <v>obj_0057f</v>
      </c>
      <c r="E23" s="119" t="str">
        <f>_xll.qlRateHelperQuoteName(D23)</f>
        <v>EUR1EON3E3Y_LCHQuote</v>
      </c>
      <c r="F23" s="120">
        <f>_xll.qlRateHelperQuoteValue($D23)</f>
        <v>-4.8200000000000001E-4</v>
      </c>
      <c r="G23" s="120">
        <f>IF(ISERROR(_xll.qlSwapRateHelperSpread($D23)),IF(ISERROR(_xll.qlFuturesRateHelperConvexityAdjustment($D23)),"--",_xll.qlFuturesRateHelperConvexityAdjustment($D23)),_xll.qlSwapRateHelperSpread($D23))</f>
        <v>0</v>
      </c>
      <c r="H23" s="121">
        <f>_xll.qlRateHelperEarliestDate($D23)</f>
        <v>42250</v>
      </c>
      <c r="I23" s="121">
        <f>_xll.qlRateHelperMaturityDate(D23)</f>
        <v>43346</v>
      </c>
      <c r="J23" s="122">
        <f>_xll.qlRateHelperPillarDate($D23)</f>
        <v>43346</v>
      </c>
      <c r="K23" s="114">
        <v>-4.9062081552987669E-4</v>
      </c>
      <c r="L23" s="13">
        <v>1.0014769846153979</v>
      </c>
      <c r="M23" s="123"/>
      <c r="N23" s="115"/>
      <c r="O23" s="115"/>
      <c r="P23" s="115"/>
      <c r="Q23" s="125"/>
      <c r="R23" s="25"/>
      <c r="S23" s="25"/>
      <c r="T23" s="115"/>
      <c r="U23" s="124"/>
      <c r="V23" s="115"/>
      <c r="W23" s="25"/>
      <c r="X23" s="115"/>
      <c r="Y23" s="124"/>
    </row>
    <row r="24" spans="3:25" x14ac:dyDescent="0.2">
      <c r="C24" s="118"/>
      <c r="D24" s="119" t="str">
        <v>obj_0058d</v>
      </c>
      <c r="E24" s="119" t="str">
        <f>_xll.qlRateHelperQuoteName(D24)</f>
        <v>EUR1EON3E4Y_LCHQuote</v>
      </c>
      <c r="F24" s="120">
        <f>_xll.qlRateHelperQuoteValue($D24)</f>
        <v>6.8274999999999998E-4</v>
      </c>
      <c r="G24" s="120">
        <f>IF(ISERROR(_xll.qlSwapRateHelperSpread($D24)),IF(ISERROR(_xll.qlFuturesRateHelperConvexityAdjustment($D24)),"--",_xll.qlFuturesRateHelperConvexityAdjustment($D24)),_xll.qlSwapRateHelperSpread($D24))</f>
        <v>0</v>
      </c>
      <c r="H24" s="121">
        <f>_xll.qlRateHelperEarliestDate($D24)</f>
        <v>42250</v>
      </c>
      <c r="I24" s="121">
        <f>_xll.qlRateHelperMaturityDate(D24)</f>
        <v>43711</v>
      </c>
      <c r="J24" s="122">
        <f>_xll.qlRateHelperPillarDate($D24)</f>
        <v>43711</v>
      </c>
      <c r="K24" s="114">
        <v>6.9095720422038005E-4</v>
      </c>
      <c r="L24" s="13">
        <v>0.99723432363187814</v>
      </c>
      <c r="M24" s="123"/>
      <c r="N24" s="115"/>
      <c r="O24" s="115"/>
      <c r="P24" s="115"/>
      <c r="Q24" s="125"/>
      <c r="R24" s="25"/>
      <c r="S24" s="25"/>
      <c r="T24" s="115"/>
      <c r="U24" s="124"/>
      <c r="V24" s="115"/>
      <c r="W24" s="25"/>
      <c r="X24" s="115"/>
      <c r="Y24" s="124"/>
    </row>
    <row r="25" spans="3:25" x14ac:dyDescent="0.2">
      <c r="C25" s="118"/>
      <c r="D25" s="119" t="str">
        <v>obj_00588</v>
      </c>
      <c r="E25" s="119" t="str">
        <f>_xll.qlRateHelperQuoteName(D25)</f>
        <v>EUR1EON3E5Y_LCHQuote</v>
      </c>
      <c r="F25" s="120">
        <f>_xll.qlRateHelperQuoteValue($D25)</f>
        <v>2.0430000000000001E-3</v>
      </c>
      <c r="G25" s="120">
        <f>IF(ISERROR(_xll.qlSwapRateHelperSpread($D25)),IF(ISERROR(_xll.qlFuturesRateHelperConvexityAdjustment($D25)),"--",_xll.qlFuturesRateHelperConvexityAdjustment($D25)),_xll.qlSwapRateHelperSpread($D25))</f>
        <v>0</v>
      </c>
      <c r="H25" s="121">
        <f>_xll.qlRateHelperEarliestDate($D25)</f>
        <v>42250</v>
      </c>
      <c r="I25" s="121">
        <f>_xll.qlRateHelperMaturityDate(D25)</f>
        <v>44077</v>
      </c>
      <c r="J25" s="122">
        <f>_xll.qlRateHelperPillarDate($D25)</f>
        <v>44077</v>
      </c>
      <c r="K25" s="114">
        <v>2.0752602289127666E-3</v>
      </c>
      <c r="L25" s="13">
        <v>0.98965483939338306</v>
      </c>
      <c r="M25" s="123"/>
      <c r="N25" s="115"/>
      <c r="O25" s="115"/>
      <c r="P25" s="115"/>
      <c r="Q25" s="125"/>
      <c r="R25" s="25"/>
      <c r="S25" s="25"/>
      <c r="T25" s="115"/>
      <c r="U25" s="124"/>
      <c r="V25" s="115"/>
      <c r="W25" s="25"/>
      <c r="X25" s="115"/>
      <c r="Y25" s="124"/>
    </row>
    <row r="26" spans="3:25" x14ac:dyDescent="0.2">
      <c r="C26" s="118"/>
      <c r="D26" s="119" t="str">
        <v>obj_0058c</v>
      </c>
      <c r="E26" s="119" t="str">
        <f>_xll.qlRateHelperQuoteName(D26)</f>
        <v>EUR1EON3E6Y_LCHQuote</v>
      </c>
      <c r="F26" s="120">
        <f>_xll.qlRateHelperQuoteValue($D26)</f>
        <v>3.5070499999999998E-3</v>
      </c>
      <c r="G26" s="120">
        <f>IF(ISERROR(_xll.qlSwapRateHelperSpread($D26)),IF(ISERROR(_xll.qlFuturesRateHelperConvexityAdjustment($D26)),"--",_xll.qlFuturesRateHelperConvexityAdjustment($D26)),_xll.qlSwapRateHelperSpread($D26))</f>
        <v>0</v>
      </c>
      <c r="H26" s="121">
        <f>_xll.qlRateHelperEarliestDate($D26)</f>
        <v>42250</v>
      </c>
      <c r="I26" s="121">
        <f>_xll.qlRateHelperMaturityDate(D26)</f>
        <v>44442</v>
      </c>
      <c r="J26" s="122">
        <f>_xll.qlRateHelperPillarDate($D26)</f>
        <v>44442</v>
      </c>
      <c r="K26" s="114">
        <v>3.57227235774684E-3</v>
      </c>
      <c r="L26" s="13">
        <v>0.97875611656104866</v>
      </c>
      <c r="M26" s="123"/>
      <c r="N26" s="115"/>
      <c r="O26" s="115"/>
      <c r="P26" s="115"/>
      <c r="Q26" s="125"/>
      <c r="R26" s="25"/>
      <c r="S26" s="25"/>
      <c r="T26" s="115"/>
      <c r="U26" s="124"/>
      <c r="V26" s="115"/>
      <c r="W26" s="25"/>
      <c r="X26" s="115"/>
      <c r="Y26" s="124"/>
    </row>
    <row r="27" spans="3:25" x14ac:dyDescent="0.2">
      <c r="C27" s="118"/>
      <c r="D27" s="119" t="str">
        <v>obj_00584</v>
      </c>
      <c r="E27" s="119" t="str">
        <f>_xll.qlRateHelperQuoteName(D27)</f>
        <v>EUR1EON3E7Y_LCHQuote</v>
      </c>
      <c r="F27" s="120">
        <f>_xll.qlRateHelperQuoteValue($D27)</f>
        <v>4.9900999999999999E-3</v>
      </c>
      <c r="G27" s="120">
        <f>IF(ISERROR(_xll.qlSwapRateHelperSpread($D27)),IF(ISERROR(_xll.qlFuturesRateHelperConvexityAdjustment($D27)),"--",_xll.qlFuturesRateHelperConvexityAdjustment($D27)),_xll.qlSwapRateHelperSpread($D27))</f>
        <v>0</v>
      </c>
      <c r="H27" s="121">
        <f>_xll.qlRateHelperEarliestDate($D27)</f>
        <v>42250</v>
      </c>
      <c r="I27" s="121">
        <f>_xll.qlRateHelperMaturityDate(D27)</f>
        <v>44809</v>
      </c>
      <c r="J27" s="122">
        <f>_xll.qlRateHelperPillarDate($D27)</f>
        <v>44809</v>
      </c>
      <c r="K27" s="114">
        <v>5.0981648540946662E-3</v>
      </c>
      <c r="L27" s="13">
        <v>0.96486126055018184</v>
      </c>
      <c r="M27" s="123"/>
      <c r="N27" s="115"/>
      <c r="O27" s="115"/>
      <c r="P27" s="115"/>
      <c r="Q27" s="125"/>
      <c r="R27" s="25"/>
      <c r="S27" s="25"/>
      <c r="T27" s="115"/>
      <c r="U27" s="124"/>
      <c r="V27" s="115"/>
      <c r="W27" s="25"/>
      <c r="X27" s="115"/>
      <c r="Y27" s="124"/>
    </row>
    <row r="28" spans="3:25" x14ac:dyDescent="0.2">
      <c r="C28" s="118"/>
      <c r="D28" s="119" t="str">
        <v>obj_0057c</v>
      </c>
      <c r="E28" s="119" t="str">
        <f>_xll.qlRateHelperQuoteName(D28)</f>
        <v>EUR1EON3E8Y_LCHQuote</v>
      </c>
      <c r="F28" s="120">
        <f>_xll.qlRateHelperQuoteValue($D28)</f>
        <v>6.3995500000000004E-3</v>
      </c>
      <c r="G28" s="120">
        <f>IF(ISERROR(_xll.qlSwapRateHelperSpread($D28)),IF(ISERROR(_xll.qlFuturesRateHelperConvexityAdjustment($D28)),"--",_xll.qlFuturesRateHelperConvexityAdjustment($D28)),_xll.qlSwapRateHelperSpread($D28))</f>
        <v>0</v>
      </c>
      <c r="H28" s="121">
        <f>_xll.qlRateHelperEarliestDate($D28)</f>
        <v>42250</v>
      </c>
      <c r="I28" s="121">
        <f>_xll.qlRateHelperMaturityDate(D28)</f>
        <v>45173</v>
      </c>
      <c r="J28" s="122">
        <f>_xll.qlRateHelperPillarDate($D28)</f>
        <v>45173</v>
      </c>
      <c r="K28" s="114">
        <v>6.5590756173701777E-3</v>
      </c>
      <c r="L28" s="13">
        <v>0.94879506193468333</v>
      </c>
      <c r="M28" s="123"/>
      <c r="N28" s="115"/>
      <c r="O28" s="115"/>
      <c r="P28" s="115"/>
      <c r="Q28" s="125"/>
      <c r="R28" s="25"/>
      <c r="S28" s="25"/>
      <c r="T28" s="115"/>
      <c r="U28" s="124"/>
      <c r="V28" s="115"/>
      <c r="W28" s="25"/>
      <c r="X28" s="115"/>
      <c r="Y28" s="124"/>
    </row>
    <row r="29" spans="3:25" x14ac:dyDescent="0.2">
      <c r="C29" s="118"/>
      <c r="D29" s="119" t="str">
        <v>obj_0057b</v>
      </c>
      <c r="E29" s="119" t="str">
        <f>_xll.qlRateHelperQuoteName(D29)</f>
        <v>EUR1EON3E9Y_LCHQuote</v>
      </c>
      <c r="F29" s="120">
        <f>_xll.qlRateHelperQuoteValue($D29)</f>
        <v>7.7026000000000004E-3</v>
      </c>
      <c r="G29" s="120">
        <f>IF(ISERROR(_xll.qlSwapRateHelperSpread($D29)),IF(ISERROR(_xll.qlFuturesRateHelperConvexityAdjustment($D29)),"--",_xll.qlFuturesRateHelperConvexityAdjustment($D29)),_xll.qlSwapRateHelperSpread($D29))</f>
        <v>0</v>
      </c>
      <c r="H29" s="121">
        <f>_xll.qlRateHelperEarliestDate($D29)</f>
        <v>42250</v>
      </c>
      <c r="I29" s="121">
        <f>_xll.qlRateHelperMaturityDate(D29)</f>
        <v>45538</v>
      </c>
      <c r="J29" s="122">
        <f>_xll.qlRateHelperPillarDate($D29)</f>
        <v>45538</v>
      </c>
      <c r="K29" s="114">
        <v>7.920483272519166E-3</v>
      </c>
      <c r="L29" s="13">
        <v>0.93109603991381495</v>
      </c>
      <c r="M29" s="123"/>
      <c r="N29" s="115"/>
      <c r="O29" s="115"/>
      <c r="P29" s="115"/>
      <c r="Q29" s="125"/>
      <c r="R29" s="25"/>
      <c r="S29" s="25"/>
      <c r="T29" s="115"/>
      <c r="U29" s="124"/>
      <c r="V29" s="115"/>
      <c r="W29" s="25"/>
      <c r="X29" s="115"/>
      <c r="Y29" s="124"/>
    </row>
    <row r="30" spans="3:25" x14ac:dyDescent="0.2">
      <c r="C30" s="118"/>
      <c r="D30" s="119" t="str">
        <v>obj_0057a</v>
      </c>
      <c r="E30" s="119" t="str">
        <f>_xll.qlRateHelperQuoteName(D30)</f>
        <v>EUR1EON3E10Y_LCHQuote</v>
      </c>
      <c r="F30" s="120">
        <f>_xll.qlRateHelperQuoteValue($D30)</f>
        <v>8.8521999999999993E-3</v>
      </c>
      <c r="G30" s="120">
        <f>IF(ISERROR(_xll.qlSwapRateHelperSpread($D30)),IF(ISERROR(_xll.qlFuturesRateHelperConvexityAdjustment($D30)),"--",_xll.qlFuturesRateHelperConvexityAdjustment($D30)),_xll.qlSwapRateHelperSpread($D30))</f>
        <v>0</v>
      </c>
      <c r="H30" s="121">
        <f>_xll.qlRateHelperEarliestDate($D30)</f>
        <v>42250</v>
      </c>
      <c r="I30" s="121">
        <f>_xll.qlRateHelperMaturityDate(D30)</f>
        <v>45903</v>
      </c>
      <c r="J30" s="122">
        <f>_xll.qlRateHelperPillarDate($D30)</f>
        <v>45903</v>
      </c>
      <c r="K30" s="114">
        <v>9.1310281191081845E-3</v>
      </c>
      <c r="L30" s="13">
        <v>0.9126203025846733</v>
      </c>
      <c r="M30" s="123"/>
      <c r="N30" s="115"/>
      <c r="O30" s="115"/>
      <c r="P30" s="115"/>
      <c r="Q30" s="125"/>
      <c r="R30" s="25"/>
      <c r="S30" s="25"/>
      <c r="T30" s="115"/>
      <c r="U30" s="124"/>
      <c r="V30" s="115"/>
      <c r="W30" s="25"/>
      <c r="X30" s="115"/>
      <c r="Y30" s="124"/>
    </row>
    <row r="31" spans="3:25" x14ac:dyDescent="0.2">
      <c r="C31" s="118"/>
      <c r="D31" s="119" t="str">
        <v>obj_00587</v>
      </c>
      <c r="E31" s="119" t="str">
        <f>_xll.qlRateHelperQuoteName(D31)</f>
        <v>EUR1EON3E12Y_LCHQuote</v>
      </c>
      <c r="F31" s="120">
        <f>_xll.qlRateHelperQuoteValue($D31)</f>
        <v>1.0721400000000001E-2</v>
      </c>
      <c r="G31" s="120">
        <f>IF(ISERROR(_xll.qlSwapRateHelperSpread($D31)),IF(ISERROR(_xll.qlFuturesRateHelperConvexityAdjustment($D31)),"--",_xll.qlFuturesRateHelperConvexityAdjustment($D31)),_xll.qlSwapRateHelperSpread($D31))</f>
        <v>0</v>
      </c>
      <c r="H31" s="121">
        <f>_xll.qlRateHelperEarliestDate($D31)</f>
        <v>42250</v>
      </c>
      <c r="I31" s="121">
        <f>_xll.qlRateHelperMaturityDate(D31)</f>
        <v>46633</v>
      </c>
      <c r="J31" s="122">
        <f>_xll.qlRateHelperPillarDate($D31)</f>
        <v>46633</v>
      </c>
      <c r="K31" s="114">
        <v>1.1121197745133024E-2</v>
      </c>
      <c r="L31" s="13">
        <v>0.87494092457965478</v>
      </c>
      <c r="M31" s="123"/>
      <c r="N31" s="115"/>
      <c r="O31" s="115"/>
      <c r="P31" s="115"/>
      <c r="Q31" s="125"/>
      <c r="R31" s="25"/>
      <c r="S31" s="25"/>
      <c r="T31" s="115"/>
      <c r="U31" s="124"/>
      <c r="V31" s="115"/>
      <c r="W31" s="25"/>
      <c r="X31" s="115"/>
      <c r="Y31" s="124"/>
    </row>
    <row r="32" spans="3:25" x14ac:dyDescent="0.2">
      <c r="C32" s="118"/>
      <c r="D32" s="119" t="str">
        <v>obj_0057e</v>
      </c>
      <c r="E32" s="119" t="str">
        <f>_xll.qlRateHelperQuoteName(D32)</f>
        <v>EUR1EON3E15Y_LCHQuote</v>
      </c>
      <c r="F32" s="120">
        <f>_xll.qlRateHelperQuoteValue($D32)</f>
        <v>1.27002E-2</v>
      </c>
      <c r="G32" s="120">
        <f>IF(ISERROR(_xll.qlSwapRateHelperSpread($D32)),IF(ISERROR(_xll.qlFuturesRateHelperConvexityAdjustment($D32)),"--",_xll.qlFuturesRateHelperConvexityAdjustment($D32)),_xll.qlSwapRateHelperSpread($D32))</f>
        <v>0</v>
      </c>
      <c r="H32" s="121">
        <f>_xll.qlRateHelperEarliestDate($D32)</f>
        <v>42250</v>
      </c>
      <c r="I32" s="121">
        <f>_xll.qlRateHelperMaturityDate(D32)</f>
        <v>47729</v>
      </c>
      <c r="J32" s="122">
        <f>_xll.qlRateHelperPillarDate($D32)</f>
        <v>47729</v>
      </c>
      <c r="K32" s="114">
        <v>1.3261847133437981E-2</v>
      </c>
      <c r="L32" s="13">
        <v>0.81946831946617482</v>
      </c>
      <c r="M32" s="123"/>
      <c r="N32" s="115"/>
      <c r="O32" s="115"/>
      <c r="P32" s="115"/>
      <c r="Q32" s="125"/>
      <c r="R32" s="25"/>
      <c r="S32" s="25"/>
      <c r="T32" s="115"/>
      <c r="U32" s="124"/>
      <c r="V32" s="115"/>
      <c r="W32" s="25"/>
      <c r="X32" s="115"/>
      <c r="Y32" s="124"/>
    </row>
    <row r="33" spans="3:25" x14ac:dyDescent="0.2">
      <c r="C33" s="118"/>
      <c r="D33" s="119" t="str">
        <v>obj_00583</v>
      </c>
      <c r="E33" s="119" t="str">
        <f>_xll.qlRateHelperQuoteName(D33)</f>
        <v>EUR1EON3E20Y_LCHQuote</v>
      </c>
      <c r="F33" s="120">
        <f>_xll.qlRateHelperQuoteValue($D33)</f>
        <v>1.43558E-2</v>
      </c>
      <c r="G33" s="120">
        <f>IF(ISERROR(_xll.qlSwapRateHelperSpread($D33)),IF(ISERROR(_xll.qlFuturesRateHelperConvexityAdjustment($D33)),"--",_xll.qlFuturesRateHelperConvexityAdjustment($D33)),_xll.qlSwapRateHelperSpread($D33))</f>
        <v>0</v>
      </c>
      <c r="H33" s="121">
        <f>_xll.qlRateHelperEarliestDate($D33)</f>
        <v>42250</v>
      </c>
      <c r="I33" s="121">
        <f>_xll.qlRateHelperMaturityDate(D33)</f>
        <v>49555</v>
      </c>
      <c r="J33" s="122">
        <f>_xll.qlRateHelperPillarDate($D33)</f>
        <v>49555</v>
      </c>
      <c r="K33" s="114">
        <v>1.5062889566104527E-2</v>
      </c>
      <c r="L33" s="13">
        <v>0.73985088328709103</v>
      </c>
      <c r="M33" s="123"/>
      <c r="N33" s="115"/>
      <c r="O33" s="115"/>
      <c r="P33" s="115"/>
      <c r="Q33" s="125"/>
      <c r="R33" s="25"/>
      <c r="S33" s="25"/>
      <c r="T33" s="115"/>
      <c r="U33" s="124"/>
      <c r="V33" s="115"/>
      <c r="W33" s="25"/>
      <c r="X33" s="115"/>
      <c r="Y33" s="124"/>
    </row>
    <row r="34" spans="3:25" x14ac:dyDescent="0.2">
      <c r="C34" s="118"/>
      <c r="D34" s="119" t="str">
        <v>obj_00589</v>
      </c>
      <c r="E34" s="119" t="str">
        <f>_xll.qlRateHelperQuoteName(D34)</f>
        <v>EUR1EON3E25Y_LCHQuote</v>
      </c>
      <c r="F34" s="120">
        <f>_xll.qlRateHelperQuoteValue($D34)</f>
        <v>1.4874699999999999E-2</v>
      </c>
      <c r="G34" s="120">
        <f>IF(ISERROR(_xll.qlSwapRateHelperSpread($D34)),IF(ISERROR(_xll.qlFuturesRateHelperConvexityAdjustment($D34)),"--",_xll.qlFuturesRateHelperConvexityAdjustment($D34)),_xll.qlSwapRateHelperSpread($D34))</f>
        <v>0</v>
      </c>
      <c r="H34" s="121">
        <f>_xll.qlRateHelperEarliestDate($D34)</f>
        <v>42250</v>
      </c>
      <c r="I34" s="121">
        <f>_xll.qlRateHelperMaturityDate(D34)</f>
        <v>51382</v>
      </c>
      <c r="J34" s="122">
        <f>_xll.qlRateHelperPillarDate($D34)</f>
        <v>51382</v>
      </c>
      <c r="K34" s="114">
        <v>1.5572392124158384E-2</v>
      </c>
      <c r="L34" s="13">
        <v>0.67750030459971999</v>
      </c>
      <c r="M34" s="123"/>
      <c r="N34" s="115"/>
      <c r="O34" s="115"/>
      <c r="P34" s="115"/>
      <c r="Q34" s="125"/>
      <c r="R34" s="25"/>
      <c r="S34" s="25"/>
      <c r="T34" s="115"/>
      <c r="U34" s="124"/>
      <c r="V34" s="115"/>
      <c r="W34" s="25"/>
      <c r="X34" s="115"/>
      <c r="Y34" s="124"/>
    </row>
    <row r="35" spans="3:25" x14ac:dyDescent="0.2">
      <c r="C35" s="118"/>
      <c r="D35" s="119" t="str">
        <v>obj_0057d</v>
      </c>
      <c r="E35" s="119" t="str">
        <f>_xll.qlRateHelperQuoteName(D35)</f>
        <v>EUR1EON3E30Y_LCHQuote</v>
      </c>
      <c r="F35" s="120">
        <f>_xll.qlRateHelperQuoteValue($D35)</f>
        <v>1.51054E-2</v>
      </c>
      <c r="G35" s="120">
        <f>IF(ISERROR(_xll.qlSwapRateHelperSpread($D35)),IF(ISERROR(_xll.qlFuturesRateHelperConvexityAdjustment($D35)),"--",_xll.qlFuturesRateHelperConvexityAdjustment($D35)),_xll.qlSwapRateHelperSpread($D35))</f>
        <v>0</v>
      </c>
      <c r="H35" s="121">
        <f>_xll.qlRateHelperEarliestDate($D35)</f>
        <v>42250</v>
      </c>
      <c r="I35" s="121">
        <f>_xll.qlRateHelperMaturityDate(D35)</f>
        <v>53209</v>
      </c>
      <c r="J35" s="122">
        <f>_xll.qlRateHelperPillarDate($D35)</f>
        <v>53209</v>
      </c>
      <c r="K35" s="114">
        <v>1.576516461820451E-2</v>
      </c>
      <c r="L35" s="13">
        <v>0.62308650098718765</v>
      </c>
      <c r="M35" s="123"/>
      <c r="N35" s="115"/>
      <c r="O35" s="115"/>
      <c r="P35" s="115"/>
      <c r="Q35" s="125"/>
      <c r="R35" s="25"/>
      <c r="S35" s="25"/>
      <c r="T35" s="115"/>
      <c r="U35" s="124"/>
      <c r="V35" s="115"/>
      <c r="W35" s="25"/>
      <c r="X35" s="115"/>
      <c r="Y35" s="124"/>
    </row>
    <row r="36" spans="3:25" x14ac:dyDescent="0.2">
      <c r="C36" s="118"/>
      <c r="D36" s="119" t="str">
        <v>obj_00579</v>
      </c>
      <c r="E36" s="119" t="str">
        <f>_xll.qlRateHelperQuoteName(D36)</f>
        <v>EUR1EON3E40Y_LCHQuote</v>
      </c>
      <c r="F36" s="120">
        <f>_xll.qlRateHelperQuoteValue($D36)</f>
        <v>1.5446E-2</v>
      </c>
      <c r="G36" s="120">
        <f>IF(ISERROR(_xll.qlSwapRateHelperSpread($D36)),IF(ISERROR(_xll.qlFuturesRateHelperConvexityAdjustment($D36)),"--",_xll.qlFuturesRateHelperConvexityAdjustment($D36)),_xll.qlSwapRateHelperSpread($D36))</f>
        <v>0</v>
      </c>
      <c r="H36" s="121">
        <f>_xll.qlRateHelperEarliestDate($D36)</f>
        <v>42250</v>
      </c>
      <c r="I36" s="121">
        <f>_xll.qlRateHelperMaturityDate(D36)</f>
        <v>56860</v>
      </c>
      <c r="J36" s="122">
        <f>_xll.qlRateHelperPillarDate($D36)</f>
        <v>56860</v>
      </c>
      <c r="K36" s="114">
        <v>1.6078729444672379E-2</v>
      </c>
      <c r="L36" s="13">
        <v>0.5256869791132136</v>
      </c>
      <c r="M36" s="123"/>
      <c r="N36" s="115"/>
      <c r="O36" s="115"/>
      <c r="P36" s="115"/>
      <c r="Q36" s="125"/>
      <c r="R36" s="25"/>
      <c r="S36" s="25"/>
      <c r="T36" s="115"/>
      <c r="U36" s="124"/>
      <c r="V36" s="115"/>
      <c r="W36" s="25"/>
      <c r="X36" s="115"/>
      <c r="Y36" s="124"/>
    </row>
    <row r="37" spans="3:25" x14ac:dyDescent="0.2">
      <c r="C37" s="118"/>
      <c r="D37" s="119" t="str">
        <v>obj_00586</v>
      </c>
      <c r="E37" s="119" t="str">
        <f>_xll.qlRateHelperQuoteName(D37)</f>
        <v>EUR1EON3E50Y_LCHQuote</v>
      </c>
      <c r="F37" s="120">
        <f>_xll.qlRateHelperQuoteValue($D37)</f>
        <v>1.5240999999999999E-2</v>
      </c>
      <c r="G37" s="120">
        <f>IF(ISERROR(_xll.qlSwapRateHelperSpread($D37)),IF(ISERROR(_xll.qlFuturesRateHelperConvexityAdjustment($D37)),"--",_xll.qlFuturesRateHelperConvexityAdjustment($D37)),_xll.qlSwapRateHelperSpread($D37))</f>
        <v>0</v>
      </c>
      <c r="H37" s="121">
        <f>_xll.qlRateHelperEarliestDate($D37)</f>
        <v>42250</v>
      </c>
      <c r="I37" s="121">
        <f>_xll.qlRateHelperMaturityDate(D37)</f>
        <v>60513</v>
      </c>
      <c r="J37" s="122">
        <f>_xll.qlRateHelperPillarDate($D37)</f>
        <v>60513</v>
      </c>
      <c r="K37" s="114">
        <v>1.567290618518068E-2</v>
      </c>
      <c r="L37" s="13">
        <v>0.4568082723363463</v>
      </c>
      <c r="M37" s="123"/>
      <c r="N37" s="115"/>
      <c r="O37" s="115"/>
      <c r="P37" s="115"/>
      <c r="Q37" s="125"/>
      <c r="R37" s="25"/>
      <c r="S37" s="25"/>
      <c r="T37" s="115"/>
      <c r="U37" s="124"/>
      <c r="V37" s="115"/>
      <c r="W37" s="25"/>
      <c r="X37" s="115"/>
      <c r="Y37" s="124"/>
    </row>
    <row r="38" spans="3:25" x14ac:dyDescent="0.2">
      <c r="D38" s="119" t="str">
        <v>obj_00585</v>
      </c>
      <c r="E38" s="119" t="str">
        <f>_xll.qlRateHelperQuoteName(D38)</f>
        <v>EUR1EON3E60Y_LCHQuote</v>
      </c>
      <c r="F38" s="120">
        <f>_xll.qlRateHelperQuoteValue($D38)</f>
        <v>1.5055000000000001E-2</v>
      </c>
      <c r="G38" s="120">
        <f>IF(ISERROR(_xll.qlSwapRateHelperSpread($D38)),IF(ISERROR(_xll.qlFuturesRateHelperConvexityAdjustment($D38)),"--",_xll.qlFuturesRateHelperConvexityAdjustment($D38)),_xll.qlSwapRateHelperSpread($D38))</f>
        <v>0</v>
      </c>
      <c r="H38" s="121">
        <f>_xll.qlRateHelperEarliestDate($D38)</f>
        <v>42250</v>
      </c>
      <c r="I38" s="121">
        <f>_xll.qlRateHelperMaturityDate(D38)</f>
        <v>64165</v>
      </c>
      <c r="J38" s="122">
        <f>_xll.qlRateHelperPillarDate($D38)</f>
        <v>64165</v>
      </c>
      <c r="K38" s="114">
        <v>1.5327201436951283E-2</v>
      </c>
      <c r="L38" s="13">
        <v>0.39863909166284439</v>
      </c>
      <c r="M38" s="123"/>
      <c r="N38" s="115"/>
      <c r="O38" s="115"/>
      <c r="P38" s="115"/>
      <c r="Q38" s="125"/>
      <c r="R38" s="25"/>
      <c r="S38" s="25"/>
      <c r="T38" s="115"/>
      <c r="U38" s="124"/>
      <c r="V38" s="115"/>
      <c r="W38" s="25"/>
      <c r="X38" s="115"/>
      <c r="Y38" s="124"/>
    </row>
    <row r="39" spans="3:25" x14ac:dyDescent="0.2">
      <c r="D39" s="119" t="e">
        <v>#N/A</v>
      </c>
      <c r="E39" s="119" t="e">
        <f>_xll.qlRateHelperQuoteName(D39)</f>
        <v>#VALUE!</v>
      </c>
      <c r="F39" s="120" t="e">
        <f>_xll.qlRateHelperQuoteValue($D39)</f>
        <v>#VALUE!</v>
      </c>
      <c r="G39" s="120" t="str">
        <f>IF(ISERROR(_xll.qlSwapRateHelperSpread($D39)),IF(ISERROR(_xll.qlFuturesRateHelperConvexityAdjustment($D39)),"--",_xll.qlFuturesRateHelperConvexityAdjustment($D39)),_xll.qlSwapRateHelperSpread($D39))</f>
        <v>--</v>
      </c>
      <c r="H39" s="121" t="e">
        <f>_xll.qlRateHelperEarliestDate($D39)</f>
        <v>#VALUE!</v>
      </c>
      <c r="I39" s="121" t="e">
        <f>_xll.qlRateHelperMaturityDate(D39)</f>
        <v>#VALUE!</v>
      </c>
      <c r="J39" s="122" t="e">
        <f>_xll.qlRateHelperPillarDate($D39)</f>
        <v>#VALUE!</v>
      </c>
      <c r="K39" s="114" t="e">
        <v>#N/A</v>
      </c>
      <c r="L39" s="13" t="e">
        <v>#N/A</v>
      </c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</row>
    <row r="40" spans="3:25" x14ac:dyDescent="0.2">
      <c r="D40" s="119" t="e">
        <v>#N/A</v>
      </c>
      <c r="E40" s="119" t="e">
        <f>_xll.qlRateHelperQuoteName(D40)</f>
        <v>#VALUE!</v>
      </c>
      <c r="F40" s="120" t="e">
        <f>_xll.qlRateHelperQuoteValue($D40)</f>
        <v>#VALUE!</v>
      </c>
      <c r="G40" s="120" t="str">
        <f>IF(ISERROR(_xll.qlSwapRateHelperSpread($D40)),IF(ISERROR(_xll.qlFuturesRateHelperConvexityAdjustment($D40)),"--",_xll.qlFuturesRateHelperConvexityAdjustment($D40)),_xll.qlSwapRateHelperSpread($D40))</f>
        <v>--</v>
      </c>
      <c r="H40" s="121" t="e">
        <f>_xll.qlRateHelperEarliestDate($D40)</f>
        <v>#VALUE!</v>
      </c>
      <c r="I40" s="121" t="e">
        <f>_xll.qlRateHelperMaturityDate(D40)</f>
        <v>#VALUE!</v>
      </c>
      <c r="J40" s="122" t="e">
        <f>_xll.qlRateHelperPillarDate($D40)</f>
        <v>#VALUE!</v>
      </c>
      <c r="K40" s="114" t="e">
        <v>#N/A</v>
      </c>
      <c r="L40" s="13" t="e">
        <v>#N/A</v>
      </c>
      <c r="M40" s="115"/>
      <c r="N40" s="115"/>
      <c r="O40" s="115"/>
      <c r="P40" s="115"/>
      <c r="Q40" s="115"/>
      <c r="R40" s="115"/>
      <c r="S40" s="115"/>
      <c r="T40" s="115"/>
      <c r="U40" s="124"/>
      <c r="V40" s="124"/>
      <c r="W40" s="115"/>
      <c r="X40" s="115"/>
      <c r="Y40" s="115"/>
    </row>
    <row r="41" spans="3:25" x14ac:dyDescent="0.2">
      <c r="D41" s="119" t="e">
        <v>#N/A</v>
      </c>
      <c r="E41" s="119" t="e">
        <f>_xll.qlRateHelperQuoteName(D41)</f>
        <v>#VALUE!</v>
      </c>
      <c r="F41" s="120" t="e">
        <f>_xll.qlRateHelperQuoteValue($D41)</f>
        <v>#VALUE!</v>
      </c>
      <c r="G41" s="120" t="str">
        <f>IF(ISERROR(_xll.qlSwapRateHelperSpread($D41)),IF(ISERROR(_xll.qlFuturesRateHelperConvexityAdjustment($D41)),"--",_xll.qlFuturesRateHelperConvexityAdjustment($D41)),_xll.qlSwapRateHelperSpread($D41))</f>
        <v>--</v>
      </c>
      <c r="H41" s="121" t="e">
        <f>_xll.qlRateHelperEarliestDate($D41)</f>
        <v>#VALUE!</v>
      </c>
      <c r="I41" s="121" t="e">
        <f>_xll.qlRateHelperMaturityDate(D41)</f>
        <v>#VALUE!</v>
      </c>
      <c r="J41" s="122" t="e">
        <f>_xll.qlRateHelperPillarDate($D41)</f>
        <v>#VALUE!</v>
      </c>
      <c r="K41" s="114" t="e">
        <v>#N/A</v>
      </c>
      <c r="L41" s="13" t="e">
        <v>#N/A</v>
      </c>
      <c r="M41" s="115"/>
      <c r="N41" s="115"/>
      <c r="O41" s="115"/>
      <c r="P41" s="115"/>
      <c r="Q41" s="115"/>
      <c r="R41" s="115"/>
      <c r="S41" s="115"/>
      <c r="T41" s="115"/>
      <c r="U41" s="124"/>
      <c r="V41" s="124"/>
      <c r="W41" s="115"/>
      <c r="X41" s="115"/>
      <c r="Y41" s="115"/>
    </row>
    <row r="42" spans="3:25" x14ac:dyDescent="0.2">
      <c r="D42" s="119" t="e">
        <v>#N/A</v>
      </c>
      <c r="E42" s="119" t="e">
        <f>_xll.qlRateHelperQuoteName(D42)</f>
        <v>#VALUE!</v>
      </c>
      <c r="F42" s="120" t="e">
        <f>_xll.qlRateHelperQuoteValue($D42)</f>
        <v>#VALUE!</v>
      </c>
      <c r="G42" s="120" t="str">
        <f>IF(ISERROR(_xll.qlSwapRateHelperSpread($D42)),IF(ISERROR(_xll.qlFuturesRateHelperConvexityAdjustment($D42)),"--",_xll.qlFuturesRateHelperConvexityAdjustment($D42)),_xll.qlSwapRateHelperSpread($D42))</f>
        <v>--</v>
      </c>
      <c r="H42" s="121" t="e">
        <f>_xll.qlRateHelperEarliestDate($D42)</f>
        <v>#VALUE!</v>
      </c>
      <c r="I42" s="121" t="e">
        <f>_xll.qlRateHelperMaturityDate(D42)</f>
        <v>#VALUE!</v>
      </c>
      <c r="J42" s="122" t="e">
        <f>_xll.qlRateHelperPillarDate($D42)</f>
        <v>#VALUE!</v>
      </c>
      <c r="K42" s="114" t="e">
        <v>#N/A</v>
      </c>
      <c r="L42" s="13" t="e">
        <v>#N/A</v>
      </c>
      <c r="M42" s="115"/>
      <c r="N42" s="115"/>
      <c r="O42" s="115"/>
      <c r="P42" s="115"/>
      <c r="Q42" s="115"/>
      <c r="R42" s="115"/>
      <c r="S42" s="115"/>
      <c r="T42" s="115"/>
      <c r="U42" s="124"/>
      <c r="V42" s="124"/>
      <c r="W42" s="115"/>
      <c r="X42" s="115"/>
      <c r="Y42" s="115"/>
    </row>
    <row r="43" spans="3:25" x14ac:dyDescent="0.2">
      <c r="D43" s="119" t="e">
        <v>#N/A</v>
      </c>
      <c r="E43" s="119" t="e">
        <f>_xll.qlRateHelperQuoteName(D43)</f>
        <v>#VALUE!</v>
      </c>
      <c r="F43" s="120" t="e">
        <f>_xll.qlRateHelperQuoteValue($D43)</f>
        <v>#VALUE!</v>
      </c>
      <c r="G43" s="120" t="str">
        <f>IF(ISERROR(_xll.qlSwapRateHelperSpread($D43)),IF(ISERROR(_xll.qlFuturesRateHelperConvexityAdjustment($D43)),"--",_xll.qlFuturesRateHelperConvexityAdjustment($D43)),_xll.qlSwapRateHelperSpread($D43))</f>
        <v>--</v>
      </c>
      <c r="H43" s="121" t="e">
        <f>_xll.qlRateHelperEarliestDate($D43)</f>
        <v>#VALUE!</v>
      </c>
      <c r="I43" s="121" t="e">
        <f>_xll.qlRateHelperMaturityDate(D43)</f>
        <v>#VALUE!</v>
      </c>
      <c r="J43" s="122" t="e">
        <f>_xll.qlRateHelperPillarDate($D43)</f>
        <v>#VALUE!</v>
      </c>
      <c r="K43" s="114" t="e">
        <v>#N/A</v>
      </c>
      <c r="L43" s="13" t="e">
        <v>#N/A</v>
      </c>
      <c r="U43" s="131"/>
      <c r="V43" s="131"/>
    </row>
    <row r="44" spans="3:25" x14ac:dyDescent="0.2">
      <c r="D44" s="119" t="e">
        <v>#N/A</v>
      </c>
      <c r="E44" s="119" t="e">
        <f>_xll.qlRateHelperQuoteName(D44)</f>
        <v>#VALUE!</v>
      </c>
      <c r="F44" s="120" t="e">
        <f>_xll.qlRateHelperQuoteValue($D44)</f>
        <v>#VALUE!</v>
      </c>
      <c r="G44" s="120" t="str">
        <f>IF(ISERROR(_xll.qlSwapRateHelperSpread($D44)),IF(ISERROR(_xll.qlFuturesRateHelperConvexityAdjustment($D44)),"--",_xll.qlFuturesRateHelperConvexityAdjustment($D44)),_xll.qlSwapRateHelperSpread($D44))</f>
        <v>--</v>
      </c>
      <c r="H44" s="121" t="e">
        <f>_xll.qlRateHelperEarliestDate($D44)</f>
        <v>#VALUE!</v>
      </c>
      <c r="I44" s="121" t="e">
        <f>_xll.qlRateHelperMaturityDate(D44)</f>
        <v>#VALUE!</v>
      </c>
      <c r="J44" s="122" t="e">
        <f>_xll.qlRateHelperPillarDate($D44)</f>
        <v>#VALUE!</v>
      </c>
      <c r="K44" s="114" t="e">
        <v>#N/A</v>
      </c>
      <c r="L44" s="13" t="e">
        <v>#N/A</v>
      </c>
      <c r="U44" s="131"/>
      <c r="V44" s="131"/>
    </row>
    <row r="45" spans="3:25" x14ac:dyDescent="0.2">
      <c r="D45" s="119" t="e">
        <v>#N/A</v>
      </c>
      <c r="E45" s="119" t="e">
        <f>_xll.qlRateHelperQuoteName(D45)</f>
        <v>#VALUE!</v>
      </c>
      <c r="F45" s="120" t="e">
        <f>_xll.qlRateHelperQuoteValue($D45)</f>
        <v>#VALUE!</v>
      </c>
      <c r="G45" s="120" t="str">
        <f>IF(ISERROR(_xll.qlSwapRateHelperSpread($D45)),IF(ISERROR(_xll.qlFuturesRateHelperConvexityAdjustment($D45)),"--",_xll.qlFuturesRateHelperConvexityAdjustment($D45)),_xll.qlSwapRateHelperSpread($D45))</f>
        <v>--</v>
      </c>
      <c r="H45" s="121" t="e">
        <f>_xll.qlRateHelperEarliestDate($D45)</f>
        <v>#VALUE!</v>
      </c>
      <c r="I45" s="121" t="e">
        <f>_xll.qlRateHelperMaturityDate(D45)</f>
        <v>#VALUE!</v>
      </c>
      <c r="J45" s="122" t="e">
        <f>_xll.qlRateHelperPillarDate($D45)</f>
        <v>#VALUE!</v>
      </c>
      <c r="K45" s="114" t="e">
        <v>#N/A</v>
      </c>
      <c r="L45" s="13" t="e">
        <v>#N/A</v>
      </c>
      <c r="U45" s="131"/>
      <c r="V45" s="131"/>
    </row>
    <row r="46" spans="3:25" x14ac:dyDescent="0.2">
      <c r="D46" s="119" t="e">
        <v>#N/A</v>
      </c>
      <c r="E46" s="119" t="e">
        <f>_xll.qlRateHelperQuoteName(D46)</f>
        <v>#VALUE!</v>
      </c>
      <c r="F46" s="120" t="e">
        <f>_xll.qlRateHelperQuoteValue($D46)</f>
        <v>#VALUE!</v>
      </c>
      <c r="G46" s="120" t="str">
        <f>IF(ISERROR(_xll.qlSwapRateHelperSpread($D46)),IF(ISERROR(_xll.qlFuturesRateHelperConvexityAdjustment($D46)),"--",_xll.qlFuturesRateHelperConvexityAdjustment($D46)),_xll.qlSwapRateHelperSpread($D46))</f>
        <v>--</v>
      </c>
      <c r="H46" s="121" t="e">
        <f>_xll.qlRateHelperEarliestDate($D46)</f>
        <v>#VALUE!</v>
      </c>
      <c r="I46" s="121" t="e">
        <f>_xll.qlRateHelperMaturityDate(D46)</f>
        <v>#VALUE!</v>
      </c>
      <c r="J46" s="122" t="e">
        <f>_xll.qlRateHelperPillarDate($D46)</f>
        <v>#VALUE!</v>
      </c>
      <c r="K46" s="114" t="e">
        <v>#N/A</v>
      </c>
      <c r="L46" s="13" t="e">
        <v>#N/A</v>
      </c>
      <c r="U46" s="131"/>
      <c r="V46" s="131"/>
    </row>
    <row r="47" spans="3:25" x14ac:dyDescent="0.2">
      <c r="D47" s="119" t="e">
        <v>#N/A</v>
      </c>
      <c r="E47" s="119" t="e">
        <f>_xll.qlRateHelperQuoteName(D47)</f>
        <v>#VALUE!</v>
      </c>
      <c r="F47" s="120" t="e">
        <f>_xll.qlRateHelperQuoteValue($D47)</f>
        <v>#VALUE!</v>
      </c>
      <c r="G47" s="120" t="str">
        <f>IF(ISERROR(_xll.qlSwapRateHelperSpread($D47)),IF(ISERROR(_xll.qlFuturesRateHelperConvexityAdjustment($D47)),"--",_xll.qlFuturesRateHelperConvexityAdjustment($D47)),_xll.qlSwapRateHelperSpread($D47))</f>
        <v>--</v>
      </c>
      <c r="H47" s="121" t="e">
        <f>_xll.qlRateHelperEarliestDate($D47)</f>
        <v>#VALUE!</v>
      </c>
      <c r="I47" s="121" t="e">
        <f>_xll.qlRateHelperMaturityDate(D47)</f>
        <v>#VALUE!</v>
      </c>
      <c r="J47" s="122" t="e">
        <f>_xll.qlRateHelperPillarDate($D47)</f>
        <v>#VALUE!</v>
      </c>
      <c r="K47" s="114" t="e">
        <v>#N/A</v>
      </c>
      <c r="L47" s="13" t="e">
        <v>#N/A</v>
      </c>
      <c r="U47" s="131"/>
      <c r="V47" s="131"/>
    </row>
    <row r="48" spans="3:25" x14ac:dyDescent="0.2">
      <c r="D48" s="119" t="e">
        <v>#N/A</v>
      </c>
      <c r="E48" s="119" t="e">
        <f>_xll.qlRateHelperQuoteName(D48)</f>
        <v>#VALUE!</v>
      </c>
      <c r="F48" s="120" t="e">
        <f>_xll.qlRateHelperQuoteValue($D48)</f>
        <v>#VALUE!</v>
      </c>
      <c r="G48" s="120" t="str">
        <f>IF(ISERROR(_xll.qlSwapRateHelperSpread($D48)),IF(ISERROR(_xll.qlFuturesRateHelperConvexityAdjustment($D48)),"--",_xll.qlFuturesRateHelperConvexityAdjustment($D48)),_xll.qlSwapRateHelperSpread($D48))</f>
        <v>--</v>
      </c>
      <c r="H48" s="121" t="e">
        <f>_xll.qlRateHelperEarliestDate($D48)</f>
        <v>#VALUE!</v>
      </c>
      <c r="I48" s="121" t="e">
        <f>_xll.qlRateHelperMaturityDate(D48)</f>
        <v>#VALUE!</v>
      </c>
      <c r="J48" s="122" t="e">
        <f>_xll.qlRateHelperPillarDate($D48)</f>
        <v>#VALUE!</v>
      </c>
      <c r="K48" s="114" t="e">
        <v>#N/A</v>
      </c>
      <c r="L48" s="13" t="e">
        <v>#N/A</v>
      </c>
      <c r="U48" s="131"/>
      <c r="V48" s="131"/>
    </row>
    <row r="49" spans="4:22" x14ac:dyDescent="0.2">
      <c r="D49" s="119" t="e">
        <v>#N/A</v>
      </c>
      <c r="E49" s="119" t="e">
        <f>_xll.qlRateHelperQuoteName(D49)</f>
        <v>#VALUE!</v>
      </c>
      <c r="F49" s="120" t="e">
        <f>_xll.qlRateHelperQuoteValue($D49)</f>
        <v>#VALUE!</v>
      </c>
      <c r="G49" s="120" t="str">
        <f>IF(ISERROR(_xll.qlSwapRateHelperSpread($D49)),IF(ISERROR(_xll.qlFuturesRateHelperConvexityAdjustment($D49)),"--",_xll.qlFuturesRateHelperConvexityAdjustment($D49)),_xll.qlSwapRateHelperSpread($D49))</f>
        <v>--</v>
      </c>
      <c r="H49" s="121" t="e">
        <f>_xll.qlRateHelperEarliestDate($D49)</f>
        <v>#VALUE!</v>
      </c>
      <c r="I49" s="121" t="e">
        <f>_xll.qlRateHelperMaturityDate(D49)</f>
        <v>#VALUE!</v>
      </c>
      <c r="J49" s="122" t="e">
        <f>_xll.qlRateHelperPillarDate($D49)</f>
        <v>#VALUE!</v>
      </c>
      <c r="K49" s="114" t="e">
        <v>#N/A</v>
      </c>
      <c r="L49" s="13" t="e">
        <v>#N/A</v>
      </c>
      <c r="U49" s="131"/>
      <c r="V49" s="131"/>
    </row>
    <row r="50" spans="4:22" x14ac:dyDescent="0.2">
      <c r="D50" s="119" t="e">
        <v>#N/A</v>
      </c>
      <c r="E50" s="119" t="e">
        <f>_xll.qlRateHelperQuoteName(D50)</f>
        <v>#VALUE!</v>
      </c>
      <c r="F50" s="120" t="e">
        <f>_xll.qlRateHelperQuoteValue($D50)</f>
        <v>#VALUE!</v>
      </c>
      <c r="G50" s="120" t="str">
        <f>IF(ISERROR(_xll.qlSwapRateHelperSpread($D50)),IF(ISERROR(_xll.qlFuturesRateHelperConvexityAdjustment($D50)),"--",_xll.qlFuturesRateHelperConvexityAdjustment($D50)),_xll.qlSwapRateHelperSpread($D50))</f>
        <v>--</v>
      </c>
      <c r="H50" s="121" t="e">
        <f>_xll.qlRateHelperEarliestDate($D50)</f>
        <v>#VALUE!</v>
      </c>
      <c r="I50" s="121" t="e">
        <f>_xll.qlRateHelperMaturityDate(D50)</f>
        <v>#VALUE!</v>
      </c>
      <c r="J50" s="122" t="e">
        <f>_xll.qlRateHelperPillarDate($D50)</f>
        <v>#VALUE!</v>
      </c>
      <c r="K50" s="114" t="e">
        <v>#N/A</v>
      </c>
      <c r="L50" s="13" t="e">
        <v>#N/A</v>
      </c>
      <c r="U50" s="131"/>
      <c r="V50" s="131"/>
    </row>
    <row r="51" spans="4:22" x14ac:dyDescent="0.2">
      <c r="D51" s="119" t="e">
        <v>#N/A</v>
      </c>
      <c r="E51" s="119" t="e">
        <f>_xll.qlRateHelperQuoteName(D51)</f>
        <v>#VALUE!</v>
      </c>
      <c r="F51" s="120" t="e">
        <f>_xll.qlRateHelperQuoteValue($D51)</f>
        <v>#VALUE!</v>
      </c>
      <c r="G51" s="120" t="str">
        <f>IF(ISERROR(_xll.qlSwapRateHelperSpread($D51)),IF(ISERROR(_xll.qlFuturesRateHelperConvexityAdjustment($D51)),"--",_xll.qlFuturesRateHelperConvexityAdjustment($D51)),_xll.qlSwapRateHelperSpread($D51))</f>
        <v>--</v>
      </c>
      <c r="H51" s="121" t="e">
        <f>_xll.qlRateHelperEarliestDate($D51)</f>
        <v>#VALUE!</v>
      </c>
      <c r="I51" s="121" t="e">
        <f>_xll.qlRateHelperMaturityDate(D51)</f>
        <v>#VALUE!</v>
      </c>
      <c r="J51" s="122" t="e">
        <f>_xll.qlRateHelperPillarDate($D51)</f>
        <v>#VALUE!</v>
      </c>
      <c r="K51" s="114" t="e">
        <v>#N/A</v>
      </c>
      <c r="L51" s="13" t="e">
        <v>#N/A</v>
      </c>
      <c r="U51" s="131"/>
      <c r="V51" s="131"/>
    </row>
    <row r="52" spans="4:22" x14ac:dyDescent="0.2">
      <c r="D52" s="119" t="e">
        <v>#N/A</v>
      </c>
      <c r="E52" s="119" t="e">
        <f>_xll.qlRateHelperQuoteName(D52)</f>
        <v>#VALUE!</v>
      </c>
      <c r="F52" s="120" t="e">
        <f>_xll.qlRateHelperQuoteValue($D52)</f>
        <v>#VALUE!</v>
      </c>
      <c r="G52" s="120" t="str">
        <f>IF(ISERROR(_xll.qlSwapRateHelperSpread($D52)),IF(ISERROR(_xll.qlFuturesRateHelperConvexityAdjustment($D52)),"--",_xll.qlFuturesRateHelperConvexityAdjustment($D52)),_xll.qlSwapRateHelperSpread($D52))</f>
        <v>--</v>
      </c>
      <c r="H52" s="121" t="e">
        <f>_xll.qlRateHelperEarliestDate($D52)</f>
        <v>#VALUE!</v>
      </c>
      <c r="I52" s="121" t="e">
        <f>_xll.qlRateHelperMaturityDate(D52)</f>
        <v>#VALUE!</v>
      </c>
      <c r="J52" s="122" t="e">
        <f>_xll.qlRateHelperPillarDate($D52)</f>
        <v>#VALUE!</v>
      </c>
      <c r="K52" s="114" t="e">
        <v>#N/A</v>
      </c>
      <c r="L52" s="13" t="e">
        <v>#N/A</v>
      </c>
      <c r="U52" s="131"/>
      <c r="V52" s="131"/>
    </row>
    <row r="53" spans="4:22" x14ac:dyDescent="0.2">
      <c r="D53" s="119" t="e">
        <v>#N/A</v>
      </c>
      <c r="E53" s="119" t="e">
        <f>_xll.qlRateHelperQuoteName(D53)</f>
        <v>#VALUE!</v>
      </c>
      <c r="F53" s="120" t="e">
        <f>_xll.qlRateHelperQuoteValue($D53)</f>
        <v>#VALUE!</v>
      </c>
      <c r="G53" s="120" t="str">
        <f>IF(ISERROR(_xll.qlSwapRateHelperSpread($D53)),IF(ISERROR(_xll.qlFuturesRateHelperConvexityAdjustment($D53)),"--",_xll.qlFuturesRateHelperConvexityAdjustment($D53)),_xll.qlSwapRateHelperSpread($D53))</f>
        <v>--</v>
      </c>
      <c r="H53" s="121" t="e">
        <f>_xll.qlRateHelperEarliestDate($D53)</f>
        <v>#VALUE!</v>
      </c>
      <c r="I53" s="121" t="e">
        <f>_xll.qlRateHelperMaturityDate(D53)</f>
        <v>#VALUE!</v>
      </c>
      <c r="J53" s="122" t="e">
        <f>_xll.qlRateHelperPillarDate($D53)</f>
        <v>#VALUE!</v>
      </c>
      <c r="K53" s="114" t="e">
        <v>#N/A</v>
      </c>
      <c r="L53" s="13" t="e">
        <v>#N/A</v>
      </c>
      <c r="U53" s="131"/>
      <c r="V53" s="131"/>
    </row>
    <row r="54" spans="4:22" x14ac:dyDescent="0.2">
      <c r="D54" s="119" t="e">
        <v>#N/A</v>
      </c>
      <c r="E54" s="119" t="e">
        <f>_xll.qlRateHelperQuoteName(D54)</f>
        <v>#VALUE!</v>
      </c>
      <c r="F54" s="120" t="e">
        <f>_xll.qlRateHelperQuoteValue($D54)</f>
        <v>#VALUE!</v>
      </c>
      <c r="G54" s="120" t="str">
        <f>IF(ISERROR(_xll.qlSwapRateHelperSpread($D54)),IF(ISERROR(_xll.qlFuturesRateHelperConvexityAdjustment($D54)),"--",_xll.qlFuturesRateHelperConvexityAdjustment($D54)),_xll.qlSwapRateHelperSpread($D54))</f>
        <v>--</v>
      </c>
      <c r="H54" s="121" t="e">
        <f>_xll.qlRateHelperEarliestDate($D54)</f>
        <v>#VALUE!</v>
      </c>
      <c r="I54" s="121" t="e">
        <f>_xll.qlRateHelperMaturityDate(D54)</f>
        <v>#VALUE!</v>
      </c>
      <c r="J54" s="122" t="e">
        <f>_xll.qlRateHelperPillarDate($D54)</f>
        <v>#VALUE!</v>
      </c>
      <c r="K54" s="114" t="e">
        <v>#N/A</v>
      </c>
      <c r="L54" s="13" t="e">
        <v>#N/A</v>
      </c>
      <c r="U54" s="131"/>
      <c r="V54" s="131"/>
    </row>
    <row r="55" spans="4:22" x14ac:dyDescent="0.2">
      <c r="D55" s="119" t="e">
        <v>#N/A</v>
      </c>
      <c r="E55" s="119" t="e">
        <f>_xll.qlRateHelperQuoteName(D55)</f>
        <v>#VALUE!</v>
      </c>
      <c r="F55" s="120" t="e">
        <f>_xll.qlRateHelperQuoteValue($D55)</f>
        <v>#VALUE!</v>
      </c>
      <c r="G55" s="120" t="str">
        <f>IF(ISERROR(_xll.qlSwapRateHelperSpread($D55)),IF(ISERROR(_xll.qlFuturesRateHelperConvexityAdjustment($D55)),"--",_xll.qlFuturesRateHelperConvexityAdjustment($D55)),_xll.qlSwapRateHelperSpread($D55))</f>
        <v>--</v>
      </c>
      <c r="H55" s="121" t="e">
        <f>_xll.qlRateHelperEarliestDate($D55)</f>
        <v>#VALUE!</v>
      </c>
      <c r="I55" s="121" t="e">
        <f>_xll.qlRateHelperMaturityDate(D55)</f>
        <v>#VALUE!</v>
      </c>
      <c r="J55" s="122" t="e">
        <f>_xll.qlRateHelperPillarDate($D55)</f>
        <v>#VALUE!</v>
      </c>
      <c r="K55" s="114" t="e">
        <v>#N/A</v>
      </c>
      <c r="L55" s="13" t="e">
        <v>#N/A</v>
      </c>
      <c r="U55" s="131"/>
      <c r="V55" s="131"/>
    </row>
    <row r="56" spans="4:22" x14ac:dyDescent="0.2">
      <c r="D56" s="119" t="e">
        <v>#N/A</v>
      </c>
      <c r="E56" s="119" t="e">
        <f>_xll.qlRateHelperQuoteName(D56)</f>
        <v>#VALUE!</v>
      </c>
      <c r="F56" s="120" t="e">
        <f>_xll.qlRateHelperQuoteValue($D56)</f>
        <v>#VALUE!</v>
      </c>
      <c r="G56" s="120" t="str">
        <f>IF(ISERROR(_xll.qlSwapRateHelperSpread($D56)),IF(ISERROR(_xll.qlFuturesRateHelperConvexityAdjustment($D56)),"--",_xll.qlFuturesRateHelperConvexityAdjustment($D56)),_xll.qlSwapRateHelperSpread($D56))</f>
        <v>--</v>
      </c>
      <c r="H56" s="121" t="e">
        <f>_xll.qlRateHelperEarliestDate($D56)</f>
        <v>#VALUE!</v>
      </c>
      <c r="I56" s="121" t="e">
        <f>_xll.qlRateHelperMaturityDate(D56)</f>
        <v>#VALUE!</v>
      </c>
      <c r="J56" s="122" t="e">
        <f>_xll.qlRateHelperPillarDate($D56)</f>
        <v>#VALUE!</v>
      </c>
      <c r="K56" s="114" t="e">
        <v>#N/A</v>
      </c>
      <c r="L56" s="13" t="e">
        <v>#N/A</v>
      </c>
      <c r="U56" s="131"/>
      <c r="V56" s="131"/>
    </row>
    <row r="57" spans="4:22" x14ac:dyDescent="0.2">
      <c r="D57" s="119" t="e">
        <v>#N/A</v>
      </c>
      <c r="E57" s="119" t="e">
        <f>_xll.qlRateHelperQuoteName(D57)</f>
        <v>#VALUE!</v>
      </c>
      <c r="F57" s="120" t="e">
        <f>_xll.qlRateHelperQuoteValue($D57)</f>
        <v>#VALUE!</v>
      </c>
      <c r="G57" s="120" t="str">
        <f>IF(ISERROR(_xll.qlSwapRateHelperSpread($D57)),IF(ISERROR(_xll.qlFuturesRateHelperConvexityAdjustment($D57)),"--",_xll.qlFuturesRateHelperConvexityAdjustment($D57)),_xll.qlSwapRateHelperSpread($D57))</f>
        <v>--</v>
      </c>
      <c r="H57" s="121" t="e">
        <f>_xll.qlRateHelperEarliestDate($D57)</f>
        <v>#VALUE!</v>
      </c>
      <c r="I57" s="121" t="e">
        <f>_xll.qlRateHelperMaturityDate(D57)</f>
        <v>#VALUE!</v>
      </c>
      <c r="J57" s="122" t="e">
        <f>_xll.qlRateHelperPillarDate($D57)</f>
        <v>#VALUE!</v>
      </c>
      <c r="K57" s="114" t="e">
        <v>#N/A</v>
      </c>
      <c r="L57" s="13" t="e">
        <v>#N/A</v>
      </c>
      <c r="U57" s="131"/>
      <c r="V57" s="131"/>
    </row>
    <row r="58" spans="4:22" x14ac:dyDescent="0.2">
      <c r="D58" s="119" t="e">
        <v>#N/A</v>
      </c>
      <c r="E58" s="119" t="e">
        <f>_xll.qlRateHelperQuoteName(D58)</f>
        <v>#VALUE!</v>
      </c>
      <c r="F58" s="120" t="e">
        <f>_xll.qlRateHelperQuoteValue($D58)</f>
        <v>#VALUE!</v>
      </c>
      <c r="G58" s="120" t="str">
        <f>IF(ISERROR(_xll.qlSwapRateHelperSpread($D58)),IF(ISERROR(_xll.qlFuturesRateHelperConvexityAdjustment($D58)),"--",_xll.qlFuturesRateHelperConvexityAdjustment($D58)),_xll.qlSwapRateHelperSpread($D58))</f>
        <v>--</v>
      </c>
      <c r="H58" s="121" t="e">
        <f>_xll.qlRateHelperEarliestDate($D58)</f>
        <v>#VALUE!</v>
      </c>
      <c r="I58" s="121" t="e">
        <f>_xll.qlRateHelperMaturityDate(D58)</f>
        <v>#VALUE!</v>
      </c>
      <c r="J58" s="122" t="e">
        <f>_xll.qlRateHelperPillarDate($D58)</f>
        <v>#VALUE!</v>
      </c>
      <c r="K58" s="114" t="e">
        <v>#N/A</v>
      </c>
      <c r="L58" s="13" t="e">
        <v>#N/A</v>
      </c>
      <c r="U58" s="131"/>
      <c r="V58" s="131"/>
    </row>
    <row r="59" spans="4:22" x14ac:dyDescent="0.2">
      <c r="D59" s="119" t="e">
        <v>#N/A</v>
      </c>
      <c r="E59" s="119" t="e">
        <f>_xll.qlRateHelperQuoteName(D59)</f>
        <v>#VALUE!</v>
      </c>
      <c r="F59" s="120" t="e">
        <f>_xll.qlRateHelperQuoteValue($D59)</f>
        <v>#VALUE!</v>
      </c>
      <c r="G59" s="120" t="str">
        <f>IF(ISERROR(_xll.qlSwapRateHelperSpread($D59)),IF(ISERROR(_xll.qlFuturesRateHelperConvexityAdjustment($D59)),"--",_xll.qlFuturesRateHelperConvexityAdjustment($D59)),_xll.qlSwapRateHelperSpread($D59))</f>
        <v>--</v>
      </c>
      <c r="H59" s="121" t="e">
        <f>_xll.qlRateHelperEarliestDate($D59)</f>
        <v>#VALUE!</v>
      </c>
      <c r="I59" s="121" t="e">
        <f>_xll.qlRateHelperMaturityDate(D59)</f>
        <v>#VALUE!</v>
      </c>
      <c r="J59" s="122" t="e">
        <f>_xll.qlRateHelperPillarDate($D59)</f>
        <v>#VALUE!</v>
      </c>
      <c r="K59" s="114" t="e">
        <v>#N/A</v>
      </c>
      <c r="L59" s="13" t="e">
        <v>#N/A</v>
      </c>
      <c r="U59" s="131"/>
      <c r="V59" s="131"/>
    </row>
    <row r="60" spans="4:22" x14ac:dyDescent="0.2">
      <c r="D60" s="119" t="e">
        <v>#N/A</v>
      </c>
      <c r="E60" s="119" t="e">
        <f>_xll.qlRateHelperQuoteName(D60)</f>
        <v>#VALUE!</v>
      </c>
      <c r="F60" s="120" t="e">
        <f>_xll.qlRateHelperQuoteValue($D60)</f>
        <v>#VALUE!</v>
      </c>
      <c r="G60" s="120" t="str">
        <f>IF(ISERROR(_xll.qlSwapRateHelperSpread($D60)),IF(ISERROR(_xll.qlFuturesRateHelperConvexityAdjustment($D60)),"--",_xll.qlFuturesRateHelperConvexityAdjustment($D60)),_xll.qlSwapRateHelperSpread($D60))</f>
        <v>--</v>
      </c>
      <c r="H60" s="121" t="e">
        <f>_xll.qlRateHelperEarliestDate($D60)</f>
        <v>#VALUE!</v>
      </c>
      <c r="I60" s="121" t="e">
        <f>_xll.qlRateHelperMaturityDate(D60)</f>
        <v>#VALUE!</v>
      </c>
      <c r="J60" s="122" t="e">
        <f>_xll.qlRateHelperPillarDate($D60)</f>
        <v>#VALUE!</v>
      </c>
      <c r="K60" s="114" t="e">
        <v>#N/A</v>
      </c>
      <c r="L60" s="13" t="e">
        <v>#N/A</v>
      </c>
      <c r="U60" s="131"/>
      <c r="V60" s="131"/>
    </row>
    <row r="61" spans="4:22" x14ac:dyDescent="0.2">
      <c r="D61" s="119" t="e">
        <v>#N/A</v>
      </c>
      <c r="E61" s="119" t="e">
        <f>_xll.qlRateHelperQuoteName(D61)</f>
        <v>#VALUE!</v>
      </c>
      <c r="F61" s="120" t="e">
        <f>_xll.qlRateHelperQuoteValue($D61)</f>
        <v>#VALUE!</v>
      </c>
      <c r="G61" s="120" t="str">
        <f>IF(ISERROR(_xll.qlSwapRateHelperSpread($D61)),IF(ISERROR(_xll.qlFuturesRateHelperConvexityAdjustment($D61)),"--",_xll.qlFuturesRateHelperConvexityAdjustment($D61)),_xll.qlSwapRateHelperSpread($D61))</f>
        <v>--</v>
      </c>
      <c r="H61" s="121" t="e">
        <f>_xll.qlRateHelperEarliestDate($D61)</f>
        <v>#VALUE!</v>
      </c>
      <c r="I61" s="121" t="e">
        <f>_xll.qlRateHelperMaturityDate(D61)</f>
        <v>#VALUE!</v>
      </c>
      <c r="J61" s="122" t="e">
        <f>_xll.qlRateHelperPillarDate($D61)</f>
        <v>#VALUE!</v>
      </c>
      <c r="K61" s="114" t="e">
        <v>#N/A</v>
      </c>
      <c r="L61" s="13" t="e">
        <v>#N/A</v>
      </c>
      <c r="U61" s="131"/>
      <c r="V61" s="131"/>
    </row>
    <row r="62" spans="4:22" x14ac:dyDescent="0.2">
      <c r="D62" s="119" t="e">
        <v>#N/A</v>
      </c>
      <c r="E62" s="119" t="e">
        <f>_xll.qlRateHelperQuoteName(D62)</f>
        <v>#VALUE!</v>
      </c>
      <c r="F62" s="120" t="e">
        <f>_xll.qlRateHelperQuoteValue($D62)</f>
        <v>#VALUE!</v>
      </c>
      <c r="G62" s="120" t="str">
        <f>IF(ISERROR(_xll.qlSwapRateHelperSpread($D62)),IF(ISERROR(_xll.qlFuturesRateHelperConvexityAdjustment($D62)),"--",_xll.qlFuturesRateHelperConvexityAdjustment($D62)),_xll.qlSwapRateHelperSpread($D62))</f>
        <v>--</v>
      </c>
      <c r="H62" s="121" t="e">
        <f>_xll.qlRateHelperEarliestDate($D62)</f>
        <v>#VALUE!</v>
      </c>
      <c r="I62" s="121" t="e">
        <f>_xll.qlRateHelperMaturityDate(D62)</f>
        <v>#VALUE!</v>
      </c>
      <c r="J62" s="122" t="e">
        <f>_xll.qlRateHelperPillarDate($D62)</f>
        <v>#VALUE!</v>
      </c>
      <c r="K62" s="114" t="e">
        <v>#N/A</v>
      </c>
      <c r="L62" s="13" t="e">
        <v>#N/A</v>
      </c>
      <c r="U62" s="131"/>
      <c r="V62" s="131"/>
    </row>
    <row r="63" spans="4:22" x14ac:dyDescent="0.2">
      <c r="D63" s="119" t="e">
        <v>#N/A</v>
      </c>
      <c r="E63" s="119" t="e">
        <f>_xll.qlRateHelperQuoteName(D63)</f>
        <v>#VALUE!</v>
      </c>
      <c r="F63" s="120" t="e">
        <f>_xll.qlRateHelperQuoteValue($D63)</f>
        <v>#VALUE!</v>
      </c>
      <c r="G63" s="120" t="str">
        <f>IF(ISERROR(_xll.qlSwapRateHelperSpread($D63)),IF(ISERROR(_xll.qlFuturesRateHelperConvexityAdjustment($D63)),"--",_xll.qlFuturesRateHelperConvexityAdjustment($D63)),_xll.qlSwapRateHelperSpread($D63))</f>
        <v>--</v>
      </c>
      <c r="H63" s="121" t="e">
        <f>_xll.qlRateHelperEarliestDate($D63)</f>
        <v>#VALUE!</v>
      </c>
      <c r="I63" s="121" t="e">
        <f>_xll.qlRateHelperMaturityDate(D63)</f>
        <v>#VALUE!</v>
      </c>
      <c r="J63" s="122" t="e">
        <f>_xll.qlRateHelperPillarDate($D63)</f>
        <v>#VALUE!</v>
      </c>
      <c r="K63" s="114" t="e">
        <v>#N/A</v>
      </c>
      <c r="L63" s="13" t="e">
        <v>#N/A</v>
      </c>
      <c r="U63" s="131"/>
      <c r="V63" s="131"/>
    </row>
    <row r="64" spans="4:22" x14ac:dyDescent="0.2">
      <c r="D64" s="119" t="e">
        <v>#N/A</v>
      </c>
      <c r="E64" s="119" t="e">
        <f>_xll.qlRateHelperQuoteName(D64)</f>
        <v>#VALUE!</v>
      </c>
      <c r="F64" s="120" t="e">
        <f>_xll.qlRateHelperQuoteValue($D64)</f>
        <v>#VALUE!</v>
      </c>
      <c r="G64" s="120" t="str">
        <f>IF(ISERROR(_xll.qlSwapRateHelperSpread($D64)),IF(ISERROR(_xll.qlFuturesRateHelperConvexityAdjustment($D64)),"--",_xll.qlFuturesRateHelperConvexityAdjustment($D64)),_xll.qlSwapRateHelperSpread($D64))</f>
        <v>--</v>
      </c>
      <c r="H64" s="121" t="e">
        <f>_xll.qlRateHelperEarliestDate($D64)</f>
        <v>#VALUE!</v>
      </c>
      <c r="I64" s="121" t="e">
        <f>_xll.qlRateHelperMaturityDate(D64)</f>
        <v>#VALUE!</v>
      </c>
      <c r="J64" s="122" t="e">
        <f>_xll.qlRateHelperPillarDate($D64)</f>
        <v>#VALUE!</v>
      </c>
      <c r="K64" s="114" t="e">
        <v>#N/A</v>
      </c>
      <c r="L64" s="13" t="e">
        <v>#N/A</v>
      </c>
      <c r="U64" s="131"/>
      <c r="V64" s="131"/>
    </row>
    <row r="65" spans="4:22" x14ac:dyDescent="0.2">
      <c r="D65" s="119" t="e">
        <v>#N/A</v>
      </c>
      <c r="E65" s="119" t="e">
        <f>_xll.qlRateHelperQuoteName(D65)</f>
        <v>#VALUE!</v>
      </c>
      <c r="F65" s="120" t="e">
        <f>_xll.qlRateHelperQuoteValue($D65)</f>
        <v>#VALUE!</v>
      </c>
      <c r="G65" s="120" t="str">
        <f>IF(ISERROR(_xll.qlSwapRateHelperSpread($D65)),IF(ISERROR(_xll.qlFuturesRateHelperConvexityAdjustment($D65)),"--",_xll.qlFuturesRateHelperConvexityAdjustment($D65)),_xll.qlSwapRateHelperSpread($D65))</f>
        <v>--</v>
      </c>
      <c r="H65" s="121" t="e">
        <f>_xll.qlRateHelperEarliestDate($D65)</f>
        <v>#VALUE!</v>
      </c>
      <c r="I65" s="121" t="e">
        <f>_xll.qlRateHelperMaturityDate(D65)</f>
        <v>#VALUE!</v>
      </c>
      <c r="J65" s="122" t="e">
        <f>_xll.qlRateHelperPillarDate($D65)</f>
        <v>#VALUE!</v>
      </c>
      <c r="K65" s="114" t="e">
        <v>#N/A</v>
      </c>
      <c r="L65" s="13" t="e">
        <v>#N/A</v>
      </c>
      <c r="U65" s="131"/>
      <c r="V65" s="131"/>
    </row>
    <row r="66" spans="4:22" x14ac:dyDescent="0.2">
      <c r="D66" s="119" t="e">
        <v>#N/A</v>
      </c>
      <c r="E66" s="119" t="e">
        <f>_xll.qlRateHelperQuoteName(D66)</f>
        <v>#VALUE!</v>
      </c>
      <c r="F66" s="120" t="e">
        <f>_xll.qlRateHelperQuoteValue($D66)</f>
        <v>#VALUE!</v>
      </c>
      <c r="G66" s="120" t="str">
        <f>IF(ISERROR(_xll.qlSwapRateHelperSpread($D66)),IF(ISERROR(_xll.qlFuturesRateHelperConvexityAdjustment($D66)),"--",_xll.qlFuturesRateHelperConvexityAdjustment($D66)),_xll.qlSwapRateHelperSpread($D66))</f>
        <v>--</v>
      </c>
      <c r="H66" s="121" t="e">
        <f>_xll.qlRateHelperEarliestDate($D66)</f>
        <v>#VALUE!</v>
      </c>
      <c r="I66" s="121" t="e">
        <f>_xll.qlRateHelperMaturityDate(D66)</f>
        <v>#VALUE!</v>
      </c>
      <c r="J66" s="122" t="e">
        <f>_xll.qlRateHelperPillarDate($D66)</f>
        <v>#VALUE!</v>
      </c>
      <c r="K66" s="114" t="e">
        <v>#N/A</v>
      </c>
      <c r="L66" s="13" t="e">
        <v>#N/A</v>
      </c>
      <c r="U66" s="131"/>
      <c r="V66" s="131"/>
    </row>
    <row r="67" spans="4:22" x14ac:dyDescent="0.2">
      <c r="D67" s="119" t="e">
        <v>#N/A</v>
      </c>
      <c r="E67" s="119" t="e">
        <f>_xll.qlRateHelperQuoteName(D67)</f>
        <v>#VALUE!</v>
      </c>
      <c r="F67" s="120" t="e">
        <f>_xll.qlRateHelperQuoteValue($D67)</f>
        <v>#VALUE!</v>
      </c>
      <c r="G67" s="120" t="str">
        <f>IF(ISERROR(_xll.qlSwapRateHelperSpread($D67)),IF(ISERROR(_xll.qlFuturesRateHelperConvexityAdjustment($D67)),"--",_xll.qlFuturesRateHelperConvexityAdjustment($D67)),_xll.qlSwapRateHelperSpread($D67))</f>
        <v>--</v>
      </c>
      <c r="H67" s="121" t="e">
        <f>_xll.qlRateHelperEarliestDate($D67)</f>
        <v>#VALUE!</v>
      </c>
      <c r="I67" s="121" t="e">
        <f>_xll.qlRateHelperMaturityDate(D67)</f>
        <v>#VALUE!</v>
      </c>
      <c r="J67" s="122" t="e">
        <f>_xll.qlRateHelperPillarDate($D67)</f>
        <v>#VALUE!</v>
      </c>
      <c r="K67" s="114" t="e">
        <v>#N/A</v>
      </c>
      <c r="L67" s="13" t="e">
        <v>#N/A</v>
      </c>
      <c r="U67" s="131"/>
      <c r="V67" s="131"/>
    </row>
    <row r="68" spans="4:22" x14ac:dyDescent="0.2">
      <c r="D68" s="119" t="e">
        <v>#N/A</v>
      </c>
      <c r="E68" s="119" t="e">
        <f>_xll.qlRateHelperQuoteName(D68)</f>
        <v>#VALUE!</v>
      </c>
      <c r="F68" s="120" t="e">
        <f>_xll.qlRateHelperQuoteValue($D68)</f>
        <v>#VALUE!</v>
      </c>
      <c r="G68" s="120" t="str">
        <f>IF(ISERROR(_xll.qlSwapRateHelperSpread($D68)),IF(ISERROR(_xll.qlFuturesRateHelperConvexityAdjustment($D68)),"--",_xll.qlFuturesRateHelperConvexityAdjustment($D68)),_xll.qlSwapRateHelperSpread($D68))</f>
        <v>--</v>
      </c>
      <c r="H68" s="121" t="e">
        <f>_xll.qlRateHelperEarliestDate($D68)</f>
        <v>#VALUE!</v>
      </c>
      <c r="I68" s="121" t="e">
        <f>_xll.qlRateHelperMaturityDate(D68)</f>
        <v>#VALUE!</v>
      </c>
      <c r="J68" s="122" t="e">
        <f>_xll.qlRateHelperPillarDate($D68)</f>
        <v>#VALUE!</v>
      </c>
      <c r="K68" s="114" t="e">
        <v>#N/A</v>
      </c>
      <c r="L68" s="13" t="e">
        <v>#N/A</v>
      </c>
      <c r="U68" s="131"/>
      <c r="V68" s="131"/>
    </row>
    <row r="69" spans="4:22" x14ac:dyDescent="0.2">
      <c r="D69" s="119" t="e">
        <v>#N/A</v>
      </c>
      <c r="E69" s="119" t="e">
        <f>_xll.qlRateHelperQuoteName(D69)</f>
        <v>#VALUE!</v>
      </c>
      <c r="F69" s="120" t="e">
        <f>_xll.qlRateHelperQuoteValue($D69)</f>
        <v>#VALUE!</v>
      </c>
      <c r="G69" s="120" t="str">
        <f>IF(ISERROR(_xll.qlSwapRateHelperSpread($D69)),IF(ISERROR(_xll.qlFuturesRateHelperConvexityAdjustment($D69)),"--",_xll.qlFuturesRateHelperConvexityAdjustment($D69)),_xll.qlSwapRateHelperSpread($D69))</f>
        <v>--</v>
      </c>
      <c r="H69" s="121" t="e">
        <f>_xll.qlRateHelperEarliestDate($D69)</f>
        <v>#VALUE!</v>
      </c>
      <c r="I69" s="121" t="e">
        <f>_xll.qlRateHelperMaturityDate(D69)</f>
        <v>#VALUE!</v>
      </c>
      <c r="J69" s="122" t="e">
        <f>_xll.qlRateHelperPillarDate($D69)</f>
        <v>#VALUE!</v>
      </c>
      <c r="K69" s="114" t="e">
        <v>#N/A</v>
      </c>
      <c r="L69" s="13" t="e">
        <v>#N/A</v>
      </c>
      <c r="U69" s="131"/>
      <c r="V69" s="131"/>
    </row>
    <row r="70" spans="4:22" x14ac:dyDescent="0.2">
      <c r="D70" s="119" t="e">
        <v>#N/A</v>
      </c>
      <c r="E70" s="119" t="e">
        <f>_xll.qlRateHelperQuoteName(D70)</f>
        <v>#VALUE!</v>
      </c>
      <c r="F70" s="120" t="e">
        <f>_xll.qlRateHelperQuoteValue($D70)</f>
        <v>#VALUE!</v>
      </c>
      <c r="G70" s="120" t="str">
        <f>IF(ISERROR(_xll.qlSwapRateHelperSpread($D70)),IF(ISERROR(_xll.qlFuturesRateHelperConvexityAdjustment($D70)),"--",_xll.qlFuturesRateHelperConvexityAdjustment($D70)),_xll.qlSwapRateHelperSpread($D70))</f>
        <v>--</v>
      </c>
      <c r="H70" s="121" t="e">
        <f>_xll.qlRateHelperEarliestDate($D70)</f>
        <v>#VALUE!</v>
      </c>
      <c r="I70" s="121" t="e">
        <f>_xll.qlRateHelperMaturityDate(D70)</f>
        <v>#VALUE!</v>
      </c>
      <c r="J70" s="122" t="e">
        <f>_xll.qlRateHelperPillarDate($D70)</f>
        <v>#VALUE!</v>
      </c>
      <c r="K70" s="114" t="e">
        <v>#N/A</v>
      </c>
      <c r="L70" s="13" t="e">
        <v>#N/A</v>
      </c>
      <c r="U70" s="131"/>
      <c r="V70" s="131"/>
    </row>
    <row r="71" spans="4:22" x14ac:dyDescent="0.2">
      <c r="D71" s="119" t="e">
        <v>#N/A</v>
      </c>
      <c r="E71" s="119" t="e">
        <f>_xll.qlRateHelperQuoteName(D71)</f>
        <v>#VALUE!</v>
      </c>
      <c r="F71" s="120" t="e">
        <f>_xll.qlRateHelperQuoteValue($D71)</f>
        <v>#VALUE!</v>
      </c>
      <c r="G71" s="120" t="str">
        <f>IF(ISERROR(_xll.qlSwapRateHelperSpread($D71)),IF(ISERROR(_xll.qlFuturesRateHelperConvexityAdjustment($D71)),"--",_xll.qlFuturesRateHelperConvexityAdjustment($D71)),_xll.qlSwapRateHelperSpread($D71))</f>
        <v>--</v>
      </c>
      <c r="H71" s="121" t="e">
        <f>_xll.qlRateHelperEarliestDate($D71)</f>
        <v>#VALUE!</v>
      </c>
      <c r="I71" s="121" t="e">
        <f>_xll.qlRateHelperMaturityDate(D71)</f>
        <v>#VALUE!</v>
      </c>
      <c r="J71" s="122" t="e">
        <f>_xll.qlRateHelperPillarDate($D71)</f>
        <v>#VALUE!</v>
      </c>
      <c r="K71" s="114" t="e">
        <v>#N/A</v>
      </c>
      <c r="L71" s="13" t="e">
        <v>#N/A</v>
      </c>
      <c r="U71" s="131"/>
      <c r="V71" s="131"/>
    </row>
    <row r="72" spans="4:22" x14ac:dyDescent="0.2">
      <c r="D72" s="119" t="e">
        <v>#N/A</v>
      </c>
      <c r="E72" s="119" t="e">
        <f>_xll.qlRateHelperQuoteName(D72)</f>
        <v>#VALUE!</v>
      </c>
      <c r="F72" s="120" t="e">
        <f>_xll.qlRateHelperQuoteValue($D72)</f>
        <v>#VALUE!</v>
      </c>
      <c r="G72" s="120" t="str">
        <f>IF(ISERROR(_xll.qlSwapRateHelperSpread($D72)),IF(ISERROR(_xll.qlFuturesRateHelperConvexityAdjustment($D72)),"--",_xll.qlFuturesRateHelperConvexityAdjustment($D72)),_xll.qlSwapRateHelperSpread($D72))</f>
        <v>--</v>
      </c>
      <c r="H72" s="121" t="e">
        <f>_xll.qlRateHelperEarliestDate($D72)</f>
        <v>#VALUE!</v>
      </c>
      <c r="I72" s="121" t="e">
        <f>_xll.qlRateHelperMaturityDate(D72)</f>
        <v>#VALUE!</v>
      </c>
      <c r="J72" s="122" t="e">
        <f>_xll.qlRateHelperPillarDate($D72)</f>
        <v>#VALUE!</v>
      </c>
      <c r="K72" s="114" t="e">
        <v>#N/A</v>
      </c>
      <c r="L72" s="13" t="e">
        <v>#N/A</v>
      </c>
      <c r="U72" s="131"/>
      <c r="V72" s="131"/>
    </row>
    <row r="73" spans="4:22" x14ac:dyDescent="0.2">
      <c r="D73" s="119" t="e">
        <v>#N/A</v>
      </c>
      <c r="E73" s="119" t="e">
        <f>_xll.qlRateHelperQuoteName(D73)</f>
        <v>#VALUE!</v>
      </c>
      <c r="F73" s="120" t="e">
        <f>_xll.qlRateHelperQuoteValue($D73)</f>
        <v>#VALUE!</v>
      </c>
      <c r="G73" s="120" t="str">
        <f>IF(ISERROR(_xll.qlSwapRateHelperSpread($D73)),IF(ISERROR(_xll.qlFuturesRateHelperConvexityAdjustment($D73)),"--",_xll.qlFuturesRateHelperConvexityAdjustment($D73)),_xll.qlSwapRateHelperSpread($D73))</f>
        <v>--</v>
      </c>
      <c r="H73" s="121" t="e">
        <f>_xll.qlRateHelperEarliestDate($D73)</f>
        <v>#VALUE!</v>
      </c>
      <c r="I73" s="121" t="e">
        <f>_xll.qlRateHelperMaturityDate(D73)</f>
        <v>#VALUE!</v>
      </c>
      <c r="J73" s="122" t="e">
        <f>_xll.qlRateHelperPillarDate($D73)</f>
        <v>#VALUE!</v>
      </c>
      <c r="K73" s="114" t="e">
        <v>#N/A</v>
      </c>
      <c r="L73" s="13" t="e">
        <v>#N/A</v>
      </c>
      <c r="U73" s="131"/>
      <c r="V73" s="131"/>
    </row>
    <row r="74" spans="4:22" x14ac:dyDescent="0.2">
      <c r="D74" s="119" t="e">
        <v>#N/A</v>
      </c>
      <c r="E74" s="119" t="e">
        <f>_xll.qlRateHelperQuoteName(D74)</f>
        <v>#VALUE!</v>
      </c>
      <c r="F74" s="120" t="e">
        <f>_xll.qlRateHelperQuoteValue($D74)</f>
        <v>#VALUE!</v>
      </c>
      <c r="G74" s="120" t="str">
        <f>IF(ISERROR(_xll.qlSwapRateHelperSpread($D74)),IF(ISERROR(_xll.qlFuturesRateHelperConvexityAdjustment($D74)),"--",_xll.qlFuturesRateHelperConvexityAdjustment($D74)),_xll.qlSwapRateHelperSpread($D74))</f>
        <v>--</v>
      </c>
      <c r="H74" s="121" t="e">
        <f>_xll.qlRateHelperEarliestDate($D74)</f>
        <v>#VALUE!</v>
      </c>
      <c r="I74" s="121" t="e">
        <f>_xll.qlRateHelperMaturityDate(D74)</f>
        <v>#VALUE!</v>
      </c>
      <c r="J74" s="122" t="e">
        <f>_xll.qlRateHelperPillarDate($D74)</f>
        <v>#VALUE!</v>
      </c>
      <c r="K74" s="114" t="e">
        <v>#N/A</v>
      </c>
      <c r="L74" s="13" t="e">
        <v>#N/A</v>
      </c>
      <c r="U74" s="131"/>
      <c r="V74" s="131"/>
    </row>
    <row r="75" spans="4:22" x14ac:dyDescent="0.2">
      <c r="D75" s="119" t="e">
        <v>#N/A</v>
      </c>
      <c r="E75" s="119" t="e">
        <f>_xll.qlRateHelperQuoteName(D75)</f>
        <v>#VALUE!</v>
      </c>
      <c r="F75" s="120" t="e">
        <f>_xll.qlRateHelperQuoteValue($D75)</f>
        <v>#VALUE!</v>
      </c>
      <c r="G75" s="120" t="str">
        <f>IF(ISERROR(_xll.qlSwapRateHelperSpread($D75)),IF(ISERROR(_xll.qlFuturesRateHelperConvexityAdjustment($D75)),"--",_xll.qlFuturesRateHelperConvexityAdjustment($D75)),_xll.qlSwapRateHelperSpread($D75))</f>
        <v>--</v>
      </c>
      <c r="H75" s="121" t="e">
        <f>_xll.qlRateHelperEarliestDate($D75)</f>
        <v>#VALUE!</v>
      </c>
      <c r="I75" s="121" t="e">
        <f>_xll.qlRateHelperMaturityDate(D75)</f>
        <v>#VALUE!</v>
      </c>
      <c r="J75" s="122" t="e">
        <f>_xll.qlRateHelperPillarDate($D75)</f>
        <v>#VALUE!</v>
      </c>
      <c r="K75" s="114" t="e">
        <v>#N/A</v>
      </c>
      <c r="L75" s="13" t="e">
        <v>#N/A</v>
      </c>
      <c r="U75" s="131"/>
      <c r="V75" s="131"/>
    </row>
    <row r="76" spans="4:22" x14ac:dyDescent="0.2">
      <c r="D76" s="119" t="e">
        <v>#N/A</v>
      </c>
      <c r="E76" s="119" t="e">
        <f>_xll.qlRateHelperQuoteName(D76)</f>
        <v>#VALUE!</v>
      </c>
      <c r="F76" s="120" t="e">
        <f>_xll.qlRateHelperQuoteValue($D76)</f>
        <v>#VALUE!</v>
      </c>
      <c r="G76" s="120" t="str">
        <f>IF(ISERROR(_xll.qlSwapRateHelperSpread($D76)),IF(ISERROR(_xll.qlFuturesRateHelperConvexityAdjustment($D76)),"--",_xll.qlFuturesRateHelperConvexityAdjustment($D76)),_xll.qlSwapRateHelperSpread($D76))</f>
        <v>--</v>
      </c>
      <c r="H76" s="121" t="e">
        <f>_xll.qlRateHelperEarliestDate($D76)</f>
        <v>#VALUE!</v>
      </c>
      <c r="I76" s="121" t="e">
        <f>_xll.qlRateHelperMaturityDate(D76)</f>
        <v>#VALUE!</v>
      </c>
      <c r="J76" s="122" t="e">
        <f>_xll.qlRateHelperPillarDate($D76)</f>
        <v>#VALUE!</v>
      </c>
      <c r="K76" s="114" t="e">
        <v>#N/A</v>
      </c>
      <c r="L76" s="13" t="e">
        <v>#N/A</v>
      </c>
      <c r="U76" s="131"/>
      <c r="V76" s="131"/>
    </row>
    <row r="77" spans="4:22" x14ac:dyDescent="0.2">
      <c r="D77" s="119" t="e">
        <v>#N/A</v>
      </c>
      <c r="E77" s="119" t="e">
        <f>_xll.qlRateHelperQuoteName(D77)</f>
        <v>#VALUE!</v>
      </c>
      <c r="F77" s="120" t="e">
        <f>_xll.qlRateHelperQuoteValue($D77)</f>
        <v>#VALUE!</v>
      </c>
      <c r="G77" s="120" t="str">
        <f>IF(ISERROR(_xll.qlSwapRateHelperSpread($D77)),IF(ISERROR(_xll.qlFuturesRateHelperConvexityAdjustment($D77)),"--",_xll.qlFuturesRateHelperConvexityAdjustment($D77)),_xll.qlSwapRateHelperSpread($D77))</f>
        <v>--</v>
      </c>
      <c r="H77" s="121" t="e">
        <f>_xll.qlRateHelperEarliestDate($D77)</f>
        <v>#VALUE!</v>
      </c>
      <c r="I77" s="121" t="e">
        <f>_xll.qlRateHelperMaturityDate(D77)</f>
        <v>#VALUE!</v>
      </c>
      <c r="J77" s="122" t="e">
        <f>_xll.qlRateHelperPillarDate($D77)</f>
        <v>#VALUE!</v>
      </c>
      <c r="K77" s="114" t="e">
        <v>#N/A</v>
      </c>
      <c r="L77" s="13" t="e">
        <v>#N/A</v>
      </c>
    </row>
    <row r="78" spans="4:22" x14ac:dyDescent="0.2">
      <c r="D78" s="119" t="e">
        <v>#N/A</v>
      </c>
      <c r="E78" s="119" t="e">
        <f>_xll.qlRateHelperQuoteName(D78)</f>
        <v>#VALUE!</v>
      </c>
      <c r="F78" s="120" t="e">
        <f>_xll.qlRateHelperQuoteValue($D78)</f>
        <v>#VALUE!</v>
      </c>
      <c r="G78" s="120" t="str">
        <f>IF(ISERROR(_xll.qlSwapRateHelperSpread($D78)),IF(ISERROR(_xll.qlFuturesRateHelperConvexityAdjustment($D78)),"--",_xll.qlFuturesRateHelperConvexityAdjustment($D78)),_xll.qlSwapRateHelperSpread($D78))</f>
        <v>--</v>
      </c>
      <c r="H78" s="121" t="e">
        <f>_xll.qlRateHelperEarliestDate($D78)</f>
        <v>#VALUE!</v>
      </c>
      <c r="I78" s="121" t="e">
        <f>_xll.qlRateHelperMaturityDate(D78)</f>
        <v>#VALUE!</v>
      </c>
      <c r="J78" s="122" t="e">
        <f>_xll.qlRateHelperPillarDate($D78)</f>
        <v>#VALUE!</v>
      </c>
      <c r="K78" s="114" t="e">
        <v>#N/A</v>
      </c>
      <c r="L78" s="13" t="e">
        <v>#N/A</v>
      </c>
    </row>
    <row r="79" spans="4:22" x14ac:dyDescent="0.2">
      <c r="D79" s="119" t="e">
        <v>#N/A</v>
      </c>
      <c r="E79" s="119" t="e">
        <f>_xll.qlRateHelperQuoteName(D79)</f>
        <v>#VALUE!</v>
      </c>
      <c r="F79" s="120" t="e">
        <f>_xll.qlRateHelperQuoteValue($D79)</f>
        <v>#VALUE!</v>
      </c>
      <c r="G79" s="120" t="str">
        <f>IF(ISERROR(_xll.qlSwapRateHelperSpread($D79)),IF(ISERROR(_xll.qlFuturesRateHelperConvexityAdjustment($D79)),"--",_xll.qlFuturesRateHelperConvexityAdjustment($D79)),_xll.qlSwapRateHelperSpread($D79))</f>
        <v>--</v>
      </c>
      <c r="H79" s="121" t="e">
        <f>_xll.qlRateHelperEarliestDate($D79)</f>
        <v>#VALUE!</v>
      </c>
      <c r="I79" s="121" t="e">
        <f>_xll.qlRateHelperMaturityDate(D79)</f>
        <v>#VALUE!</v>
      </c>
      <c r="J79" s="122" t="e">
        <f>_xll.qlRateHelperPillarDate($D79)</f>
        <v>#VALUE!</v>
      </c>
      <c r="K79" s="114" t="e">
        <v>#N/A</v>
      </c>
      <c r="L79" s="13" t="e">
        <v>#N/A</v>
      </c>
    </row>
    <row r="80" spans="4:22" x14ac:dyDescent="0.2">
      <c r="D80" s="119" t="e">
        <v>#N/A</v>
      </c>
      <c r="E80" s="119" t="e">
        <f>_xll.qlRateHelperQuoteName(D80)</f>
        <v>#VALUE!</v>
      </c>
      <c r="F80" s="120" t="e">
        <f>_xll.qlRateHelperQuoteValue($D80)</f>
        <v>#VALUE!</v>
      </c>
      <c r="G80" s="120" t="str">
        <f>IF(ISERROR(_xll.qlSwapRateHelperSpread($D80)),IF(ISERROR(_xll.qlFuturesRateHelperConvexityAdjustment($D80)),"--",_xll.qlFuturesRateHelperConvexityAdjustment($D80)),_xll.qlSwapRateHelperSpread($D80))</f>
        <v>--</v>
      </c>
      <c r="H80" s="121" t="e">
        <f>_xll.qlRateHelperEarliestDate($D80)</f>
        <v>#VALUE!</v>
      </c>
      <c r="I80" s="121" t="e">
        <f>_xll.qlRateHelperMaturityDate(D80)</f>
        <v>#VALUE!</v>
      </c>
      <c r="J80" s="122" t="e">
        <f>_xll.qlRateHelperPillarDate($D80)</f>
        <v>#VALUE!</v>
      </c>
      <c r="K80" s="114" t="e">
        <v>#N/A</v>
      </c>
      <c r="L80" s="13" t="e">
        <v>#N/A</v>
      </c>
    </row>
    <row r="81" spans="4:12" x14ac:dyDescent="0.2">
      <c r="D81" s="119" t="e">
        <v>#N/A</v>
      </c>
      <c r="E81" s="119" t="e">
        <f>_xll.qlRateHelperQuoteName(D81)</f>
        <v>#VALUE!</v>
      </c>
      <c r="F81" s="120" t="e">
        <f>_xll.qlRateHelperQuoteValue($D81)</f>
        <v>#VALUE!</v>
      </c>
      <c r="G81" s="120" t="str">
        <f>IF(ISERROR(_xll.qlSwapRateHelperSpread($D81)),IF(ISERROR(_xll.qlFuturesRateHelperConvexityAdjustment($D81)),"--",_xll.qlFuturesRateHelperConvexityAdjustment($D81)),_xll.qlSwapRateHelperSpread($D81))</f>
        <v>--</v>
      </c>
      <c r="H81" s="121" t="e">
        <f>_xll.qlRateHelperEarliestDate($D81)</f>
        <v>#VALUE!</v>
      </c>
      <c r="I81" s="121" t="e">
        <f>_xll.qlRateHelperMaturityDate(D81)</f>
        <v>#VALUE!</v>
      </c>
      <c r="J81" s="122" t="e">
        <f>_xll.qlRateHelperPillarDate($D81)</f>
        <v>#VALUE!</v>
      </c>
      <c r="K81" s="114" t="e">
        <v>#N/A</v>
      </c>
      <c r="L81" s="13" t="e">
        <v>#N/A</v>
      </c>
    </row>
    <row r="82" spans="4:12" x14ac:dyDescent="0.2">
      <c r="D82" s="119" t="e">
        <v>#N/A</v>
      </c>
      <c r="E82" s="119" t="e">
        <f>_xll.qlRateHelperQuoteName(D82)</f>
        <v>#VALUE!</v>
      </c>
      <c r="F82" s="120" t="e">
        <f>_xll.qlRateHelperQuoteValue($D82)</f>
        <v>#VALUE!</v>
      </c>
      <c r="G82" s="120" t="str">
        <f>IF(ISERROR(_xll.qlSwapRateHelperSpread($D82)),IF(ISERROR(_xll.qlFuturesRateHelperConvexityAdjustment($D82)),"--",_xll.qlFuturesRateHelperConvexityAdjustment($D82)),_xll.qlSwapRateHelperSpread($D82))</f>
        <v>--</v>
      </c>
      <c r="H82" s="121" t="e">
        <f>_xll.qlRateHelperEarliestDate($D82)</f>
        <v>#VALUE!</v>
      </c>
      <c r="I82" s="121" t="e">
        <f>_xll.qlRateHelperMaturityDate(D82)</f>
        <v>#VALUE!</v>
      </c>
      <c r="J82" s="122" t="e">
        <f>_xll.qlRateHelperPillarDate($D82)</f>
        <v>#VALUE!</v>
      </c>
      <c r="K82" s="114" t="e">
        <v>#N/A</v>
      </c>
      <c r="L82" s="13" t="e">
        <v>#N/A</v>
      </c>
    </row>
    <row r="83" spans="4:12" x14ac:dyDescent="0.2">
      <c r="D83" s="119" t="e">
        <v>#N/A</v>
      </c>
      <c r="E83" s="119" t="e">
        <f>_xll.qlRateHelperQuoteName(D83)</f>
        <v>#VALUE!</v>
      </c>
      <c r="F83" s="120" t="e">
        <f>_xll.qlRateHelperQuoteValue($D83)</f>
        <v>#VALUE!</v>
      </c>
      <c r="G83" s="120" t="str">
        <f>IF(ISERROR(_xll.qlSwapRateHelperSpread($D83)),IF(ISERROR(_xll.qlFuturesRateHelperConvexityAdjustment($D83)),"--",_xll.qlFuturesRateHelperConvexityAdjustment($D83)),_xll.qlSwapRateHelperSpread($D83))</f>
        <v>--</v>
      </c>
      <c r="H83" s="121" t="e">
        <f>_xll.qlRateHelperEarliestDate($D83)</f>
        <v>#VALUE!</v>
      </c>
      <c r="I83" s="121" t="e">
        <f>_xll.qlRateHelperMaturityDate(D83)</f>
        <v>#VALUE!</v>
      </c>
      <c r="J83" s="122" t="e">
        <f>_xll.qlRateHelperPillarDate($D83)</f>
        <v>#VALUE!</v>
      </c>
      <c r="K83" s="114" t="e">
        <v>#N/A</v>
      </c>
      <c r="L83" s="13" t="e">
        <v>#N/A</v>
      </c>
    </row>
    <row r="84" spans="4:12" x14ac:dyDescent="0.2">
      <c r="D84" s="119" t="e">
        <v>#N/A</v>
      </c>
      <c r="E84" s="119" t="e">
        <f>_xll.qlRateHelperQuoteName(D84)</f>
        <v>#VALUE!</v>
      </c>
      <c r="F84" s="120" t="e">
        <f>_xll.qlRateHelperQuoteValue($D84)</f>
        <v>#VALUE!</v>
      </c>
      <c r="G84" s="120" t="str">
        <f>IF(ISERROR(_xll.qlSwapRateHelperSpread($D84)),IF(ISERROR(_xll.qlFuturesRateHelperConvexityAdjustment($D84)),"--",_xll.qlFuturesRateHelperConvexityAdjustment($D84)),_xll.qlSwapRateHelperSpread($D84))</f>
        <v>--</v>
      </c>
      <c r="H84" s="121" t="e">
        <f>_xll.qlRateHelperEarliestDate($D84)</f>
        <v>#VALUE!</v>
      </c>
      <c r="I84" s="121" t="e">
        <f>_xll.qlRateHelperMaturityDate(D84)</f>
        <v>#VALUE!</v>
      </c>
      <c r="J84" s="122" t="e">
        <f>_xll.qlRateHelperPillarDate($D84)</f>
        <v>#VALUE!</v>
      </c>
      <c r="K84" s="114" t="e">
        <v>#N/A</v>
      </c>
      <c r="L84" s="13" t="e">
        <v>#N/A</v>
      </c>
    </row>
    <row r="85" spans="4:12" x14ac:dyDescent="0.2">
      <c r="D85" s="119" t="e">
        <v>#N/A</v>
      </c>
      <c r="E85" s="119" t="e">
        <f>_xll.qlRateHelperQuoteName(D85)</f>
        <v>#VALUE!</v>
      </c>
      <c r="F85" s="120" t="e">
        <f>_xll.qlRateHelperQuoteValue($D85)</f>
        <v>#VALUE!</v>
      </c>
      <c r="G85" s="120" t="str">
        <f>IF(ISERROR(_xll.qlSwapRateHelperSpread($D85)),IF(ISERROR(_xll.qlFuturesRateHelperConvexityAdjustment($D85)),"--",_xll.qlFuturesRateHelperConvexityAdjustment($D85)),_xll.qlSwapRateHelperSpread($D85))</f>
        <v>--</v>
      </c>
      <c r="H85" s="121" t="e">
        <f>_xll.qlRateHelperEarliestDate($D85)</f>
        <v>#VALUE!</v>
      </c>
      <c r="I85" s="121" t="e">
        <f>_xll.qlRateHelperMaturityDate(D85)</f>
        <v>#VALUE!</v>
      </c>
      <c r="J85" s="122" t="e">
        <f>_xll.qlRateHelperPillarDate($D85)</f>
        <v>#VALUE!</v>
      </c>
      <c r="K85" s="114" t="e">
        <v>#N/A</v>
      </c>
      <c r="L85" s="13" t="e">
        <v>#N/A</v>
      </c>
    </row>
    <row r="86" spans="4:12" x14ac:dyDescent="0.2">
      <c r="D86" s="119" t="e">
        <v>#N/A</v>
      </c>
      <c r="E86" s="119" t="e">
        <f>_xll.qlRateHelperQuoteName(D86)</f>
        <v>#VALUE!</v>
      </c>
      <c r="F86" s="120" t="e">
        <f>_xll.qlRateHelperQuoteValue($D86)</f>
        <v>#VALUE!</v>
      </c>
      <c r="G86" s="120" t="str">
        <f>IF(ISERROR(_xll.qlSwapRateHelperSpread($D86)),IF(ISERROR(_xll.qlFuturesRateHelperConvexityAdjustment($D86)),"--",_xll.qlFuturesRateHelperConvexityAdjustment($D86)),_xll.qlSwapRateHelperSpread($D86))</f>
        <v>--</v>
      </c>
      <c r="H86" s="121" t="e">
        <f>_xll.qlRateHelperEarliestDate($D86)</f>
        <v>#VALUE!</v>
      </c>
      <c r="I86" s="121" t="e">
        <f>_xll.qlRateHelperMaturityDate(D86)</f>
        <v>#VALUE!</v>
      </c>
      <c r="J86" s="122" t="e">
        <f>_xll.qlRateHelperPillarDate($D86)</f>
        <v>#VALUE!</v>
      </c>
      <c r="K86" s="114" t="e">
        <v>#N/A</v>
      </c>
      <c r="L86" s="13" t="e">
        <v>#N/A</v>
      </c>
    </row>
    <row r="87" spans="4:12" x14ac:dyDescent="0.2">
      <c r="D87" s="119" t="e">
        <v>#N/A</v>
      </c>
      <c r="E87" s="119" t="e">
        <f>_xll.qlRateHelperQuoteName(D87)</f>
        <v>#VALUE!</v>
      </c>
      <c r="F87" s="120" t="e">
        <f>_xll.qlRateHelperQuoteValue($D87)</f>
        <v>#VALUE!</v>
      </c>
      <c r="G87" s="120" t="str">
        <f>IF(ISERROR(_xll.qlSwapRateHelperSpread($D87)),IF(ISERROR(_xll.qlFuturesRateHelperConvexityAdjustment($D87)),"--",_xll.qlFuturesRateHelperConvexityAdjustment($D87)),_xll.qlSwapRateHelperSpread($D87))</f>
        <v>--</v>
      </c>
      <c r="H87" s="121" t="e">
        <f>_xll.qlRateHelperEarliestDate($D87)</f>
        <v>#VALUE!</v>
      </c>
      <c r="I87" s="121" t="e">
        <f>_xll.qlRateHelperMaturityDate(D87)</f>
        <v>#VALUE!</v>
      </c>
      <c r="J87" s="122" t="e">
        <f>_xll.qlRateHelperPillarDate($D87)</f>
        <v>#VALUE!</v>
      </c>
      <c r="K87" s="114" t="e">
        <v>#N/A</v>
      </c>
      <c r="L87" s="13" t="e">
        <v>#N/A</v>
      </c>
    </row>
    <row r="88" spans="4:12" x14ac:dyDescent="0.2">
      <c r="D88" s="119" t="e">
        <v>#N/A</v>
      </c>
      <c r="E88" s="119" t="e">
        <f>_xll.qlRateHelperQuoteName(D88)</f>
        <v>#VALUE!</v>
      </c>
      <c r="F88" s="120" t="e">
        <f>_xll.qlRateHelperQuoteValue($D88)</f>
        <v>#VALUE!</v>
      </c>
      <c r="G88" s="120" t="str">
        <f>IF(ISERROR(_xll.qlSwapRateHelperSpread($D88)),IF(ISERROR(_xll.qlFuturesRateHelperConvexityAdjustment($D88)),"--",_xll.qlFuturesRateHelperConvexityAdjustment($D88)),_xll.qlSwapRateHelperSpread($D88))</f>
        <v>--</v>
      </c>
      <c r="H88" s="121" t="e">
        <f>_xll.qlRateHelperEarliestDate($D88)</f>
        <v>#VALUE!</v>
      </c>
      <c r="I88" s="121" t="e">
        <f>_xll.qlRateHelperMaturityDate(D88)</f>
        <v>#VALUE!</v>
      </c>
      <c r="J88" s="122" t="e">
        <f>_xll.qlRateHelperPillarDate($D88)</f>
        <v>#VALUE!</v>
      </c>
      <c r="K88" s="114" t="e">
        <v>#N/A</v>
      </c>
      <c r="L88" s="13" t="e">
        <v>#N/A</v>
      </c>
    </row>
    <row r="89" spans="4:12" x14ac:dyDescent="0.2">
      <c r="D89" s="119" t="e">
        <v>#N/A</v>
      </c>
      <c r="E89" s="119" t="e">
        <f>_xll.qlRateHelperQuoteName(D89)</f>
        <v>#VALUE!</v>
      </c>
      <c r="F89" s="120" t="e">
        <f>_xll.qlRateHelperQuoteValue($D89)</f>
        <v>#VALUE!</v>
      </c>
      <c r="G89" s="120" t="str">
        <f>IF(ISERROR(_xll.qlSwapRateHelperSpread($D89)),IF(ISERROR(_xll.qlFuturesRateHelperConvexityAdjustment($D89)),"--",_xll.qlFuturesRateHelperConvexityAdjustment($D89)),_xll.qlSwapRateHelperSpread($D89))</f>
        <v>--</v>
      </c>
      <c r="H89" s="121" t="e">
        <f>_xll.qlRateHelperEarliestDate($D89)</f>
        <v>#VALUE!</v>
      </c>
      <c r="I89" s="121" t="e">
        <f>_xll.qlRateHelperMaturityDate(D89)</f>
        <v>#VALUE!</v>
      </c>
      <c r="J89" s="122" t="e">
        <f>_xll.qlRateHelperPillarDate($D89)</f>
        <v>#VALUE!</v>
      </c>
      <c r="K89" s="114" t="e">
        <v>#N/A</v>
      </c>
      <c r="L89" s="13" t="e">
        <v>#N/A</v>
      </c>
    </row>
    <row r="90" spans="4:12" x14ac:dyDescent="0.2">
      <c r="D90" s="119" t="e">
        <v>#N/A</v>
      </c>
      <c r="E90" s="119" t="e">
        <f>_xll.qlRateHelperQuoteName(D90)</f>
        <v>#VALUE!</v>
      </c>
      <c r="F90" s="120" t="e">
        <f>_xll.qlRateHelperQuoteValue($D90)</f>
        <v>#VALUE!</v>
      </c>
      <c r="G90" s="120" t="str">
        <f>IF(ISERROR(_xll.qlSwapRateHelperSpread($D90)),IF(ISERROR(_xll.qlFuturesRateHelperConvexityAdjustment($D90)),"--",_xll.qlFuturesRateHelperConvexityAdjustment($D90)),_xll.qlSwapRateHelperSpread($D90))</f>
        <v>--</v>
      </c>
      <c r="H90" s="121" t="e">
        <f>_xll.qlRateHelperEarliestDate($D90)</f>
        <v>#VALUE!</v>
      </c>
      <c r="I90" s="121" t="e">
        <f>_xll.qlRateHelperMaturityDate(D90)</f>
        <v>#VALUE!</v>
      </c>
      <c r="J90" s="122" t="e">
        <f>_xll.qlRateHelperPillarDate($D90)</f>
        <v>#VALUE!</v>
      </c>
      <c r="K90" s="114" t="e">
        <v>#N/A</v>
      </c>
      <c r="L90" s="13" t="e">
        <v>#N/A</v>
      </c>
    </row>
    <row r="91" spans="4:12" x14ac:dyDescent="0.2">
      <c r="D91" s="119" t="e">
        <v>#N/A</v>
      </c>
      <c r="E91" s="119" t="e">
        <f>_xll.qlRateHelperQuoteName(D91)</f>
        <v>#VALUE!</v>
      </c>
      <c r="F91" s="120" t="e">
        <f>_xll.qlRateHelperQuoteValue($D91)</f>
        <v>#VALUE!</v>
      </c>
      <c r="G91" s="120" t="str">
        <f>IF(ISERROR(_xll.qlSwapRateHelperSpread($D91)),IF(ISERROR(_xll.qlFuturesRateHelperConvexityAdjustment($D91)),"--",_xll.qlFuturesRateHelperConvexityAdjustment($D91)),_xll.qlSwapRateHelperSpread($D91))</f>
        <v>--</v>
      </c>
      <c r="H91" s="121" t="e">
        <f>_xll.qlRateHelperEarliestDate($D91)</f>
        <v>#VALUE!</v>
      </c>
      <c r="I91" s="121" t="e">
        <f>_xll.qlRateHelperMaturityDate(D91)</f>
        <v>#VALUE!</v>
      </c>
      <c r="J91" s="122" t="e">
        <f>_xll.qlRateHelperPillarDate($D91)</f>
        <v>#VALUE!</v>
      </c>
      <c r="K91" s="114" t="e">
        <v>#N/A</v>
      </c>
      <c r="L91" s="13" t="e">
        <v>#N/A</v>
      </c>
    </row>
    <row r="92" spans="4:12" x14ac:dyDescent="0.2">
      <c r="D92" s="119" t="e">
        <v>#N/A</v>
      </c>
      <c r="E92" s="119" t="e">
        <f>_xll.qlRateHelperQuoteName(D92)</f>
        <v>#VALUE!</v>
      </c>
      <c r="F92" s="120" t="e">
        <f>_xll.qlRateHelperQuoteValue($D92)</f>
        <v>#VALUE!</v>
      </c>
      <c r="G92" s="120" t="str">
        <f>IF(ISERROR(_xll.qlSwapRateHelperSpread($D92)),IF(ISERROR(_xll.qlFuturesRateHelperConvexityAdjustment($D92)),"--",_xll.qlFuturesRateHelperConvexityAdjustment($D92)),_xll.qlSwapRateHelperSpread($D92))</f>
        <v>--</v>
      </c>
      <c r="H92" s="121" t="e">
        <f>_xll.qlRateHelperEarliestDate($D92)</f>
        <v>#VALUE!</v>
      </c>
      <c r="I92" s="121" t="e">
        <f>_xll.qlRateHelperMaturityDate(D92)</f>
        <v>#VALUE!</v>
      </c>
      <c r="J92" s="122" t="e">
        <f>_xll.qlRateHelperPillarDate($D92)</f>
        <v>#VALUE!</v>
      </c>
      <c r="K92" s="114" t="e">
        <v>#N/A</v>
      </c>
      <c r="L92" s="13" t="e">
        <v>#N/A</v>
      </c>
    </row>
    <row r="93" spans="4:12" x14ac:dyDescent="0.2">
      <c r="D93" s="119" t="e">
        <v>#N/A</v>
      </c>
      <c r="E93" s="119" t="e">
        <f>_xll.qlRateHelperQuoteName(D93)</f>
        <v>#VALUE!</v>
      </c>
      <c r="F93" s="120" t="e">
        <f>_xll.qlRateHelperQuoteValue($D93)</f>
        <v>#VALUE!</v>
      </c>
      <c r="G93" s="120" t="str">
        <f>IF(ISERROR(_xll.qlSwapRateHelperSpread($D93)),IF(ISERROR(_xll.qlFuturesRateHelperConvexityAdjustment($D93)),"--",_xll.qlFuturesRateHelperConvexityAdjustment($D93)),_xll.qlSwapRateHelperSpread($D93))</f>
        <v>--</v>
      </c>
      <c r="H93" s="121" t="e">
        <f>_xll.qlRateHelperEarliestDate($D93)</f>
        <v>#VALUE!</v>
      </c>
      <c r="I93" s="121" t="e">
        <f>_xll.qlRateHelperMaturityDate(D93)</f>
        <v>#VALUE!</v>
      </c>
      <c r="J93" s="122" t="e">
        <f>_xll.qlRateHelperPillarDate($D93)</f>
        <v>#VALUE!</v>
      </c>
      <c r="K93" s="114" t="e">
        <v>#N/A</v>
      </c>
      <c r="L93" s="13" t="e">
        <v>#N/A</v>
      </c>
    </row>
    <row r="94" spans="4:12" x14ac:dyDescent="0.2">
      <c r="D94" s="119" t="e">
        <v>#N/A</v>
      </c>
      <c r="E94" s="119" t="e">
        <f>_xll.qlRateHelperQuoteName(D94)</f>
        <v>#VALUE!</v>
      </c>
      <c r="F94" s="120" t="e">
        <f>_xll.qlRateHelperQuoteValue($D94)</f>
        <v>#VALUE!</v>
      </c>
      <c r="G94" s="120" t="str">
        <f>IF(ISERROR(_xll.qlSwapRateHelperSpread($D94)),IF(ISERROR(_xll.qlFuturesRateHelperConvexityAdjustment($D94)),"--",_xll.qlFuturesRateHelperConvexityAdjustment($D94)),_xll.qlSwapRateHelperSpread($D94))</f>
        <v>--</v>
      </c>
      <c r="H94" s="121" t="e">
        <f>_xll.qlRateHelperEarliestDate($D94)</f>
        <v>#VALUE!</v>
      </c>
      <c r="I94" s="121" t="e">
        <f>_xll.qlRateHelperMaturityDate(D94)</f>
        <v>#VALUE!</v>
      </c>
      <c r="J94" s="122" t="e">
        <f>_xll.qlRateHelperPillarDate($D94)</f>
        <v>#VALUE!</v>
      </c>
      <c r="K94" s="114" t="e">
        <v>#N/A</v>
      </c>
      <c r="L94" s="13" t="e">
        <v>#N/A</v>
      </c>
    </row>
    <row r="95" spans="4:12" x14ac:dyDescent="0.2">
      <c r="D95" s="119" t="e">
        <v>#N/A</v>
      </c>
      <c r="E95" s="119" t="e">
        <f>_xll.qlRateHelperQuoteName(D95)</f>
        <v>#VALUE!</v>
      </c>
      <c r="F95" s="120" t="e">
        <f>_xll.qlRateHelperQuoteValue($D95)</f>
        <v>#VALUE!</v>
      </c>
      <c r="G95" s="120" t="str">
        <f>IF(ISERROR(_xll.qlSwapRateHelperSpread($D95)),IF(ISERROR(_xll.qlFuturesRateHelperConvexityAdjustment($D95)),"--",_xll.qlFuturesRateHelperConvexityAdjustment($D95)),_xll.qlSwapRateHelperSpread($D95))</f>
        <v>--</v>
      </c>
      <c r="H95" s="121" t="e">
        <f>_xll.qlRateHelperEarliestDate($D95)</f>
        <v>#VALUE!</v>
      </c>
      <c r="I95" s="121" t="e">
        <f>_xll.qlRateHelperMaturityDate(D95)</f>
        <v>#VALUE!</v>
      </c>
      <c r="J95" s="122" t="e">
        <f>_xll.qlRateHelperPillarDate($D95)</f>
        <v>#VALUE!</v>
      </c>
      <c r="K95" s="114" t="e">
        <v>#N/A</v>
      </c>
      <c r="L95" s="13" t="e">
        <v>#N/A</v>
      </c>
    </row>
    <row r="96" spans="4:12" x14ac:dyDescent="0.2">
      <c r="D96" s="119" t="e">
        <v>#N/A</v>
      </c>
      <c r="E96" s="119" t="e">
        <f>_xll.qlRateHelperQuoteName(D96)</f>
        <v>#VALUE!</v>
      </c>
      <c r="F96" s="120" t="e">
        <f>_xll.qlRateHelperQuoteValue($D96)</f>
        <v>#VALUE!</v>
      </c>
      <c r="G96" s="120" t="str">
        <f>IF(ISERROR(_xll.qlSwapRateHelperSpread($D96)),IF(ISERROR(_xll.qlFuturesRateHelperConvexityAdjustment($D96)),"--",_xll.qlFuturesRateHelperConvexityAdjustment($D96)),_xll.qlSwapRateHelperSpread($D96))</f>
        <v>--</v>
      </c>
      <c r="H96" s="121" t="e">
        <f>_xll.qlRateHelperEarliestDate($D96)</f>
        <v>#VALUE!</v>
      </c>
      <c r="I96" s="121" t="e">
        <f>_xll.qlRateHelperMaturityDate(D96)</f>
        <v>#VALUE!</v>
      </c>
      <c r="J96" s="122" t="e">
        <f>_xll.qlRateHelperPillarDate($D96)</f>
        <v>#VALUE!</v>
      </c>
      <c r="K96" s="114" t="e">
        <v>#N/A</v>
      </c>
      <c r="L96" s="13" t="e">
        <v>#N/A</v>
      </c>
    </row>
    <row r="97" spans="4:12" x14ac:dyDescent="0.2">
      <c r="D97" s="119" t="e">
        <v>#N/A</v>
      </c>
      <c r="E97" s="119" t="e">
        <f>_xll.qlRateHelperQuoteName(D97)</f>
        <v>#VALUE!</v>
      </c>
      <c r="F97" s="120" t="e">
        <f>_xll.qlRateHelperQuoteValue($D97)</f>
        <v>#VALUE!</v>
      </c>
      <c r="G97" s="120" t="str">
        <f>IF(ISERROR(_xll.qlSwapRateHelperSpread($D97)),IF(ISERROR(_xll.qlFuturesRateHelperConvexityAdjustment($D97)),"--",_xll.qlFuturesRateHelperConvexityAdjustment($D97)),_xll.qlSwapRateHelperSpread($D97))</f>
        <v>--</v>
      </c>
      <c r="H97" s="121" t="e">
        <f>_xll.qlRateHelperEarliestDate($D97)</f>
        <v>#VALUE!</v>
      </c>
      <c r="I97" s="121" t="e">
        <f>_xll.qlRateHelperMaturityDate(D97)</f>
        <v>#VALUE!</v>
      </c>
      <c r="J97" s="122" t="e">
        <f>_xll.qlRateHelperPillarDate($D97)</f>
        <v>#VALUE!</v>
      </c>
      <c r="K97" s="114" t="e">
        <v>#N/A</v>
      </c>
      <c r="L97" s="13" t="e">
        <v>#N/A</v>
      </c>
    </row>
    <row r="98" spans="4:12" x14ac:dyDescent="0.2">
      <c r="D98" s="119" t="e">
        <v>#N/A</v>
      </c>
      <c r="E98" s="119" t="e">
        <f>_xll.qlRateHelperQuoteName(D98)</f>
        <v>#VALUE!</v>
      </c>
      <c r="F98" s="120" t="e">
        <f>_xll.qlRateHelperQuoteValue($D98)</f>
        <v>#VALUE!</v>
      </c>
      <c r="G98" s="120" t="str">
        <f>IF(ISERROR(_xll.qlSwapRateHelperSpread($D98)),IF(ISERROR(_xll.qlFuturesRateHelperConvexityAdjustment($D98)),"--",_xll.qlFuturesRateHelperConvexityAdjustment($D98)),_xll.qlSwapRateHelperSpread($D98))</f>
        <v>--</v>
      </c>
      <c r="H98" s="121" t="e">
        <f>_xll.qlRateHelperEarliestDate($D98)</f>
        <v>#VALUE!</v>
      </c>
      <c r="I98" s="121" t="e">
        <f>_xll.qlRateHelperMaturityDate(D98)</f>
        <v>#VALUE!</v>
      </c>
      <c r="J98" s="122" t="e">
        <f>_xll.qlRateHelperPillarDate($D98)</f>
        <v>#VALUE!</v>
      </c>
      <c r="K98" s="114" t="e">
        <v>#N/A</v>
      </c>
      <c r="L98" s="13" t="e">
        <v>#N/A</v>
      </c>
    </row>
    <row r="99" spans="4:12" x14ac:dyDescent="0.2">
      <c r="D99" s="119" t="e">
        <v>#N/A</v>
      </c>
      <c r="E99" s="119" t="e">
        <f>_xll.qlRateHelperQuoteName(D99)</f>
        <v>#VALUE!</v>
      </c>
      <c r="F99" s="120" t="e">
        <f>_xll.qlRateHelperQuoteValue($D99)</f>
        <v>#VALUE!</v>
      </c>
      <c r="G99" s="120" t="str">
        <f>IF(ISERROR(_xll.qlSwapRateHelperSpread($D99)),IF(ISERROR(_xll.qlFuturesRateHelperConvexityAdjustment($D99)),"--",_xll.qlFuturesRateHelperConvexityAdjustment($D99)),_xll.qlSwapRateHelperSpread($D99))</f>
        <v>--</v>
      </c>
      <c r="H99" s="121" t="e">
        <f>_xll.qlRateHelperEarliestDate($D99)</f>
        <v>#VALUE!</v>
      </c>
      <c r="I99" s="121" t="e">
        <f>_xll.qlRateHelperMaturityDate(D99)</f>
        <v>#VALUE!</v>
      </c>
      <c r="J99" s="122" t="e">
        <f>_xll.qlRateHelperPillarDate($D99)</f>
        <v>#VALUE!</v>
      </c>
      <c r="K99" s="114" t="e">
        <v>#N/A</v>
      </c>
      <c r="L99" s="13" t="e">
        <v>#N/A</v>
      </c>
    </row>
    <row r="100" spans="4:12" x14ac:dyDescent="0.2">
      <c r="D100" s="119" t="e">
        <v>#N/A</v>
      </c>
      <c r="E100" s="119" t="e">
        <f>_xll.qlRateHelperQuoteName(D100)</f>
        <v>#VALUE!</v>
      </c>
      <c r="F100" s="120" t="e">
        <f>_xll.qlRateHelperQuoteValue($D100)</f>
        <v>#VALUE!</v>
      </c>
      <c r="G100" s="120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21" t="e">
        <f>_xll.qlRateHelperEarliestDate($D100)</f>
        <v>#VALUE!</v>
      </c>
      <c r="I100" s="121" t="e">
        <f>_xll.qlRateHelperMaturityDate(D100)</f>
        <v>#VALUE!</v>
      </c>
      <c r="J100" s="122" t="e">
        <f>_xll.qlRateHelperPillarDate($D100)</f>
        <v>#VALUE!</v>
      </c>
      <c r="K100" s="114" t="e">
        <v>#N/A</v>
      </c>
      <c r="L100" s="13" t="e">
        <v>#N/A</v>
      </c>
    </row>
    <row r="101" spans="4:12" x14ac:dyDescent="0.2">
      <c r="D101" s="119" t="e">
        <v>#N/A</v>
      </c>
      <c r="E101" s="119" t="e">
        <f>_xll.qlRateHelperQuoteName(D101)</f>
        <v>#VALUE!</v>
      </c>
      <c r="F101" s="120" t="e">
        <f>_xll.qlRateHelperQuoteValue($D101)</f>
        <v>#VALUE!</v>
      </c>
      <c r="G101" s="120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21" t="e">
        <f>_xll.qlRateHelperEarliestDate($D101)</f>
        <v>#VALUE!</v>
      </c>
      <c r="I101" s="121" t="e">
        <f>_xll.qlRateHelperMaturityDate(D101)</f>
        <v>#VALUE!</v>
      </c>
      <c r="J101" s="122" t="e">
        <f>_xll.qlRateHelperPillarDate($D101)</f>
        <v>#VALUE!</v>
      </c>
      <c r="K101" s="114" t="e">
        <v>#N/A</v>
      </c>
      <c r="L101" s="13" t="e">
        <v>#N/A</v>
      </c>
    </row>
    <row r="102" spans="4:12" x14ac:dyDescent="0.2">
      <c r="D102" s="119" t="e">
        <v>#N/A</v>
      </c>
      <c r="E102" s="119" t="e">
        <f>_xll.qlRateHelperQuoteName(D102)</f>
        <v>#VALUE!</v>
      </c>
      <c r="F102" s="120" t="e">
        <f>_xll.qlRateHelperQuoteValue($D102)</f>
        <v>#VALUE!</v>
      </c>
      <c r="G102" s="120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21" t="e">
        <f>_xll.qlRateHelperEarliestDate($D102)</f>
        <v>#VALUE!</v>
      </c>
      <c r="I102" s="121" t="e">
        <f>_xll.qlRateHelperMaturityDate(D102)</f>
        <v>#VALUE!</v>
      </c>
      <c r="J102" s="122" t="e">
        <f>_xll.qlRateHelperPillarDate($D102)</f>
        <v>#VALUE!</v>
      </c>
      <c r="K102" s="114" t="e">
        <v>#N/A</v>
      </c>
      <c r="L102" s="13" t="e">
        <v>#N/A</v>
      </c>
    </row>
    <row r="103" spans="4:12" x14ac:dyDescent="0.2">
      <c r="D103" s="119" t="e">
        <v>#N/A</v>
      </c>
      <c r="E103" s="119" t="e">
        <f>_xll.qlRateHelperQuoteName(D103)</f>
        <v>#VALUE!</v>
      </c>
      <c r="F103" s="120" t="e">
        <f>_xll.qlRateHelperQuoteValue($D103)</f>
        <v>#VALUE!</v>
      </c>
      <c r="G103" s="120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21" t="e">
        <f>_xll.qlRateHelperEarliestDate($D103)</f>
        <v>#VALUE!</v>
      </c>
      <c r="I103" s="121" t="e">
        <f>_xll.qlRateHelperMaturityDate(D103)</f>
        <v>#VALUE!</v>
      </c>
      <c r="J103" s="122" t="e">
        <f>_xll.qlRateHelperPillarDate($D103)</f>
        <v>#VALUE!</v>
      </c>
      <c r="K103" s="114" t="e">
        <v>#N/A</v>
      </c>
      <c r="L103" s="13" t="e">
        <v>#N/A</v>
      </c>
    </row>
    <row r="104" spans="4:12" x14ac:dyDescent="0.2">
      <c r="D104" s="119" t="e">
        <v>#N/A</v>
      </c>
      <c r="E104" s="119" t="e">
        <f>_xll.qlRateHelperQuoteName(D104)</f>
        <v>#VALUE!</v>
      </c>
      <c r="F104" s="120" t="e">
        <f>_xll.qlRateHelperQuoteValue($D104)</f>
        <v>#VALUE!</v>
      </c>
      <c r="G104" s="120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21" t="e">
        <f>_xll.qlRateHelperEarliestDate($D104)</f>
        <v>#VALUE!</v>
      </c>
      <c r="I104" s="121" t="e">
        <f>_xll.qlRateHelperMaturityDate(D104)</f>
        <v>#VALUE!</v>
      </c>
      <c r="J104" s="122" t="e">
        <f>_xll.qlRateHelperPillarDate($D104)</f>
        <v>#VALUE!</v>
      </c>
      <c r="K104" s="114" t="e">
        <v>#N/A</v>
      </c>
      <c r="L104" s="13" t="e">
        <v>#N/A</v>
      </c>
    </row>
    <row r="105" spans="4:12" x14ac:dyDescent="0.2">
      <c r="D105" s="119" t="e">
        <v>#N/A</v>
      </c>
      <c r="E105" s="119" t="e">
        <f>_xll.qlRateHelperQuoteName(D105)</f>
        <v>#VALUE!</v>
      </c>
      <c r="F105" s="120" t="e">
        <f>_xll.qlRateHelperQuoteValue($D105)</f>
        <v>#VALUE!</v>
      </c>
      <c r="G105" s="120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21" t="e">
        <f>_xll.qlRateHelperEarliestDate($D105)</f>
        <v>#VALUE!</v>
      </c>
      <c r="I105" s="121" t="e">
        <f>_xll.qlRateHelperMaturityDate(D105)</f>
        <v>#VALUE!</v>
      </c>
      <c r="J105" s="122" t="e">
        <f>_xll.qlRateHelperPillarDate($D105)</f>
        <v>#VALUE!</v>
      </c>
      <c r="K105" s="114" t="e">
        <v>#N/A</v>
      </c>
      <c r="L105" s="13" t="e">
        <v>#N/A</v>
      </c>
    </row>
    <row r="106" spans="4:12" x14ac:dyDescent="0.2">
      <c r="D106" s="119" t="e">
        <v>#N/A</v>
      </c>
      <c r="E106" s="119" t="e">
        <f>_xll.qlRateHelperQuoteName(D106)</f>
        <v>#VALUE!</v>
      </c>
      <c r="F106" s="120" t="e">
        <f>_xll.qlRateHelperQuoteValue($D106)</f>
        <v>#VALUE!</v>
      </c>
      <c r="G106" s="120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21" t="e">
        <f>_xll.qlRateHelperEarliestDate($D106)</f>
        <v>#VALUE!</v>
      </c>
      <c r="I106" s="121" t="e">
        <f>_xll.qlRateHelperMaturityDate(D106)</f>
        <v>#VALUE!</v>
      </c>
      <c r="J106" s="122" t="e">
        <f>_xll.qlRateHelperPillarDate($D106)</f>
        <v>#VALUE!</v>
      </c>
      <c r="K106" s="114" t="e">
        <v>#N/A</v>
      </c>
      <c r="L106" s="13" t="e">
        <v>#N/A</v>
      </c>
    </row>
    <row r="107" spans="4:12" x14ac:dyDescent="0.2">
      <c r="D107" s="119" t="e">
        <v>#N/A</v>
      </c>
      <c r="E107" s="119" t="e">
        <f>_xll.qlRateHelperQuoteName(D107)</f>
        <v>#VALUE!</v>
      </c>
      <c r="F107" s="120" t="e">
        <f>_xll.qlRateHelperQuoteValue($D107)</f>
        <v>#VALUE!</v>
      </c>
      <c r="G107" s="120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21" t="e">
        <f>_xll.qlRateHelperEarliestDate($D107)</f>
        <v>#VALUE!</v>
      </c>
      <c r="I107" s="121" t="e">
        <f>_xll.qlRateHelperMaturityDate(D107)</f>
        <v>#VALUE!</v>
      </c>
      <c r="J107" s="122" t="e">
        <f>_xll.qlRateHelperPillarDate($D107)</f>
        <v>#VALUE!</v>
      </c>
      <c r="K107" s="114" t="e">
        <v>#N/A</v>
      </c>
      <c r="L107" s="13" t="e">
        <v>#N/A</v>
      </c>
    </row>
    <row r="108" spans="4:12" x14ac:dyDescent="0.2">
      <c r="D108" s="119" t="e">
        <v>#N/A</v>
      </c>
      <c r="E108" s="119" t="e">
        <f>_xll.qlRateHelperQuoteName(D108)</f>
        <v>#VALUE!</v>
      </c>
      <c r="F108" s="120" t="e">
        <f>_xll.qlRateHelperQuoteValue($D108)</f>
        <v>#VALUE!</v>
      </c>
      <c r="G108" s="120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21" t="e">
        <f>_xll.qlRateHelperEarliestDate($D108)</f>
        <v>#VALUE!</v>
      </c>
      <c r="I108" s="121" t="e">
        <f>_xll.qlRateHelperMaturityDate(D108)</f>
        <v>#VALUE!</v>
      </c>
      <c r="J108" s="122" t="e">
        <f>_xll.qlRateHelperPillarDate($D108)</f>
        <v>#VALUE!</v>
      </c>
      <c r="K108" s="114" t="e">
        <v>#N/A</v>
      </c>
      <c r="L108" s="13" t="e">
        <v>#N/A</v>
      </c>
    </row>
    <row r="109" spans="4:12" x14ac:dyDescent="0.2">
      <c r="D109" s="119" t="e">
        <v>#N/A</v>
      </c>
      <c r="E109" s="119" t="e">
        <f>_xll.qlRateHelperQuoteName(D109)</f>
        <v>#VALUE!</v>
      </c>
      <c r="F109" s="120" t="e">
        <f>_xll.qlRateHelperQuoteValue($D109)</f>
        <v>#VALUE!</v>
      </c>
      <c r="G109" s="120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21" t="e">
        <f>_xll.qlRateHelperEarliestDate($D109)</f>
        <v>#VALUE!</v>
      </c>
      <c r="I109" s="121" t="e">
        <f>_xll.qlRateHelperMaturityDate(D109)</f>
        <v>#VALUE!</v>
      </c>
      <c r="J109" s="122" t="e">
        <f>_xll.qlRateHelperPillarDate($D109)</f>
        <v>#VALUE!</v>
      </c>
      <c r="K109" s="114" t="e">
        <v>#N/A</v>
      </c>
      <c r="L109" s="13" t="e">
        <v>#N/A</v>
      </c>
    </row>
    <row r="110" spans="4:12" x14ac:dyDescent="0.2">
      <c r="D110" s="119" t="e">
        <v>#N/A</v>
      </c>
      <c r="E110" s="119" t="e">
        <f>_xll.qlRateHelperQuoteName(D110)</f>
        <v>#VALUE!</v>
      </c>
      <c r="F110" s="120" t="e">
        <f>_xll.qlRateHelperQuoteValue($D110)</f>
        <v>#VALUE!</v>
      </c>
      <c r="G110" s="120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21" t="e">
        <f>_xll.qlRateHelperEarliestDate($D110)</f>
        <v>#VALUE!</v>
      </c>
      <c r="I110" s="121" t="e">
        <f>_xll.qlRateHelperMaturityDate(D110)</f>
        <v>#VALUE!</v>
      </c>
      <c r="J110" s="122" t="e">
        <f>_xll.qlRateHelperPillarDate($D110)</f>
        <v>#VALUE!</v>
      </c>
      <c r="K110" s="114" t="e">
        <v>#N/A</v>
      </c>
      <c r="L110" s="13" t="e">
        <v>#N/A</v>
      </c>
    </row>
    <row r="111" spans="4:12" x14ac:dyDescent="0.2">
      <c r="D111" s="119" t="e">
        <v>#N/A</v>
      </c>
      <c r="E111" s="119" t="e">
        <f>_xll.qlRateHelperQuoteName(D111)</f>
        <v>#VALUE!</v>
      </c>
      <c r="F111" s="120" t="e">
        <f>_xll.qlRateHelperQuoteValue($D111)</f>
        <v>#VALUE!</v>
      </c>
      <c r="G111" s="120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21" t="e">
        <f>_xll.qlRateHelperEarliestDate($D111)</f>
        <v>#VALUE!</v>
      </c>
      <c r="I111" s="121" t="e">
        <f>_xll.qlRateHelperMaturityDate(D111)</f>
        <v>#VALUE!</v>
      </c>
      <c r="J111" s="122" t="e">
        <f>_xll.qlRateHelperPillarDate($D111)</f>
        <v>#VALUE!</v>
      </c>
      <c r="K111" s="114" t="e">
        <v>#N/A</v>
      </c>
      <c r="L111" s="13" t="e">
        <v>#N/A</v>
      </c>
    </row>
    <row r="112" spans="4:12" x14ac:dyDescent="0.2">
      <c r="D112" s="119" t="e">
        <v>#N/A</v>
      </c>
      <c r="E112" s="119" t="e">
        <f>_xll.qlRateHelperQuoteName(D112)</f>
        <v>#VALUE!</v>
      </c>
      <c r="F112" s="120" t="e">
        <f>_xll.qlRateHelperQuoteValue($D112)</f>
        <v>#VALUE!</v>
      </c>
      <c r="G112" s="120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21" t="e">
        <f>_xll.qlRateHelperEarliestDate($D112)</f>
        <v>#VALUE!</v>
      </c>
      <c r="I112" s="121" t="e">
        <f>_xll.qlRateHelperMaturityDate(D112)</f>
        <v>#VALUE!</v>
      </c>
      <c r="J112" s="122" t="e">
        <f>_xll.qlRateHelperPillarDate($D112)</f>
        <v>#VALUE!</v>
      </c>
      <c r="K112" s="114" t="e">
        <v>#N/A</v>
      </c>
      <c r="L112" s="13" t="e">
        <v>#N/A</v>
      </c>
    </row>
    <row r="113" spans="4:12" x14ac:dyDescent="0.2">
      <c r="D113" s="119" t="e">
        <v>#N/A</v>
      </c>
      <c r="E113" s="119" t="e">
        <f>_xll.qlRateHelperQuoteName(D113)</f>
        <v>#VALUE!</v>
      </c>
      <c r="F113" s="120" t="e">
        <f>_xll.qlRateHelperQuoteValue($D113)</f>
        <v>#VALUE!</v>
      </c>
      <c r="G113" s="120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21" t="e">
        <f>_xll.qlRateHelperEarliestDate($D113)</f>
        <v>#VALUE!</v>
      </c>
      <c r="I113" s="121" t="e">
        <f>_xll.qlRateHelperMaturityDate(D113)</f>
        <v>#VALUE!</v>
      </c>
      <c r="J113" s="122" t="e">
        <f>_xll.qlRateHelperPillarDate($D113)</f>
        <v>#VALUE!</v>
      </c>
      <c r="K113" s="114" t="e">
        <v>#N/A</v>
      </c>
      <c r="L113" s="13" t="e">
        <v>#N/A</v>
      </c>
    </row>
    <row r="114" spans="4:12" x14ac:dyDescent="0.2">
      <c r="D114" s="119" t="e">
        <v>#N/A</v>
      </c>
      <c r="E114" s="119" t="e">
        <f>_xll.qlRateHelperQuoteName(D114)</f>
        <v>#VALUE!</v>
      </c>
      <c r="F114" s="120" t="e">
        <f>_xll.qlRateHelperQuoteValue($D114)</f>
        <v>#VALUE!</v>
      </c>
      <c r="G114" s="120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21" t="e">
        <f>_xll.qlRateHelperEarliestDate($D114)</f>
        <v>#VALUE!</v>
      </c>
      <c r="I114" s="121" t="e">
        <f>_xll.qlRateHelperMaturityDate(D114)</f>
        <v>#VALUE!</v>
      </c>
      <c r="J114" s="122" t="e">
        <f>_xll.qlRateHelperPillarDate($D114)</f>
        <v>#VALUE!</v>
      </c>
      <c r="K114" s="114" t="e">
        <v>#N/A</v>
      </c>
      <c r="L114" s="13" t="e">
        <v>#N/A</v>
      </c>
    </row>
    <row r="115" spans="4:12" x14ac:dyDescent="0.2">
      <c r="D115" s="119" t="e">
        <v>#N/A</v>
      </c>
      <c r="E115" s="119" t="e">
        <f>_xll.qlRateHelperQuoteName(D115)</f>
        <v>#VALUE!</v>
      </c>
      <c r="F115" s="120" t="e">
        <f>_xll.qlRateHelperQuoteValue($D115)</f>
        <v>#VALUE!</v>
      </c>
      <c r="G115" s="120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21" t="e">
        <f>_xll.qlRateHelperEarliestDate($D115)</f>
        <v>#VALUE!</v>
      </c>
      <c r="I115" s="121" t="e">
        <f>_xll.qlRateHelperMaturityDate(D115)</f>
        <v>#VALUE!</v>
      </c>
      <c r="J115" s="122" t="e">
        <f>_xll.qlRateHelperPillarDate($D115)</f>
        <v>#VALUE!</v>
      </c>
      <c r="K115" s="114" t="e">
        <v>#N/A</v>
      </c>
      <c r="L115" s="13" t="e">
        <v>#N/A</v>
      </c>
    </row>
    <row r="116" spans="4:12" x14ac:dyDescent="0.2">
      <c r="D116" s="119" t="e">
        <v>#N/A</v>
      </c>
      <c r="E116" s="119" t="e">
        <f>_xll.qlRateHelperQuoteName(D116)</f>
        <v>#VALUE!</v>
      </c>
      <c r="F116" s="120" t="e">
        <f>_xll.qlRateHelperQuoteValue($D116)</f>
        <v>#VALUE!</v>
      </c>
      <c r="G116" s="120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21" t="e">
        <f>_xll.qlRateHelperEarliestDate($D116)</f>
        <v>#VALUE!</v>
      </c>
      <c r="I116" s="121" t="e">
        <f>_xll.qlRateHelperMaturityDate(D116)</f>
        <v>#VALUE!</v>
      </c>
      <c r="J116" s="122" t="e">
        <f>_xll.qlRateHelperPillarDate($D116)</f>
        <v>#VALUE!</v>
      </c>
      <c r="K116" s="114" t="e">
        <v>#N/A</v>
      </c>
      <c r="L116" s="13" t="e">
        <v>#N/A</v>
      </c>
    </row>
    <row r="117" spans="4:12" x14ac:dyDescent="0.2">
      <c r="D117" s="119" t="e">
        <v>#N/A</v>
      </c>
      <c r="E117" s="119" t="e">
        <f>_xll.qlRateHelperQuoteName(D117)</f>
        <v>#VALUE!</v>
      </c>
      <c r="F117" s="120" t="e">
        <f>_xll.qlRateHelperQuoteValue($D117)</f>
        <v>#VALUE!</v>
      </c>
      <c r="G117" s="120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21" t="e">
        <f>_xll.qlRateHelperEarliestDate($D117)</f>
        <v>#VALUE!</v>
      </c>
      <c r="I117" s="121" t="e">
        <f>_xll.qlRateHelperMaturityDate(D117)</f>
        <v>#VALUE!</v>
      </c>
      <c r="J117" s="122" t="e">
        <f>_xll.qlRateHelperPillarDate($D117)</f>
        <v>#VALUE!</v>
      </c>
      <c r="K117" s="114" t="e">
        <v>#N/A</v>
      </c>
      <c r="L117" s="13" t="e">
        <v>#N/A</v>
      </c>
    </row>
    <row r="118" spans="4:12" x14ac:dyDescent="0.2">
      <c r="D118" s="119" t="e">
        <v>#N/A</v>
      </c>
      <c r="E118" s="119" t="e">
        <f>_xll.qlRateHelperQuoteName(D118)</f>
        <v>#VALUE!</v>
      </c>
      <c r="F118" s="120" t="e">
        <f>_xll.qlRateHelperQuoteValue($D118)</f>
        <v>#VALUE!</v>
      </c>
      <c r="G118" s="120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21" t="e">
        <f>_xll.qlRateHelperEarliestDate($D118)</f>
        <v>#VALUE!</v>
      </c>
      <c r="I118" s="121" t="e">
        <f>_xll.qlRateHelperMaturityDate(D118)</f>
        <v>#VALUE!</v>
      </c>
      <c r="J118" s="122" t="e">
        <f>_xll.qlRateHelperPillarDate($D118)</f>
        <v>#VALUE!</v>
      </c>
      <c r="K118" s="114" t="e">
        <v>#N/A</v>
      </c>
      <c r="L118" s="13" t="e">
        <v>#N/A</v>
      </c>
    </row>
    <row r="119" spans="4:12" x14ac:dyDescent="0.2">
      <c r="D119" s="119" t="e">
        <v>#N/A</v>
      </c>
      <c r="E119" s="119" t="e">
        <f>_xll.qlRateHelperQuoteName(D119)</f>
        <v>#VALUE!</v>
      </c>
      <c r="F119" s="120" t="e">
        <f>_xll.qlRateHelperQuoteValue($D119)</f>
        <v>#VALUE!</v>
      </c>
      <c r="G119" s="120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21" t="e">
        <f>_xll.qlRateHelperEarliestDate($D119)</f>
        <v>#VALUE!</v>
      </c>
      <c r="I119" s="121" t="e">
        <f>_xll.qlRateHelperMaturityDate(D119)</f>
        <v>#VALUE!</v>
      </c>
      <c r="J119" s="122" t="e">
        <f>_xll.qlRateHelperPillarDate($D119)</f>
        <v>#VALUE!</v>
      </c>
      <c r="K119" s="114" t="e">
        <v>#N/A</v>
      </c>
      <c r="L119" s="13" t="e">
        <v>#N/A</v>
      </c>
    </row>
    <row r="120" spans="4:12" x14ac:dyDescent="0.2">
      <c r="D120" s="119" t="e">
        <v>#N/A</v>
      </c>
      <c r="E120" s="119" t="e">
        <f>_xll.qlRateHelperQuoteName(D120)</f>
        <v>#VALUE!</v>
      </c>
      <c r="F120" s="120" t="e">
        <f>_xll.qlRateHelperQuoteValue($D120)</f>
        <v>#VALUE!</v>
      </c>
      <c r="G120" s="120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21" t="e">
        <f>_xll.qlRateHelperEarliestDate($D120)</f>
        <v>#VALUE!</v>
      </c>
      <c r="I120" s="121" t="e">
        <f>_xll.qlRateHelperMaturityDate(D120)</f>
        <v>#VALUE!</v>
      </c>
      <c r="J120" s="122" t="e">
        <f>_xll.qlRateHelperPillarDate($D120)</f>
        <v>#VALUE!</v>
      </c>
      <c r="K120" s="114" t="e">
        <v>#N/A</v>
      </c>
      <c r="L120" s="13" t="e">
        <v>#N/A</v>
      </c>
    </row>
    <row r="121" spans="4:12" x14ac:dyDescent="0.2">
      <c r="D121" s="119" t="e">
        <v>#N/A</v>
      </c>
      <c r="E121" s="119" t="e">
        <f>_xll.qlRateHelperQuoteName(D121)</f>
        <v>#VALUE!</v>
      </c>
      <c r="F121" s="120" t="e">
        <f>_xll.qlRateHelperQuoteValue($D121)</f>
        <v>#VALUE!</v>
      </c>
      <c r="G121" s="120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21" t="e">
        <f>_xll.qlRateHelperEarliestDate($D121)</f>
        <v>#VALUE!</v>
      </c>
      <c r="I121" s="121" t="e">
        <f>_xll.qlRateHelperMaturityDate(D121)</f>
        <v>#VALUE!</v>
      </c>
      <c r="J121" s="122" t="e">
        <f>_xll.qlRateHelperPillarDate($D121)</f>
        <v>#VALUE!</v>
      </c>
      <c r="K121" s="114" t="e">
        <v>#N/A</v>
      </c>
      <c r="L121" s="13" t="e">
        <v>#N/A</v>
      </c>
    </row>
    <row r="122" spans="4:12" x14ac:dyDescent="0.2">
      <c r="D122" s="119" t="e">
        <v>#N/A</v>
      </c>
      <c r="E122" s="119" t="e">
        <f>_xll.qlRateHelperQuoteName(D122)</f>
        <v>#VALUE!</v>
      </c>
      <c r="F122" s="120" t="e">
        <f>_xll.qlRateHelperQuoteValue($D122)</f>
        <v>#VALUE!</v>
      </c>
      <c r="G122" s="120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21" t="e">
        <f>_xll.qlRateHelperEarliestDate($D122)</f>
        <v>#VALUE!</v>
      </c>
      <c r="I122" s="121" t="e">
        <f>_xll.qlRateHelperMaturityDate(D122)</f>
        <v>#VALUE!</v>
      </c>
      <c r="J122" s="122" t="e">
        <f>_xll.qlRateHelperPillarDate($D122)</f>
        <v>#VALUE!</v>
      </c>
      <c r="K122" s="114" t="e">
        <v>#N/A</v>
      </c>
      <c r="L122" s="13" t="e">
        <v>#N/A</v>
      </c>
    </row>
    <row r="123" spans="4:12" x14ac:dyDescent="0.2">
      <c r="D123" s="119" t="e">
        <v>#N/A</v>
      </c>
      <c r="E123" s="119" t="e">
        <f>_xll.qlRateHelperQuoteName(D123)</f>
        <v>#VALUE!</v>
      </c>
      <c r="F123" s="120" t="e">
        <f>_xll.qlRateHelperQuoteValue($D123)</f>
        <v>#VALUE!</v>
      </c>
      <c r="G123" s="120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21" t="e">
        <f>_xll.qlRateHelperEarliestDate($D123)</f>
        <v>#VALUE!</v>
      </c>
      <c r="I123" s="121" t="e">
        <f>_xll.qlRateHelperMaturityDate(D123)</f>
        <v>#VALUE!</v>
      </c>
      <c r="J123" s="122" t="e">
        <f>_xll.qlRateHelperPillarDate($D123)</f>
        <v>#VALUE!</v>
      </c>
      <c r="K123" s="114" t="e">
        <v>#N/A</v>
      </c>
      <c r="L123" s="13" t="e">
        <v>#N/A</v>
      </c>
    </row>
    <row r="124" spans="4:12" x14ac:dyDescent="0.2">
      <c r="D124" s="119" t="e">
        <v>#N/A</v>
      </c>
      <c r="E124" s="119" t="e">
        <f>_xll.qlRateHelperQuoteName(D124)</f>
        <v>#VALUE!</v>
      </c>
      <c r="F124" s="120" t="e">
        <f>_xll.qlRateHelperQuoteValue($D124)</f>
        <v>#VALUE!</v>
      </c>
      <c r="G124" s="120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21" t="e">
        <f>_xll.qlRateHelperEarliestDate($D124)</f>
        <v>#VALUE!</v>
      </c>
      <c r="I124" s="121" t="e">
        <f>_xll.qlRateHelperMaturityDate(D124)</f>
        <v>#VALUE!</v>
      </c>
      <c r="J124" s="122" t="e">
        <f>_xll.qlRateHelperPillarDate($D124)</f>
        <v>#VALUE!</v>
      </c>
      <c r="K124" s="114" t="e">
        <v>#N/A</v>
      </c>
      <c r="L124" s="13" t="e">
        <v>#N/A</v>
      </c>
    </row>
    <row r="125" spans="4:12" x14ac:dyDescent="0.2">
      <c r="D125" s="119" t="e">
        <v>#N/A</v>
      </c>
      <c r="E125" s="119" t="e">
        <f>_xll.qlRateHelperQuoteName(D125)</f>
        <v>#VALUE!</v>
      </c>
      <c r="F125" s="120" t="e">
        <f>_xll.qlRateHelperQuoteValue($D125)</f>
        <v>#VALUE!</v>
      </c>
      <c r="G125" s="120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21" t="e">
        <f>_xll.qlRateHelperEarliestDate($D125)</f>
        <v>#VALUE!</v>
      </c>
      <c r="I125" s="121" t="e">
        <f>_xll.qlRateHelperMaturityDate(D125)</f>
        <v>#VALUE!</v>
      </c>
      <c r="J125" s="122" t="e">
        <f>_xll.qlRateHelperPillarDate($D125)</f>
        <v>#VALUE!</v>
      </c>
      <c r="K125" s="114" t="e">
        <v>#N/A</v>
      </c>
      <c r="L125" s="13" t="e">
        <v>#N/A</v>
      </c>
    </row>
    <row r="126" spans="4:12" ht="12" thickBot="1" x14ac:dyDescent="0.25">
      <c r="D126" s="132" t="e">
        <v>#N/A</v>
      </c>
      <c r="E126" s="132" t="e">
        <f>_xll.qlRateHelperQuoteName(D126)</f>
        <v>#VALUE!</v>
      </c>
      <c r="F126" s="133" t="e">
        <f>_xll.qlRateHelperQuoteValue($D126)</f>
        <v>#VALUE!</v>
      </c>
      <c r="G126" s="133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34" t="e">
        <f>_xll.qlRateHelperEarliestDate($D126)</f>
        <v>#VALUE!</v>
      </c>
      <c r="I126" s="134" t="e">
        <f>_xll.qlRateHelperMaturityDate(D126)</f>
        <v>#VALUE!</v>
      </c>
      <c r="J126" s="135" t="e">
        <f>_xll.qlRateHelperPillarDate($D126)</f>
        <v>#VALUE!</v>
      </c>
      <c r="K126" s="114" t="e">
        <v>#N/A</v>
      </c>
      <c r="L126" s="13" t="e">
        <v>#N/A</v>
      </c>
    </row>
  </sheetData>
  <mergeCells count="1">
    <mergeCell ref="A1:B1"/>
  </mergeCells>
  <phoneticPr fontId="4" type="noConversion"/>
  <dataValidations disablePrompts="1"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6"/>
  <sheetViews>
    <sheetView workbookViewId="0">
      <selection activeCell="E3" sqref="E3"/>
    </sheetView>
  </sheetViews>
  <sheetFormatPr defaultRowHeight="11.25" x14ac:dyDescent="0.2"/>
  <cols>
    <col min="1" max="1" width="2.7109375" style="99" customWidth="1"/>
    <col min="2" max="2" width="3" style="99" bestFit="1" customWidth="1"/>
    <col min="3" max="3" width="6" style="99" bestFit="1" customWidth="1"/>
    <col min="4" max="4" width="20.42578125" style="99" bestFit="1" customWidth="1"/>
    <col min="5" max="5" width="19.5703125" style="100" customWidth="1"/>
    <col min="6" max="6" width="25" style="99" bestFit="1" customWidth="1"/>
    <col min="7" max="7" width="20.7109375" style="99" customWidth="1"/>
    <col min="8" max="8" width="2.7109375" style="99" customWidth="1"/>
    <col min="9" max="16384" width="9.140625" style="101"/>
  </cols>
  <sheetData>
    <row r="1" spans="1:8" ht="11.25" customHeight="1" x14ac:dyDescent="0.2">
      <c r="A1" s="102"/>
      <c r="B1" s="103"/>
      <c r="C1" s="104" t="s">
        <v>51</v>
      </c>
      <c r="D1" s="105" t="str">
        <f>Currency&amp;"_YC"&amp;$C$1&amp;"RH"</f>
        <v>EUR_YCONRH</v>
      </c>
      <c r="E1" s="106"/>
      <c r="F1" s="107" t="str">
        <f>$D$1&amp;"_Deposits.xml"</f>
        <v>EUR_YCONRH_Deposits.xml</v>
      </c>
      <c r="G1" s="108"/>
      <c r="H1" s="109"/>
    </row>
    <row r="2" spans="1:8" ht="22.5" customHeight="1" x14ac:dyDescent="0.2">
      <c r="A2" s="15"/>
      <c r="B2" s="96"/>
      <c r="C2" s="96" t="s">
        <v>81</v>
      </c>
      <c r="D2" s="96" t="s">
        <v>76</v>
      </c>
      <c r="E2" s="96" t="s">
        <v>88</v>
      </c>
      <c r="F2" s="92" t="str">
        <f>IF(Serialize,_xll.ohObjectSave(#REF!,SerializationPath&amp;F1,FileOverwrite,Serialize),"---")</f>
        <v>---</v>
      </c>
      <c r="G2" s="85"/>
      <c r="H2" s="14"/>
    </row>
    <row r="3" spans="1:8" x14ac:dyDescent="0.2">
      <c r="A3" s="89"/>
      <c r="B3" s="85"/>
      <c r="C3" s="85"/>
      <c r="D3" s="85"/>
      <c r="E3" s="228" t="b">
        <v>1</v>
      </c>
      <c r="F3" s="93" t="str">
        <f>_xll.qlEonia(,,Permanent,Trigger,ObjectOverwrite)</f>
        <v>obj_00582#0001</v>
      </c>
      <c r="G3" s="85"/>
      <c r="H3" s="90"/>
    </row>
    <row r="4" spans="1:8" ht="11.25" customHeight="1" x14ac:dyDescent="0.2">
      <c r="A4" s="15"/>
      <c r="B4" s="51" t="s">
        <v>51</v>
      </c>
      <c r="C4" s="97" t="s">
        <v>126</v>
      </c>
      <c r="D4" s="91" t="str">
        <f>Currency&amp;$B4&amp;"D"&amp;QuoteSuffix</f>
        <v>EUROND_Quote</v>
      </c>
      <c r="E4" s="98" t="str">
        <f>Currency&amp;"1DOIS"&amp;LCHQuoteSuffix</f>
        <v>EUR1DOIS_LCHQuote</v>
      </c>
      <c r="F4" s="94" t="str">
        <f>_xll.qlDepositRateHelper(,IF($E$3,E4,D4),$F$3,Permanent,Trigger,ObjectOverwrite)</f>
        <v>obj_0058e#0001</v>
      </c>
      <c r="G4" s="95" t="str">
        <f>_xll.ohRangeRetrieveError(F4)</f>
        <v/>
      </c>
      <c r="H4" s="14"/>
    </row>
    <row r="5" spans="1:8" ht="11.25" customHeight="1" x14ac:dyDescent="0.2">
      <c r="A5" s="15"/>
      <c r="B5" s="51" t="s">
        <v>127</v>
      </c>
      <c r="C5" s="97" t="s">
        <v>126</v>
      </c>
      <c r="D5" s="91" t="str">
        <f>Currency&amp;$B5&amp;"D"&amp;QuoteSuffix</f>
        <v>EURTND_Quote</v>
      </c>
      <c r="E5" s="98" t="str">
        <f>Currency&amp;"2DOIS"&amp;LCHQuoteSuffix</f>
        <v>EUR2DOIS_LCHQuote</v>
      </c>
      <c r="F5" s="94" t="str">
        <f>_xll.qlFraRateHelper(,IF($E$3,E5,D5),"1d",$F$3,,,Permanent,Trigger,ObjectOverwrite)</f>
        <v>obj_0058b#0001</v>
      </c>
      <c r="G5" s="95"/>
      <c r="H5" s="14"/>
    </row>
    <row r="6" spans="1:8" ht="11.25" customHeight="1" thickBot="1" x14ac:dyDescent="0.25">
      <c r="A6" s="16"/>
      <c r="B6" s="17"/>
      <c r="C6" s="17"/>
      <c r="D6" s="17"/>
      <c r="E6" s="29"/>
      <c r="F6" s="17"/>
      <c r="G6" s="17"/>
      <c r="H6" s="18"/>
    </row>
  </sheetData>
  <dataValidations count="1">
    <dataValidation type="list" allowBlank="1" showInputMessage="1" showErrorMessage="1" sqref="E3">
      <formula1>"TRUE, FALSE"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4"/>
  <sheetViews>
    <sheetView workbookViewId="0">
      <selection activeCell="F4" sqref="F4"/>
    </sheetView>
  </sheetViews>
  <sheetFormatPr defaultRowHeight="11.25" x14ac:dyDescent="0.2"/>
  <cols>
    <col min="1" max="1" width="2.7109375" style="87" customWidth="1"/>
    <col min="2" max="2" width="6" style="87" bestFit="1" customWidth="1"/>
    <col min="3" max="3" width="7" style="87" bestFit="1" customWidth="1"/>
    <col min="4" max="4" width="4" style="87" bestFit="1" customWidth="1"/>
    <col min="5" max="5" width="16.140625" style="87" bestFit="1" customWidth="1"/>
    <col min="6" max="6" width="28.5703125" style="87" bestFit="1" customWidth="1"/>
    <col min="7" max="7" width="16.85546875" style="88" customWidth="1"/>
    <col min="8" max="8" width="20.7109375" style="87" customWidth="1"/>
    <col min="9" max="9" width="2.7109375" style="87" customWidth="1"/>
    <col min="10" max="10" width="4.28515625" style="87" customWidth="1"/>
    <col min="11" max="11" width="15.140625" style="87" bestFit="1" customWidth="1"/>
    <col min="12" max="16384" width="9.140625" style="87"/>
  </cols>
  <sheetData>
    <row r="1" spans="1:9" ht="11.25" customHeight="1" x14ac:dyDescent="0.2">
      <c r="A1" s="11"/>
      <c r="B1" s="10"/>
      <c r="C1" s="10"/>
      <c r="D1" s="10"/>
      <c r="E1" s="10"/>
      <c r="F1" s="10"/>
      <c r="G1" s="10"/>
      <c r="H1" s="10"/>
      <c r="I1" s="9"/>
    </row>
    <row r="2" spans="1:9" ht="11.25" customHeight="1" x14ac:dyDescent="0.2">
      <c r="A2" s="4"/>
      <c r="B2" s="5"/>
      <c r="C2" s="5"/>
      <c r="D2" s="2" t="s">
        <v>51</v>
      </c>
      <c r="E2" s="2" t="str">
        <f>Currency&amp;"_YC"&amp;$D$2&amp;"RH"</f>
        <v>EUR_YCONRH</v>
      </c>
      <c r="F2" s="2"/>
      <c r="G2" s="8" t="str">
        <f>E2&amp;"_Swaps.xml"</f>
        <v>EUR_YCONRH_Swaps.xml</v>
      </c>
      <c r="H2" s="5"/>
      <c r="I2" s="3"/>
    </row>
    <row r="3" spans="1:9" ht="22.5" customHeight="1" x14ac:dyDescent="0.2">
      <c r="A3" s="4"/>
      <c r="B3" s="82" t="s">
        <v>87</v>
      </c>
      <c r="C3" s="82" t="s">
        <v>77</v>
      </c>
      <c r="D3" s="82"/>
      <c r="E3" s="82" t="s">
        <v>76</v>
      </c>
      <c r="F3" s="82" t="s">
        <v>88</v>
      </c>
      <c r="G3" s="83" t="str">
        <f>IF(Serialize,_xll.ohObjectSave(_xll.ohPack(G4:G23),SerializationPath&amp;G2,FileOverwrite,Serialize),"---")</f>
        <v>---</v>
      </c>
      <c r="H3" s="84" t="str">
        <f>_xll.ohRangeRetrieveError(G3)</f>
        <v/>
      </c>
      <c r="I3" s="3"/>
    </row>
    <row r="4" spans="1:9" ht="11.25" customHeight="1" x14ac:dyDescent="0.2">
      <c r="A4" s="6"/>
      <c r="B4" s="84"/>
      <c r="C4" s="84"/>
      <c r="D4" s="84"/>
      <c r="E4" s="84"/>
      <c r="F4" s="227" t="b">
        <v>1</v>
      </c>
      <c r="G4" s="7" t="str">
        <f>_xll.qlEonia(,,Permanent,Trigger,ObjectOverwrite)</f>
        <v>obj_00580#0001</v>
      </c>
      <c r="H4" s="84" t="str">
        <f>_xll.ohRangeRetrieveError(G4)</f>
        <v/>
      </c>
      <c r="I4" s="3"/>
    </row>
    <row r="5" spans="1:9" ht="11.25" customHeight="1" x14ac:dyDescent="0.2">
      <c r="A5" s="4"/>
      <c r="B5" s="19">
        <v>2</v>
      </c>
      <c r="C5" s="20" t="s">
        <v>75</v>
      </c>
      <c r="D5" s="20" t="s">
        <v>65</v>
      </c>
      <c r="E5" s="30" t="str">
        <f t="shared" ref="E5:E22" si="0">Currency&amp;IF($C5="1W","SW",C5)&amp;D5&amp;QuoteSuffix</f>
        <v>EURSWOIS_Quote</v>
      </c>
      <c r="F5" s="222" t="str">
        <f t="shared" ref="F5:F22" si="1">Currency&amp;C5&amp;D5&amp;LCHQuoteSuffix</f>
        <v>EUR1WOIS_LCHQuote</v>
      </c>
      <c r="G5" s="33" t="str">
        <f>_xll.qlOISRateHelper(,B5,C5,IF($F$4,F5,E5),$G$4,,Permanent,Trigger,ObjectOverwrite)</f>
        <v>obj_00591#0001</v>
      </c>
      <c r="H5" s="85" t="str">
        <f>_xll.ohRangeRetrieveError(G5)</f>
        <v/>
      </c>
      <c r="I5" s="3"/>
    </row>
    <row r="6" spans="1:9" ht="11.25" customHeight="1" x14ac:dyDescent="0.2">
      <c r="A6" s="4"/>
      <c r="B6" s="21">
        <v>2</v>
      </c>
      <c r="C6" s="22" t="s">
        <v>53</v>
      </c>
      <c r="D6" s="22" t="s">
        <v>65</v>
      </c>
      <c r="E6" s="31" t="str">
        <f t="shared" si="0"/>
        <v>EUR2WOIS_Quote</v>
      </c>
      <c r="F6" s="223" t="str">
        <f t="shared" si="1"/>
        <v>EUR2WOIS_LCHQuote</v>
      </c>
      <c r="G6" s="34" t="str">
        <f>_xll.qlOISRateHelper(,B6,C6,IF($F$4,F6,E6),$G$4,,Permanent,Trigger,ObjectOverwrite)</f>
        <v>obj_00590#0001</v>
      </c>
      <c r="H6" s="86" t="str">
        <f>_xll.ohRangeRetrieveError(G6)</f>
        <v/>
      </c>
      <c r="I6" s="3"/>
    </row>
    <row r="7" spans="1:9" ht="11.25" customHeight="1" x14ac:dyDescent="0.2">
      <c r="A7" s="4"/>
      <c r="B7" s="21">
        <v>2</v>
      </c>
      <c r="C7" s="22" t="s">
        <v>128</v>
      </c>
      <c r="D7" s="22" t="s">
        <v>65</v>
      </c>
      <c r="E7" s="31" t="str">
        <f t="shared" si="0"/>
        <v>EUR3WOIS_Quote</v>
      </c>
      <c r="F7" s="223" t="str">
        <f t="shared" si="1"/>
        <v>EUR3WOIS_LCHQuote</v>
      </c>
      <c r="G7" s="34" t="str">
        <f>_xll.qlOISRateHelper(,B7,C7,IF($F$4,F7,E7),$G$4,,Permanent,Trigger,ObjectOverwrite)</f>
        <v>obj_0059c#0001</v>
      </c>
      <c r="H7" s="86" t="str">
        <f>_xll.ohRangeRetrieveError(G7)</f>
        <v/>
      </c>
      <c r="I7" s="3"/>
    </row>
    <row r="8" spans="1:9" ht="11.25" customHeight="1" x14ac:dyDescent="0.2">
      <c r="A8" s="4"/>
      <c r="B8" s="21">
        <v>2</v>
      </c>
      <c r="C8" s="22" t="s">
        <v>54</v>
      </c>
      <c r="D8" s="22" t="s">
        <v>65</v>
      </c>
      <c r="E8" s="31" t="str">
        <f t="shared" si="0"/>
        <v>EUR1MOIS_Quote</v>
      </c>
      <c r="F8" s="223" t="str">
        <f t="shared" si="1"/>
        <v>EUR1MOIS_LCHQuote</v>
      </c>
      <c r="G8" s="34" t="str">
        <f>_xll.qlOISRateHelper(,B8,C8,IF($F$4,F8,E8),$G$4,,Permanent,Trigger,ObjectOverwrite)</f>
        <v>obj_0059d#0001</v>
      </c>
      <c r="H8" s="86" t="str">
        <f>_xll.ohRangeRetrieveError(G8)</f>
        <v/>
      </c>
      <c r="I8" s="3"/>
    </row>
    <row r="9" spans="1:9" ht="11.25" customHeight="1" x14ac:dyDescent="0.2">
      <c r="A9" s="4"/>
      <c r="B9" s="21">
        <v>2</v>
      </c>
      <c r="C9" s="22" t="s">
        <v>55</v>
      </c>
      <c r="D9" s="22" t="s">
        <v>65</v>
      </c>
      <c r="E9" s="31" t="str">
        <f t="shared" si="0"/>
        <v>EUR2MOIS_Quote</v>
      </c>
      <c r="F9" s="223" t="str">
        <f t="shared" si="1"/>
        <v>EUR2MOIS_LCHQuote</v>
      </c>
      <c r="G9" s="34" t="str">
        <f>_xll.qlOISRateHelper(,B9,C9,IF($F$4,F9,E9),$G$4,,Permanent,Trigger,ObjectOverwrite)</f>
        <v>obj_0059b#0001</v>
      </c>
      <c r="H9" s="86" t="str">
        <f>_xll.ohRangeRetrieveError(G9)</f>
        <v/>
      </c>
      <c r="I9" s="3"/>
    </row>
    <row r="10" spans="1:9" ht="11.25" customHeight="1" x14ac:dyDescent="0.2">
      <c r="A10" s="4"/>
      <c r="B10" s="21">
        <v>2</v>
      </c>
      <c r="C10" s="22" t="s">
        <v>56</v>
      </c>
      <c r="D10" s="22" t="s">
        <v>65</v>
      </c>
      <c r="E10" s="31" t="str">
        <f t="shared" si="0"/>
        <v>EUR3MOIS_Quote</v>
      </c>
      <c r="F10" s="223" t="str">
        <f t="shared" si="1"/>
        <v>EUR3MOIS_LCHQuote</v>
      </c>
      <c r="G10" s="34" t="str">
        <f>_xll.qlOISRateHelper(,B10,C10,IF($F$4,F10,E10),$G$4,,Permanent,Trigger,ObjectOverwrite)</f>
        <v>obj_00594#0001</v>
      </c>
      <c r="H10" s="86" t="str">
        <f>_xll.ohRangeRetrieveError(G10)</f>
        <v/>
      </c>
      <c r="I10" s="3"/>
    </row>
    <row r="11" spans="1:9" ht="11.25" customHeight="1" x14ac:dyDescent="0.2">
      <c r="A11" s="4"/>
      <c r="B11" s="21">
        <v>2</v>
      </c>
      <c r="C11" s="22" t="s">
        <v>57</v>
      </c>
      <c r="D11" s="22" t="s">
        <v>65</v>
      </c>
      <c r="E11" s="31" t="str">
        <f t="shared" si="0"/>
        <v>EUR4MOIS_Quote</v>
      </c>
      <c r="F11" s="223" t="str">
        <f t="shared" si="1"/>
        <v>EUR4MOIS_LCHQuote</v>
      </c>
      <c r="G11" s="34" t="str">
        <f>_xll.qlOISRateHelper(,B11,C11,IF($F$4,F11,E11),$G$4,,Permanent,Trigger,ObjectOverwrite)</f>
        <v>obj_0059a#0001</v>
      </c>
      <c r="H11" s="86" t="str">
        <f>_xll.ohRangeRetrieveError(G11)</f>
        <v/>
      </c>
      <c r="I11" s="3"/>
    </row>
    <row r="12" spans="1:9" ht="11.25" customHeight="1" x14ac:dyDescent="0.2">
      <c r="A12" s="4"/>
      <c r="B12" s="21">
        <v>2</v>
      </c>
      <c r="C12" s="22" t="s">
        <v>58</v>
      </c>
      <c r="D12" s="22" t="s">
        <v>65</v>
      </c>
      <c r="E12" s="31" t="str">
        <f t="shared" si="0"/>
        <v>EUR5MOIS_Quote</v>
      </c>
      <c r="F12" s="223" t="str">
        <f t="shared" si="1"/>
        <v>EUR5MOIS_LCHQuote</v>
      </c>
      <c r="G12" s="34" t="str">
        <f>_xll.qlOISRateHelper(,B12,C12,IF($F$4,F12,E12),$G$4,,Permanent,Trigger,ObjectOverwrite)</f>
        <v>obj_0059e#0001</v>
      </c>
      <c r="H12" s="86" t="str">
        <f>_xll.ohRangeRetrieveError(G12)</f>
        <v/>
      </c>
      <c r="I12" s="3"/>
    </row>
    <row r="13" spans="1:9" ht="11.25" customHeight="1" x14ac:dyDescent="0.2">
      <c r="A13" s="4"/>
      <c r="B13" s="21">
        <v>2</v>
      </c>
      <c r="C13" s="22" t="s">
        <v>59</v>
      </c>
      <c r="D13" s="22" t="s">
        <v>65</v>
      </c>
      <c r="E13" s="31" t="str">
        <f t="shared" si="0"/>
        <v>EUR6MOIS_Quote</v>
      </c>
      <c r="F13" s="223" t="str">
        <f t="shared" si="1"/>
        <v>EUR6MOIS_LCHQuote</v>
      </c>
      <c r="G13" s="34" t="str">
        <f>_xll.qlOISRateHelper(,B13,C13,IF($F$4,F13,E13),$G$4,,Permanent,Trigger,ObjectOverwrite)</f>
        <v>obj_00593#0001</v>
      </c>
      <c r="H13" s="86" t="str">
        <f>_xll.ohRangeRetrieveError(G13)</f>
        <v/>
      </c>
      <c r="I13" s="3"/>
    </row>
    <row r="14" spans="1:9" ht="11.25" customHeight="1" x14ac:dyDescent="0.2">
      <c r="A14" s="4"/>
      <c r="B14" s="21">
        <v>2</v>
      </c>
      <c r="C14" s="22" t="s">
        <v>60</v>
      </c>
      <c r="D14" s="22" t="s">
        <v>65</v>
      </c>
      <c r="E14" s="31" t="str">
        <f t="shared" si="0"/>
        <v>EUR7MOIS_Quote</v>
      </c>
      <c r="F14" s="223" t="str">
        <f t="shared" si="1"/>
        <v>EUR7MOIS_LCHQuote</v>
      </c>
      <c r="G14" s="34" t="str">
        <f>_xll.qlOISRateHelper(,B14,C14,IF($F$4,F14,E14),$G$4,,Permanent,Trigger,ObjectOverwrite)</f>
        <v>obj_00592#0001</v>
      </c>
      <c r="H14" s="86" t="str">
        <f>_xll.ohRangeRetrieveError(G14)</f>
        <v/>
      </c>
      <c r="I14" s="3"/>
    </row>
    <row r="15" spans="1:9" ht="11.25" customHeight="1" x14ac:dyDescent="0.2">
      <c r="A15" s="4"/>
      <c r="B15" s="21">
        <v>2</v>
      </c>
      <c r="C15" s="22" t="s">
        <v>61</v>
      </c>
      <c r="D15" s="22" t="s">
        <v>65</v>
      </c>
      <c r="E15" s="31" t="str">
        <f t="shared" si="0"/>
        <v>EUR8MOIS_Quote</v>
      </c>
      <c r="F15" s="223" t="str">
        <f t="shared" si="1"/>
        <v>EUR8MOIS_LCHQuote</v>
      </c>
      <c r="G15" s="34" t="str">
        <f>_xll.qlOISRateHelper(,B15,C15,IF($F$4,F15,E15),$G$4,,Permanent,Trigger,ObjectOverwrite)</f>
        <v>obj_00596#0001</v>
      </c>
      <c r="H15" s="86" t="str">
        <f>_xll.ohRangeRetrieveError(G15)</f>
        <v/>
      </c>
      <c r="I15" s="3"/>
    </row>
    <row r="16" spans="1:9" ht="11.25" customHeight="1" x14ac:dyDescent="0.2">
      <c r="A16" s="4"/>
      <c r="B16" s="21">
        <v>2</v>
      </c>
      <c r="C16" s="22" t="s">
        <v>62</v>
      </c>
      <c r="D16" s="22" t="s">
        <v>65</v>
      </c>
      <c r="E16" s="31" t="str">
        <f t="shared" si="0"/>
        <v>EUR9MOIS_Quote</v>
      </c>
      <c r="F16" s="223" t="str">
        <f t="shared" si="1"/>
        <v>EUR9MOIS_LCHQuote</v>
      </c>
      <c r="G16" s="34" t="str">
        <f>_xll.qlOISRateHelper(,B16,C16,IF($F$4,F16,E16),$G$4,,Permanent,Trigger,ObjectOverwrite)</f>
        <v>obj_00599#0001</v>
      </c>
      <c r="H16" s="86" t="str">
        <f>_xll.ohRangeRetrieveError(G16)</f>
        <v/>
      </c>
      <c r="I16" s="3"/>
    </row>
    <row r="17" spans="1:9" ht="11.25" customHeight="1" x14ac:dyDescent="0.2">
      <c r="A17" s="4"/>
      <c r="B17" s="21">
        <v>2</v>
      </c>
      <c r="C17" s="22" t="s">
        <v>63</v>
      </c>
      <c r="D17" s="22" t="s">
        <v>65</v>
      </c>
      <c r="E17" s="31" t="str">
        <f t="shared" si="0"/>
        <v>EUR10MOIS_Quote</v>
      </c>
      <c r="F17" s="223" t="str">
        <f t="shared" si="1"/>
        <v>EUR10MOIS_LCHQuote</v>
      </c>
      <c r="G17" s="34" t="str">
        <f>_xll.qlOISRateHelper(,B17,C17,IF($F$4,F17,E17),$G$4,,Permanent,Trigger,ObjectOverwrite)</f>
        <v>obj_0058f#0001</v>
      </c>
      <c r="H17" s="86" t="str">
        <f>_xll.ohRangeRetrieveError(G17)</f>
        <v/>
      </c>
      <c r="I17" s="3"/>
    </row>
    <row r="18" spans="1:9" ht="11.25" customHeight="1" x14ac:dyDescent="0.2">
      <c r="A18" s="4"/>
      <c r="B18" s="21">
        <v>2</v>
      </c>
      <c r="C18" s="22" t="s">
        <v>64</v>
      </c>
      <c r="D18" s="22" t="s">
        <v>65</v>
      </c>
      <c r="E18" s="31" t="str">
        <f t="shared" si="0"/>
        <v>EUR11MOIS_Quote</v>
      </c>
      <c r="F18" s="223" t="str">
        <f t="shared" si="1"/>
        <v>EUR11MOIS_LCHQuote</v>
      </c>
      <c r="G18" s="34" t="str">
        <f>_xll.qlOISRateHelper(,B18,C18,IF($F$4,F18,E18),$G$4,,Permanent,Trigger,ObjectOverwrite)</f>
        <v>obj_00597#0001</v>
      </c>
      <c r="H18" s="86" t="str">
        <f>_xll.ohRangeRetrieveError(G18)</f>
        <v/>
      </c>
      <c r="I18" s="3"/>
    </row>
    <row r="19" spans="1:9" ht="11.25" customHeight="1" x14ac:dyDescent="0.2">
      <c r="A19" s="4"/>
      <c r="B19" s="21">
        <v>2</v>
      </c>
      <c r="C19" s="22" t="s">
        <v>23</v>
      </c>
      <c r="D19" s="22" t="s">
        <v>65</v>
      </c>
      <c r="E19" s="31" t="str">
        <f t="shared" si="0"/>
        <v>EUR1YOIS_Quote</v>
      </c>
      <c r="F19" s="223" t="str">
        <f t="shared" si="1"/>
        <v>EUR1YOIS_LCHQuote</v>
      </c>
      <c r="G19" s="34" t="str">
        <f>_xll.qlOISRateHelper(,B19,C19,IF($F$4,F19,E19),$G$4,,Permanent,Trigger,ObjectOverwrite)</f>
        <v>obj_00581#0001</v>
      </c>
      <c r="H19" s="86" t="str">
        <f>_xll.ohRangeRetrieveError(G19)</f>
        <v/>
      </c>
      <c r="I19" s="3"/>
    </row>
    <row r="20" spans="1:9" ht="11.25" customHeight="1" x14ac:dyDescent="0.2">
      <c r="A20" s="4"/>
      <c r="B20" s="21">
        <v>2</v>
      </c>
      <c r="C20" s="22" t="s">
        <v>24</v>
      </c>
      <c r="D20" s="22" t="s">
        <v>65</v>
      </c>
      <c r="E20" s="31" t="str">
        <f t="shared" si="0"/>
        <v>EUR15MOIS_Quote</v>
      </c>
      <c r="F20" s="223" t="str">
        <f t="shared" si="1"/>
        <v>EUR15MOIS_LCHQuote</v>
      </c>
      <c r="G20" s="34" t="str">
        <f>_xll.qlOISRateHelper(,B20,C20,IF($F$4,F20,E20),$G$4,,Permanent,Trigger,ObjectOverwrite)</f>
        <v>obj_0059f#0001</v>
      </c>
      <c r="H20" s="86" t="str">
        <f>_xll.ohRangeRetrieveError(G20)</f>
        <v/>
      </c>
      <c r="I20" s="3"/>
    </row>
    <row r="21" spans="1:9" ht="11.25" customHeight="1" x14ac:dyDescent="0.2">
      <c r="A21" s="4"/>
      <c r="B21" s="21">
        <v>2</v>
      </c>
      <c r="C21" s="22" t="s">
        <v>25</v>
      </c>
      <c r="D21" s="22" t="s">
        <v>65</v>
      </c>
      <c r="E21" s="31" t="str">
        <f t="shared" si="0"/>
        <v>EUR18MOIS_Quote</v>
      </c>
      <c r="F21" s="223" t="str">
        <f t="shared" si="1"/>
        <v>EUR18MOIS_LCHQuote</v>
      </c>
      <c r="G21" s="34" t="str">
        <f>_xll.qlOISRateHelper(,B21,C21,IF($F$4,F21,E21),$G$4,,Permanent,Trigger,ObjectOverwrite)</f>
        <v>obj_00598#0001</v>
      </c>
      <c r="H21" s="86" t="str">
        <f>_xll.ohRangeRetrieveError(G21)</f>
        <v/>
      </c>
      <c r="I21" s="3"/>
    </row>
    <row r="22" spans="1:9" ht="11.25" customHeight="1" x14ac:dyDescent="0.2">
      <c r="A22" s="4"/>
      <c r="B22" s="21">
        <v>2</v>
      </c>
      <c r="C22" s="22" t="s">
        <v>26</v>
      </c>
      <c r="D22" s="22" t="s">
        <v>65</v>
      </c>
      <c r="E22" s="31" t="str">
        <f t="shared" si="0"/>
        <v>EUR21MOIS_Quote</v>
      </c>
      <c r="F22" s="223" t="str">
        <f t="shared" si="1"/>
        <v>EUR21MOIS_LCHQuote</v>
      </c>
      <c r="G22" s="34" t="str">
        <f>_xll.qlOISRateHelper(,B22,C22,IF($F$4,F22,E22),$G$4,,Permanent,Trigger,ObjectOverwrite)</f>
        <v>obj_00595#0001</v>
      </c>
      <c r="H22" s="86" t="str">
        <f>_xll.ohRangeRetrieveError(G22)</f>
        <v/>
      </c>
      <c r="I22" s="3"/>
    </row>
    <row r="23" spans="1:9" ht="11.25" customHeight="1" x14ac:dyDescent="0.2">
      <c r="A23" s="4"/>
      <c r="B23" s="23">
        <v>2</v>
      </c>
      <c r="C23" s="24" t="s">
        <v>27</v>
      </c>
      <c r="D23" s="24" t="s">
        <v>65</v>
      </c>
      <c r="E23" s="32" t="str">
        <f t="shared" ref="E23" si="2">Currency&amp;IF($C23="1W","SW",C23)&amp;D23&amp;QuoteSuffix</f>
        <v>EUR2YOIS_Quote</v>
      </c>
      <c r="F23" s="224" t="str">
        <f t="shared" ref="F23" si="3">Currency&amp;C23&amp;D23&amp;LCHQuoteSuffix</f>
        <v>EUR2YOIS_LCHQuote</v>
      </c>
      <c r="G23" s="35" t="str">
        <f>_xll.qlOISRateHelper(,B23,C23,IF($F$4,F23,E23),$G$4,,Permanent,Trigger,ObjectOverwrite)</f>
        <v>obj_0058a#0001</v>
      </c>
      <c r="H23" s="86"/>
      <c r="I23" s="3"/>
    </row>
    <row r="24" spans="1:9" ht="12" thickBot="1" x14ac:dyDescent="0.25">
      <c r="A24" s="243"/>
      <c r="B24" s="244"/>
      <c r="C24" s="244"/>
      <c r="D24" s="244"/>
      <c r="E24" s="245"/>
      <c r="F24" s="245"/>
      <c r="G24" s="245"/>
      <c r="H24" s="245"/>
      <c r="I24" s="246"/>
    </row>
  </sheetData>
  <dataValidations count="1">
    <dataValidation type="list" allowBlank="1" showInputMessage="1" showErrorMessage="1" sqref="F4">
      <formula1>"TRUE, FALSE"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42"/>
  <sheetViews>
    <sheetView workbookViewId="0">
      <selection activeCell="K3" sqref="K3"/>
    </sheetView>
  </sheetViews>
  <sheetFormatPr defaultRowHeight="11.25" customHeight="1" x14ac:dyDescent="0.2"/>
  <cols>
    <col min="1" max="1" width="3.28515625" style="74" customWidth="1"/>
    <col min="2" max="2" width="4" style="74" customWidth="1"/>
    <col min="3" max="4" width="5.7109375" style="74" customWidth="1"/>
    <col min="5" max="5" width="4.28515625" style="74" customWidth="1"/>
    <col min="6" max="6" width="8.140625" style="74" customWidth="1"/>
    <col min="7" max="7" width="24.42578125" style="74" bestFit="1" customWidth="1"/>
    <col min="8" max="8" width="21.42578125" style="74" bestFit="1" customWidth="1"/>
    <col min="9" max="9" width="10.28515625" style="74" bestFit="1" customWidth="1"/>
    <col min="10" max="10" width="22" style="74" bestFit="1" customWidth="1"/>
    <col min="11" max="11" width="24.140625" style="74" customWidth="1"/>
    <col min="12" max="12" width="15.140625" style="74" bestFit="1" customWidth="1"/>
    <col min="13" max="13" width="14.5703125" style="74" customWidth="1"/>
    <col min="14" max="15" width="9.140625" style="74"/>
    <col min="16" max="16" width="13.140625" style="74" bestFit="1" customWidth="1"/>
    <col min="17" max="17" width="9.28515625" style="74" bestFit="1" customWidth="1"/>
    <col min="18" max="18" width="15.140625" style="74" bestFit="1" customWidth="1"/>
    <col min="19" max="19" width="10.28515625" style="74" bestFit="1" customWidth="1"/>
    <col min="20" max="16384" width="9.140625" style="74"/>
  </cols>
  <sheetData>
    <row r="1" spans="1:23" ht="11.25" customHeight="1" x14ac:dyDescent="0.2">
      <c r="A1" s="36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8"/>
      <c r="O1" s="72"/>
      <c r="P1" s="73"/>
      <c r="Q1" s="73"/>
      <c r="R1" s="73"/>
      <c r="S1" s="73"/>
      <c r="T1" s="73"/>
      <c r="U1" s="73"/>
      <c r="V1" s="73"/>
      <c r="W1" s="72"/>
    </row>
    <row r="2" spans="1:23" ht="11.25" customHeight="1" x14ac:dyDescent="0.2">
      <c r="A2" s="39"/>
      <c r="B2" s="53" t="s">
        <v>89</v>
      </c>
      <c r="C2" s="53"/>
      <c r="D2" s="53"/>
      <c r="E2" s="53"/>
      <c r="F2" s="53" t="s">
        <v>90</v>
      </c>
      <c r="G2" s="53" t="s">
        <v>91</v>
      </c>
      <c r="H2" s="53" t="s">
        <v>92</v>
      </c>
      <c r="I2" s="53" t="s">
        <v>93</v>
      </c>
      <c r="J2" s="53" t="s">
        <v>76</v>
      </c>
      <c r="K2" s="75" t="s">
        <v>88</v>
      </c>
      <c r="L2" s="76"/>
      <c r="M2" s="76"/>
      <c r="N2" s="40"/>
      <c r="O2" s="72"/>
      <c r="P2" s="73"/>
      <c r="Q2" s="73"/>
      <c r="R2" s="73"/>
      <c r="S2" s="73"/>
      <c r="T2" s="73"/>
      <c r="U2" s="73"/>
      <c r="V2" s="73"/>
      <c r="W2" s="72"/>
    </row>
    <row r="3" spans="1:23" ht="11.25" customHeight="1" x14ac:dyDescent="0.2">
      <c r="A3" s="39"/>
      <c r="B3" s="76"/>
      <c r="C3" s="76"/>
      <c r="D3" s="76"/>
      <c r="E3" s="76"/>
      <c r="F3" s="76"/>
      <c r="G3" s="76"/>
      <c r="H3" s="76"/>
      <c r="I3" s="76"/>
      <c r="J3" s="76"/>
      <c r="K3" s="229" t="b">
        <v>1</v>
      </c>
      <c r="L3" s="80" t="str">
        <f>_xll.qlEonia(,,Permanent,Trigger,ObjectOverwrite)</f>
        <v>obj_00578#0001</v>
      </c>
      <c r="M3" s="76"/>
      <c r="N3" s="40"/>
      <c r="O3" s="72"/>
      <c r="P3" s="73"/>
      <c r="Q3" s="73"/>
      <c r="R3" s="73"/>
      <c r="S3" s="73"/>
      <c r="T3" s="73"/>
      <c r="U3" s="73"/>
      <c r="V3" s="73"/>
      <c r="W3" s="72"/>
    </row>
    <row r="4" spans="1:23" ht="11.25" customHeight="1" x14ac:dyDescent="0.2">
      <c r="A4" s="39"/>
      <c r="B4" s="42" t="s">
        <v>94</v>
      </c>
      <c r="C4" s="42" t="s">
        <v>28</v>
      </c>
      <c r="D4" s="42" t="s">
        <v>129</v>
      </c>
      <c r="E4" s="42" t="s">
        <v>130</v>
      </c>
      <c r="F4" s="42" t="s">
        <v>131</v>
      </c>
      <c r="G4" s="42" t="s">
        <v>95</v>
      </c>
      <c r="H4" s="42" t="s">
        <v>125</v>
      </c>
      <c r="I4" s="43">
        <v>0</v>
      </c>
      <c r="J4" s="222" t="str">
        <f t="shared" ref="J4:J19" si="0">Currency&amp;D4&amp;E4&amp;C4&amp;QuoteSuffix</f>
        <v>EUR1EON3E3Y_Quote</v>
      </c>
      <c r="K4" s="44" t="str">
        <f t="shared" ref="K4" si="1">Currency&amp;D4&amp;E4&amp;C4&amp;LCHQuoteSuffix</f>
        <v>EUR1EON3E3Y_LCHQuote</v>
      </c>
      <c r="L4" s="42" t="str">
        <f>_xll.qlSwapRateHelper2(,IF($K$3,$K4,$J4),2,$C4,Calendar,$F4,$G4,$H4,$L$3,0,$B4,,,,Permanent,Trigger,ObjectOverwrite)</f>
        <v>obj_0057f#0001</v>
      </c>
      <c r="M4" s="77" t="str">
        <f>_xll.ohRangeRetrieveError(L4)</f>
        <v/>
      </c>
      <c r="N4" s="40"/>
      <c r="O4" s="72"/>
      <c r="S4" s="73"/>
      <c r="T4" s="73"/>
      <c r="U4" s="73"/>
      <c r="V4" s="73"/>
      <c r="W4" s="72"/>
    </row>
    <row r="5" spans="1:23" ht="11.25" customHeight="1" x14ac:dyDescent="0.2">
      <c r="A5" s="39"/>
      <c r="B5" s="45" t="s">
        <v>94</v>
      </c>
      <c r="C5" s="45" t="s">
        <v>29</v>
      </c>
      <c r="D5" s="45" t="s">
        <v>129</v>
      </c>
      <c r="E5" s="45" t="s">
        <v>130</v>
      </c>
      <c r="F5" s="45" t="s">
        <v>131</v>
      </c>
      <c r="G5" s="45" t="s">
        <v>95</v>
      </c>
      <c r="H5" s="45" t="s">
        <v>125</v>
      </c>
      <c r="I5" s="46">
        <v>0</v>
      </c>
      <c r="J5" s="223" t="str">
        <f t="shared" si="0"/>
        <v>EUR1EON3E4Y_Quote</v>
      </c>
      <c r="K5" s="47" t="str">
        <f t="shared" ref="K5:K19" si="2">Currency&amp;D5&amp;E5&amp;C5&amp;LCHQuoteSuffix</f>
        <v>EUR1EON3E4Y_LCHQuote</v>
      </c>
      <c r="L5" s="45" t="str">
        <f>_xll.qlSwapRateHelper2(,IF($K$3,$K5,$J5),2,$C5,Calendar,$F5,$G5,$H5,$L$3,0,$B5,,,,Permanent,Trigger,ObjectOverwrite)</f>
        <v>obj_0058d#0001</v>
      </c>
      <c r="M5" s="78" t="str">
        <f>_xll.ohRangeRetrieveError(L5)</f>
        <v/>
      </c>
      <c r="N5" s="40"/>
      <c r="O5" s="72"/>
      <c r="S5" s="73"/>
      <c r="T5" s="73"/>
      <c r="U5" s="73"/>
      <c r="V5" s="73"/>
      <c r="W5" s="72"/>
    </row>
    <row r="6" spans="1:23" ht="11.25" customHeight="1" x14ac:dyDescent="0.2">
      <c r="A6" s="39"/>
      <c r="B6" s="45" t="s">
        <v>94</v>
      </c>
      <c r="C6" s="45" t="s">
        <v>30</v>
      </c>
      <c r="D6" s="45" t="s">
        <v>129</v>
      </c>
      <c r="E6" s="45" t="s">
        <v>130</v>
      </c>
      <c r="F6" s="45" t="s">
        <v>131</v>
      </c>
      <c r="G6" s="45" t="s">
        <v>95</v>
      </c>
      <c r="H6" s="45" t="s">
        <v>125</v>
      </c>
      <c r="I6" s="46">
        <v>0</v>
      </c>
      <c r="J6" s="223" t="str">
        <f t="shared" si="0"/>
        <v>EUR1EON3E5Y_Quote</v>
      </c>
      <c r="K6" s="47" t="str">
        <f t="shared" si="2"/>
        <v>EUR1EON3E5Y_LCHQuote</v>
      </c>
      <c r="L6" s="45" t="str">
        <f>_xll.qlSwapRateHelper2(,IF($K$3,$K6,$J6),2,$C6,Calendar,$F6,$G6,$H6,$L$3,0,$B6,,,,Permanent,Trigger,ObjectOverwrite)</f>
        <v>obj_00588#0001</v>
      </c>
      <c r="M6" s="78" t="str">
        <f>_xll.ohRangeRetrieveError(L6)</f>
        <v/>
      </c>
      <c r="N6" s="40"/>
      <c r="O6" s="72"/>
      <c r="S6" s="73"/>
      <c r="T6" s="73"/>
      <c r="U6" s="73"/>
      <c r="V6" s="73"/>
      <c r="W6" s="72"/>
    </row>
    <row r="7" spans="1:23" ht="11.25" customHeight="1" x14ac:dyDescent="0.2">
      <c r="A7" s="39"/>
      <c r="B7" s="45" t="s">
        <v>94</v>
      </c>
      <c r="C7" s="45" t="s">
        <v>31</v>
      </c>
      <c r="D7" s="45" t="s">
        <v>129</v>
      </c>
      <c r="E7" s="45" t="s">
        <v>130</v>
      </c>
      <c r="F7" s="45" t="s">
        <v>131</v>
      </c>
      <c r="G7" s="45" t="s">
        <v>95</v>
      </c>
      <c r="H7" s="45" t="s">
        <v>125</v>
      </c>
      <c r="I7" s="46">
        <v>0</v>
      </c>
      <c r="J7" s="223" t="str">
        <f t="shared" si="0"/>
        <v>EUR1EON3E6Y_Quote</v>
      </c>
      <c r="K7" s="47" t="str">
        <f t="shared" si="2"/>
        <v>EUR1EON3E6Y_LCHQuote</v>
      </c>
      <c r="L7" s="45" t="str">
        <f>_xll.qlSwapRateHelper2(,IF($K$3,$K7,$J7),2,$C7,Calendar,$F7,$G7,$H7,$L$3,0,$B7,,,,Permanent,Trigger,ObjectOverwrite)</f>
        <v>obj_0058c#0001</v>
      </c>
      <c r="M7" s="78" t="str">
        <f>_xll.ohRangeRetrieveError(L7)</f>
        <v/>
      </c>
      <c r="N7" s="40"/>
      <c r="O7" s="72"/>
      <c r="S7" s="73"/>
      <c r="T7" s="73"/>
      <c r="U7" s="73"/>
      <c r="V7" s="73"/>
      <c r="W7" s="72"/>
    </row>
    <row r="8" spans="1:23" ht="11.25" customHeight="1" x14ac:dyDescent="0.2">
      <c r="A8" s="39"/>
      <c r="B8" s="45" t="s">
        <v>94</v>
      </c>
      <c r="C8" s="45" t="s">
        <v>32</v>
      </c>
      <c r="D8" s="45" t="s">
        <v>129</v>
      </c>
      <c r="E8" s="45" t="s">
        <v>130</v>
      </c>
      <c r="F8" s="45" t="s">
        <v>131</v>
      </c>
      <c r="G8" s="45" t="s">
        <v>95</v>
      </c>
      <c r="H8" s="45" t="s">
        <v>125</v>
      </c>
      <c r="I8" s="46">
        <v>0</v>
      </c>
      <c r="J8" s="223" t="str">
        <f t="shared" si="0"/>
        <v>EUR1EON3E7Y_Quote</v>
      </c>
      <c r="K8" s="47" t="str">
        <f t="shared" si="2"/>
        <v>EUR1EON3E7Y_LCHQuote</v>
      </c>
      <c r="L8" s="45" t="str">
        <f>_xll.qlSwapRateHelper2(,IF($K$3,$K8,$J8),2,$C8,Calendar,$F8,$G8,$H8,$L$3,0,$B8,,,,Permanent,Trigger,ObjectOverwrite)</f>
        <v>obj_00584#0001</v>
      </c>
      <c r="M8" s="78" t="str">
        <f>_xll.ohRangeRetrieveError(L8)</f>
        <v/>
      </c>
      <c r="N8" s="40"/>
      <c r="O8" s="72"/>
      <c r="S8" s="73"/>
      <c r="T8" s="73"/>
      <c r="U8" s="73"/>
      <c r="V8" s="73"/>
      <c r="W8" s="72"/>
    </row>
    <row r="9" spans="1:23" ht="11.25" customHeight="1" x14ac:dyDescent="0.2">
      <c r="A9" s="39"/>
      <c r="B9" s="45" t="s">
        <v>94</v>
      </c>
      <c r="C9" s="45" t="s">
        <v>33</v>
      </c>
      <c r="D9" s="45" t="s">
        <v>129</v>
      </c>
      <c r="E9" s="45" t="s">
        <v>130</v>
      </c>
      <c r="F9" s="45" t="s">
        <v>131</v>
      </c>
      <c r="G9" s="45" t="s">
        <v>95</v>
      </c>
      <c r="H9" s="45" t="s">
        <v>125</v>
      </c>
      <c r="I9" s="46">
        <v>0</v>
      </c>
      <c r="J9" s="223" t="str">
        <f t="shared" si="0"/>
        <v>EUR1EON3E8Y_Quote</v>
      </c>
      <c r="K9" s="47" t="str">
        <f t="shared" si="2"/>
        <v>EUR1EON3E8Y_LCHQuote</v>
      </c>
      <c r="L9" s="45" t="str">
        <f>_xll.qlSwapRateHelper2(,IF($K$3,$K9,$J9),2,$C9,Calendar,$F9,$G9,$H9,$L$3,0,$B9,,,,Permanent,Trigger,ObjectOverwrite)</f>
        <v>obj_0057c#0001</v>
      </c>
      <c r="M9" s="78" t="str">
        <f>_xll.ohRangeRetrieveError(L9)</f>
        <v/>
      </c>
      <c r="N9" s="40"/>
      <c r="O9" s="72"/>
      <c r="S9" s="73"/>
      <c r="T9" s="73"/>
      <c r="U9" s="73"/>
      <c r="V9" s="73"/>
      <c r="W9" s="72"/>
    </row>
    <row r="10" spans="1:23" ht="11.25" customHeight="1" x14ac:dyDescent="0.2">
      <c r="A10" s="39"/>
      <c r="B10" s="45" t="s">
        <v>94</v>
      </c>
      <c r="C10" s="45" t="s">
        <v>34</v>
      </c>
      <c r="D10" s="45" t="s">
        <v>129</v>
      </c>
      <c r="E10" s="45" t="s">
        <v>130</v>
      </c>
      <c r="F10" s="45" t="s">
        <v>131</v>
      </c>
      <c r="G10" s="45" t="s">
        <v>95</v>
      </c>
      <c r="H10" s="45" t="s">
        <v>125</v>
      </c>
      <c r="I10" s="46">
        <v>0</v>
      </c>
      <c r="J10" s="223" t="str">
        <f t="shared" si="0"/>
        <v>EUR1EON3E9Y_Quote</v>
      </c>
      <c r="K10" s="47" t="str">
        <f t="shared" si="2"/>
        <v>EUR1EON3E9Y_LCHQuote</v>
      </c>
      <c r="L10" s="45" t="str">
        <f>_xll.qlSwapRateHelper2(,IF($K$3,$K10,$J10),2,$C10,Calendar,$F10,$G10,$H10,$L$3,0,$B10,,,,Permanent,Trigger,ObjectOverwrite)</f>
        <v>obj_0057b#0001</v>
      </c>
      <c r="M10" s="78" t="str">
        <f>_xll.ohRangeRetrieveError(L10)</f>
        <v/>
      </c>
      <c r="N10" s="40"/>
      <c r="O10" s="72"/>
      <c r="S10" s="73"/>
      <c r="T10" s="73"/>
      <c r="U10" s="73"/>
      <c r="V10" s="73"/>
      <c r="W10" s="72"/>
    </row>
    <row r="11" spans="1:23" ht="11.25" customHeight="1" x14ac:dyDescent="0.2">
      <c r="A11" s="39"/>
      <c r="B11" s="45" t="s">
        <v>94</v>
      </c>
      <c r="C11" s="45" t="s">
        <v>35</v>
      </c>
      <c r="D11" s="45" t="s">
        <v>129</v>
      </c>
      <c r="E11" s="45" t="s">
        <v>130</v>
      </c>
      <c r="F11" s="45" t="s">
        <v>131</v>
      </c>
      <c r="G11" s="45" t="s">
        <v>95</v>
      </c>
      <c r="H11" s="45" t="s">
        <v>125</v>
      </c>
      <c r="I11" s="46">
        <v>0</v>
      </c>
      <c r="J11" s="223" t="str">
        <f t="shared" si="0"/>
        <v>EUR1EON3E10Y_Quote</v>
      </c>
      <c r="K11" s="47" t="str">
        <f t="shared" si="2"/>
        <v>EUR1EON3E10Y_LCHQuote</v>
      </c>
      <c r="L11" s="45" t="str">
        <f>_xll.qlSwapRateHelper2(,IF($K$3,$K11,$J11),2,$C11,Calendar,$F11,$G11,$H11,$L$3,0,$B11,,,,Permanent,Trigger,ObjectOverwrite)</f>
        <v>obj_0057a#0001</v>
      </c>
      <c r="M11" s="78" t="str">
        <f>_xll.ohRangeRetrieveError(L11)</f>
        <v/>
      </c>
      <c r="N11" s="40"/>
      <c r="O11" s="72"/>
      <c r="S11" s="73"/>
      <c r="T11" s="73"/>
      <c r="U11" s="73"/>
      <c r="V11" s="73"/>
      <c r="W11" s="72"/>
    </row>
    <row r="12" spans="1:23" ht="11.25" customHeight="1" x14ac:dyDescent="0.2">
      <c r="A12" s="39"/>
      <c r="B12" s="45" t="s">
        <v>94</v>
      </c>
      <c r="C12" s="45" t="s">
        <v>40</v>
      </c>
      <c r="D12" s="45" t="s">
        <v>129</v>
      </c>
      <c r="E12" s="45" t="s">
        <v>130</v>
      </c>
      <c r="F12" s="45" t="s">
        <v>131</v>
      </c>
      <c r="G12" s="45" t="s">
        <v>95</v>
      </c>
      <c r="H12" s="45" t="s">
        <v>125</v>
      </c>
      <c r="I12" s="46">
        <v>0</v>
      </c>
      <c r="J12" s="223" t="str">
        <f t="shared" si="0"/>
        <v>EUR1EON3E12Y_Quote</v>
      </c>
      <c r="K12" s="47" t="str">
        <f t="shared" si="2"/>
        <v>EUR1EON3E12Y_LCHQuote</v>
      </c>
      <c r="L12" s="45" t="str">
        <f>_xll.qlSwapRateHelper2(,IF($K$3,$K12,$J12),2,$C12,Calendar,$F12,$G12,$H12,$L$3,0,$B12,,,,Permanent,Trigger,ObjectOverwrite)</f>
        <v>obj_00587#0001</v>
      </c>
      <c r="M12" s="78" t="str">
        <f>_xll.ohRangeRetrieveError(L12)</f>
        <v/>
      </c>
      <c r="N12" s="40"/>
      <c r="O12" s="72"/>
      <c r="S12" s="73"/>
      <c r="T12" s="73"/>
      <c r="U12" s="73"/>
      <c r="V12" s="73"/>
      <c r="W12" s="72"/>
    </row>
    <row r="13" spans="1:23" ht="11.25" customHeight="1" x14ac:dyDescent="0.2">
      <c r="A13" s="39"/>
      <c r="B13" s="45" t="s">
        <v>94</v>
      </c>
      <c r="C13" s="45" t="s">
        <v>36</v>
      </c>
      <c r="D13" s="45" t="s">
        <v>129</v>
      </c>
      <c r="E13" s="45" t="s">
        <v>130</v>
      </c>
      <c r="F13" s="45" t="s">
        <v>131</v>
      </c>
      <c r="G13" s="45" t="s">
        <v>95</v>
      </c>
      <c r="H13" s="45" t="s">
        <v>125</v>
      </c>
      <c r="I13" s="46">
        <v>0</v>
      </c>
      <c r="J13" s="223" t="str">
        <f t="shared" si="0"/>
        <v>EUR1EON3E15Y_Quote</v>
      </c>
      <c r="K13" s="47" t="str">
        <f t="shared" si="2"/>
        <v>EUR1EON3E15Y_LCHQuote</v>
      </c>
      <c r="L13" s="45" t="str">
        <f>_xll.qlSwapRateHelper2(,IF($K$3,$K13,$J13),2,$C13,Calendar,$F13,$G13,$H13,$L$3,0,$B13,,,,Permanent,Trigger,ObjectOverwrite)</f>
        <v>obj_0057e#0001</v>
      </c>
      <c r="M13" s="78" t="str">
        <f>_xll.ohRangeRetrieveError(L13)</f>
        <v/>
      </c>
      <c r="N13" s="40"/>
      <c r="O13" s="72"/>
      <c r="S13" s="73"/>
      <c r="T13" s="73"/>
      <c r="U13" s="73"/>
      <c r="V13" s="73"/>
      <c r="W13" s="72"/>
    </row>
    <row r="14" spans="1:23" ht="11.25" customHeight="1" x14ac:dyDescent="0.2">
      <c r="A14" s="39"/>
      <c r="B14" s="45" t="s">
        <v>94</v>
      </c>
      <c r="C14" s="45" t="s">
        <v>37</v>
      </c>
      <c r="D14" s="45" t="s">
        <v>129</v>
      </c>
      <c r="E14" s="45" t="s">
        <v>130</v>
      </c>
      <c r="F14" s="45" t="s">
        <v>131</v>
      </c>
      <c r="G14" s="45" t="s">
        <v>95</v>
      </c>
      <c r="H14" s="45" t="s">
        <v>125</v>
      </c>
      <c r="I14" s="46">
        <v>0</v>
      </c>
      <c r="J14" s="223" t="str">
        <f t="shared" si="0"/>
        <v>EUR1EON3E20Y_Quote</v>
      </c>
      <c r="K14" s="47" t="str">
        <f t="shared" si="2"/>
        <v>EUR1EON3E20Y_LCHQuote</v>
      </c>
      <c r="L14" s="45" t="str">
        <f>_xll.qlSwapRateHelper2(,IF($K$3,$K14,$J14),2,$C14,Calendar,$F14,$G14,$H14,$L$3,0,$B14,,,,Permanent,Trigger,ObjectOverwrite)</f>
        <v>obj_00583#0001</v>
      </c>
      <c r="M14" s="78" t="str">
        <f>_xll.ohRangeRetrieveError(L14)</f>
        <v/>
      </c>
      <c r="N14" s="40"/>
      <c r="O14" s="72"/>
      <c r="S14" s="73"/>
      <c r="T14" s="73"/>
      <c r="U14" s="73"/>
      <c r="V14" s="73"/>
      <c r="W14" s="72"/>
    </row>
    <row r="15" spans="1:23" ht="11.25" customHeight="1" x14ac:dyDescent="0.2">
      <c r="A15" s="39"/>
      <c r="B15" s="45" t="s">
        <v>94</v>
      </c>
      <c r="C15" s="45" t="s">
        <v>41</v>
      </c>
      <c r="D15" s="45" t="s">
        <v>129</v>
      </c>
      <c r="E15" s="45" t="s">
        <v>130</v>
      </c>
      <c r="F15" s="45" t="s">
        <v>131</v>
      </c>
      <c r="G15" s="45" t="s">
        <v>95</v>
      </c>
      <c r="H15" s="45" t="s">
        <v>125</v>
      </c>
      <c r="I15" s="46">
        <v>0</v>
      </c>
      <c r="J15" s="223" t="str">
        <f t="shared" si="0"/>
        <v>EUR1EON3E25Y_Quote</v>
      </c>
      <c r="K15" s="47" t="str">
        <f t="shared" si="2"/>
        <v>EUR1EON3E25Y_LCHQuote</v>
      </c>
      <c r="L15" s="45" t="str">
        <f>_xll.qlSwapRateHelper2(,IF($K$3,$K15,$J15),2,$C15,Calendar,$F15,$G15,$H15,$L$3,0,$B15,,,,Permanent,Trigger,ObjectOverwrite)</f>
        <v>obj_00589#0001</v>
      </c>
      <c r="M15" s="78" t="str">
        <f>_xll.ohRangeRetrieveError(L15)</f>
        <v/>
      </c>
      <c r="N15" s="40"/>
      <c r="O15" s="72"/>
      <c r="S15" s="73"/>
      <c r="T15" s="73"/>
      <c r="U15" s="73"/>
      <c r="V15" s="73"/>
      <c r="W15" s="72"/>
    </row>
    <row r="16" spans="1:23" ht="11.25" customHeight="1" x14ac:dyDescent="0.2">
      <c r="A16" s="39"/>
      <c r="B16" s="45" t="s">
        <v>94</v>
      </c>
      <c r="C16" s="45" t="s">
        <v>38</v>
      </c>
      <c r="D16" s="45" t="s">
        <v>129</v>
      </c>
      <c r="E16" s="45" t="s">
        <v>130</v>
      </c>
      <c r="F16" s="45" t="s">
        <v>131</v>
      </c>
      <c r="G16" s="45" t="s">
        <v>95</v>
      </c>
      <c r="H16" s="45" t="s">
        <v>125</v>
      </c>
      <c r="I16" s="46">
        <v>0</v>
      </c>
      <c r="J16" s="223" t="str">
        <f t="shared" si="0"/>
        <v>EUR1EON3E30Y_Quote</v>
      </c>
      <c r="K16" s="47" t="str">
        <f t="shared" si="2"/>
        <v>EUR1EON3E30Y_LCHQuote</v>
      </c>
      <c r="L16" s="45" t="str">
        <f>_xll.qlSwapRateHelper2(,IF($K$3,$K16,$J16),2,$C16,Calendar,$F16,$G16,$H16,$L$3,0,$B16,,,,Permanent,Trigger,ObjectOverwrite)</f>
        <v>obj_0057d#0001</v>
      </c>
      <c r="M16" s="78" t="str">
        <f>_xll.ohRangeRetrieveError(L16)</f>
        <v/>
      </c>
      <c r="N16" s="40"/>
      <c r="O16" s="72"/>
      <c r="S16" s="73"/>
      <c r="T16" s="73"/>
      <c r="U16" s="73"/>
      <c r="V16" s="73"/>
      <c r="W16" s="72"/>
    </row>
    <row r="17" spans="1:23" ht="11.25" customHeight="1" x14ac:dyDescent="0.2">
      <c r="A17" s="39"/>
      <c r="B17" s="45" t="s">
        <v>94</v>
      </c>
      <c r="C17" s="45" t="s">
        <v>84</v>
      </c>
      <c r="D17" s="45" t="s">
        <v>129</v>
      </c>
      <c r="E17" s="45" t="s">
        <v>130</v>
      </c>
      <c r="F17" s="45" t="s">
        <v>131</v>
      </c>
      <c r="G17" s="45" t="s">
        <v>95</v>
      </c>
      <c r="H17" s="45" t="s">
        <v>125</v>
      </c>
      <c r="I17" s="46">
        <v>0</v>
      </c>
      <c r="J17" s="223" t="str">
        <f t="shared" si="0"/>
        <v>EUR1EON3E40Y_Quote</v>
      </c>
      <c r="K17" s="47" t="str">
        <f t="shared" si="2"/>
        <v>EUR1EON3E40Y_LCHQuote</v>
      </c>
      <c r="L17" s="45" t="str">
        <f>_xll.qlSwapRateHelper2(,IF($K$3,$K17,$J17),2,$C17,Calendar,$F17,$G17,$H17,$L$3,0,$B17,,,,Permanent,Trigger,ObjectOverwrite)</f>
        <v>obj_00579#0001</v>
      </c>
      <c r="M17" s="78" t="str">
        <f>_xll.ohRangeRetrieveError(L17)</f>
        <v/>
      </c>
      <c r="N17" s="40"/>
      <c r="O17" s="72"/>
      <c r="S17" s="73"/>
      <c r="T17" s="73"/>
      <c r="U17" s="73"/>
      <c r="V17" s="73"/>
      <c r="W17" s="72"/>
    </row>
    <row r="18" spans="1:23" ht="11.25" customHeight="1" x14ac:dyDescent="0.2">
      <c r="A18" s="39"/>
      <c r="B18" s="45" t="s">
        <v>94</v>
      </c>
      <c r="C18" s="45" t="s">
        <v>85</v>
      </c>
      <c r="D18" s="45" t="s">
        <v>129</v>
      </c>
      <c r="E18" s="45" t="s">
        <v>130</v>
      </c>
      <c r="F18" s="45" t="s">
        <v>131</v>
      </c>
      <c r="G18" s="45" t="s">
        <v>95</v>
      </c>
      <c r="H18" s="45" t="s">
        <v>125</v>
      </c>
      <c r="I18" s="46">
        <v>0</v>
      </c>
      <c r="J18" s="223" t="str">
        <f t="shared" si="0"/>
        <v>EUR1EON3E50Y_Quote</v>
      </c>
      <c r="K18" s="47" t="str">
        <f t="shared" si="2"/>
        <v>EUR1EON3E50Y_LCHQuote</v>
      </c>
      <c r="L18" s="45" t="str">
        <f>_xll.qlSwapRateHelper2(,IF($K$3,$K18,$J18),2,$C18,Calendar,$F18,$G18,$H18,$L$3,0,$B18,,,,Permanent,Trigger,ObjectOverwrite)</f>
        <v>obj_00586#0001</v>
      </c>
      <c r="M18" s="78" t="str">
        <f>_xll.ohRangeRetrieveError(L18)</f>
        <v/>
      </c>
      <c r="N18" s="40"/>
      <c r="O18" s="72"/>
      <c r="S18" s="73"/>
      <c r="T18" s="73"/>
      <c r="U18" s="73"/>
      <c r="V18" s="73"/>
      <c r="W18" s="72"/>
    </row>
    <row r="19" spans="1:23" ht="11.25" customHeight="1" x14ac:dyDescent="0.2">
      <c r="A19" s="39"/>
      <c r="B19" s="48" t="s">
        <v>94</v>
      </c>
      <c r="C19" s="48" t="s">
        <v>86</v>
      </c>
      <c r="D19" s="48" t="s">
        <v>129</v>
      </c>
      <c r="E19" s="48" t="s">
        <v>130</v>
      </c>
      <c r="F19" s="48" t="s">
        <v>131</v>
      </c>
      <c r="G19" s="48" t="s">
        <v>95</v>
      </c>
      <c r="H19" s="48" t="s">
        <v>125</v>
      </c>
      <c r="I19" s="49">
        <v>0</v>
      </c>
      <c r="J19" s="224" t="str">
        <f t="shared" si="0"/>
        <v>EUR1EON3E60Y_Quote</v>
      </c>
      <c r="K19" s="50" t="str">
        <f t="shared" si="2"/>
        <v>EUR1EON3E60Y_LCHQuote</v>
      </c>
      <c r="L19" s="48" t="str">
        <f>_xll.qlSwapRateHelper2(,IF($K$3,$K19,$J19),2,$C19,Calendar,$F19,$G19,$H19,$L$3,0,$B19,,,,Permanent,Trigger,ObjectOverwrite)</f>
        <v>obj_00585#0001</v>
      </c>
      <c r="M19" s="79" t="str">
        <f>_xll.ohRangeRetrieveError(L19)</f>
        <v/>
      </c>
      <c r="N19" s="40"/>
      <c r="O19" s="72"/>
      <c r="S19" s="73"/>
      <c r="T19" s="73"/>
      <c r="U19" s="73"/>
      <c r="V19" s="73"/>
      <c r="W19" s="72"/>
    </row>
    <row r="20" spans="1:23" ht="11.25" customHeight="1" x14ac:dyDescent="0.2">
      <c r="A20" s="39"/>
      <c r="B20" s="8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0"/>
      <c r="O20" s="72"/>
      <c r="S20" s="73"/>
      <c r="T20" s="73"/>
      <c r="U20" s="73"/>
      <c r="V20" s="73"/>
      <c r="W20" s="72"/>
    </row>
    <row r="21" spans="1:23" ht="11.25" customHeight="1" thickBot="1" x14ac:dyDescent="0.25">
      <c r="A21" s="26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8"/>
      <c r="O21" s="72"/>
      <c r="S21" s="73"/>
      <c r="T21" s="73"/>
      <c r="U21" s="73"/>
      <c r="V21" s="73"/>
      <c r="W21" s="72"/>
    </row>
    <row r="22" spans="1:23" ht="11.25" customHeight="1" x14ac:dyDescent="0.2">
      <c r="O22" s="72"/>
      <c r="S22" s="73"/>
      <c r="T22" s="73"/>
      <c r="U22" s="73"/>
      <c r="V22" s="73"/>
      <c r="W22" s="72"/>
    </row>
    <row r="23" spans="1:23" ht="11.25" customHeight="1" x14ac:dyDescent="0.2">
      <c r="O23" s="72"/>
      <c r="S23" s="73"/>
      <c r="T23" s="73"/>
      <c r="U23" s="73"/>
      <c r="V23" s="73"/>
      <c r="W23" s="72"/>
    </row>
    <row r="24" spans="1:23" ht="11.25" customHeight="1" x14ac:dyDescent="0.2">
      <c r="O24" s="72"/>
      <c r="S24" s="73"/>
      <c r="T24" s="73"/>
      <c r="U24" s="73"/>
      <c r="V24" s="73"/>
      <c r="W24" s="72"/>
    </row>
    <row r="25" spans="1:23" ht="11.25" customHeight="1" x14ac:dyDescent="0.2">
      <c r="O25" s="72"/>
      <c r="S25" s="73"/>
      <c r="T25" s="73"/>
      <c r="U25" s="73"/>
      <c r="V25" s="73"/>
      <c r="W25" s="72"/>
    </row>
    <row r="26" spans="1:23" ht="11.25" customHeight="1" x14ac:dyDescent="0.2">
      <c r="O26" s="72"/>
      <c r="S26" s="73"/>
      <c r="T26" s="73"/>
      <c r="U26" s="73"/>
      <c r="V26" s="73"/>
      <c r="W26" s="72"/>
    </row>
    <row r="27" spans="1:23" ht="11.25" customHeight="1" x14ac:dyDescent="0.2">
      <c r="O27" s="72"/>
      <c r="S27" s="73"/>
      <c r="T27" s="73"/>
      <c r="U27" s="73"/>
      <c r="V27" s="73"/>
      <c r="W27" s="72"/>
    </row>
    <row r="28" spans="1:23" ht="11.25" customHeight="1" x14ac:dyDescent="0.2">
      <c r="O28" s="72"/>
      <c r="S28" s="73"/>
      <c r="T28" s="73"/>
      <c r="U28" s="73"/>
      <c r="V28" s="73"/>
      <c r="W28" s="72"/>
    </row>
    <row r="29" spans="1:23" ht="11.25" customHeight="1" x14ac:dyDescent="0.2">
      <c r="O29" s="72"/>
      <c r="S29" s="73"/>
      <c r="T29" s="73"/>
      <c r="U29" s="73"/>
      <c r="V29" s="73"/>
      <c r="W29" s="72"/>
    </row>
    <row r="30" spans="1:23" ht="11.25" customHeight="1" x14ac:dyDescent="0.2">
      <c r="O30" s="72"/>
      <c r="S30" s="73"/>
      <c r="T30" s="73"/>
      <c r="U30" s="73"/>
      <c r="V30" s="73"/>
      <c r="W30" s="72"/>
    </row>
    <row r="31" spans="1:23" ht="11.25" customHeight="1" x14ac:dyDescent="0.2">
      <c r="O31" s="72"/>
      <c r="S31" s="73"/>
      <c r="T31" s="73"/>
      <c r="U31" s="73"/>
      <c r="V31" s="73"/>
      <c r="W31" s="72"/>
    </row>
    <row r="32" spans="1:23" ht="11.25" customHeight="1" x14ac:dyDescent="0.2">
      <c r="O32" s="72"/>
      <c r="S32" s="73"/>
      <c r="T32" s="73"/>
      <c r="U32" s="73"/>
      <c r="V32" s="73"/>
      <c r="W32" s="72"/>
    </row>
    <row r="33" spans="15:23" ht="11.25" customHeight="1" x14ac:dyDescent="0.2">
      <c r="O33" s="72"/>
      <c r="S33" s="73"/>
      <c r="T33" s="73"/>
      <c r="U33" s="73"/>
      <c r="V33" s="73"/>
      <c r="W33" s="72"/>
    </row>
    <row r="34" spans="15:23" ht="11.25" customHeight="1" x14ac:dyDescent="0.2">
      <c r="O34" s="72"/>
      <c r="S34" s="73"/>
      <c r="T34" s="73"/>
      <c r="U34" s="73"/>
      <c r="V34" s="73"/>
      <c r="W34" s="72"/>
    </row>
    <row r="35" spans="15:23" ht="11.25" customHeight="1" x14ac:dyDescent="0.2">
      <c r="O35" s="72"/>
      <c r="S35" s="73"/>
      <c r="T35" s="73"/>
      <c r="U35" s="73"/>
      <c r="V35" s="73"/>
      <c r="W35" s="72"/>
    </row>
    <row r="36" spans="15:23" ht="11.25" customHeight="1" x14ac:dyDescent="0.2">
      <c r="O36" s="72"/>
      <c r="P36" s="73"/>
      <c r="Q36" s="73"/>
      <c r="R36" s="73"/>
      <c r="S36" s="73"/>
      <c r="T36" s="73"/>
      <c r="U36" s="73"/>
      <c r="V36" s="73"/>
      <c r="W36" s="72"/>
    </row>
    <row r="37" spans="15:23" ht="11.25" customHeight="1" x14ac:dyDescent="0.2">
      <c r="O37" s="72"/>
      <c r="P37" s="73"/>
      <c r="Q37" s="73"/>
      <c r="R37" s="73"/>
      <c r="S37" s="73"/>
      <c r="T37" s="73"/>
      <c r="U37" s="73"/>
      <c r="V37" s="73"/>
      <c r="W37" s="72"/>
    </row>
    <row r="38" spans="15:23" ht="11.25" customHeight="1" x14ac:dyDescent="0.2">
      <c r="O38" s="72"/>
      <c r="P38" s="73"/>
      <c r="Q38" s="73"/>
      <c r="R38" s="73"/>
      <c r="S38" s="73"/>
      <c r="T38" s="73"/>
      <c r="U38" s="73"/>
      <c r="V38" s="73"/>
      <c r="W38" s="72"/>
    </row>
    <row r="39" spans="15:23" ht="11.25" customHeight="1" x14ac:dyDescent="0.2">
      <c r="O39" s="72"/>
      <c r="P39" s="73"/>
      <c r="Q39" s="73"/>
      <c r="R39" s="73"/>
      <c r="S39" s="73"/>
      <c r="T39" s="73"/>
      <c r="U39" s="73"/>
      <c r="V39" s="73"/>
      <c r="W39" s="72"/>
    </row>
    <row r="40" spans="15:23" ht="11.25" customHeight="1" x14ac:dyDescent="0.2">
      <c r="O40" s="72"/>
      <c r="P40" s="73"/>
      <c r="Q40" s="73"/>
      <c r="R40" s="73"/>
      <c r="S40" s="73"/>
      <c r="T40" s="73"/>
      <c r="U40" s="73"/>
      <c r="V40" s="73"/>
      <c r="W40" s="72"/>
    </row>
    <row r="41" spans="15:23" ht="11.25" customHeight="1" x14ac:dyDescent="0.2">
      <c r="O41" s="72"/>
      <c r="P41" s="73"/>
      <c r="Q41" s="73"/>
      <c r="R41" s="73"/>
      <c r="S41" s="73"/>
      <c r="T41" s="73"/>
      <c r="U41" s="73"/>
      <c r="V41" s="73"/>
      <c r="W41" s="72"/>
    </row>
    <row r="42" spans="15:23" ht="11.25" customHeight="1" x14ac:dyDescent="0.2">
      <c r="O42" s="72"/>
      <c r="P42" s="73"/>
      <c r="Q42" s="73"/>
      <c r="R42" s="73"/>
      <c r="S42" s="73"/>
      <c r="T42" s="73"/>
      <c r="U42" s="73"/>
      <c r="V42" s="73"/>
      <c r="W42" s="72"/>
    </row>
  </sheetData>
  <dataValidations count="4">
    <dataValidation type="list" allowBlank="1" showInputMessage="1" showErrorMessage="1" sqref="F4">
      <formula1>"Annual,Semiannual,EveryFourthMonth,Quarterly,Bimonthly,Monthly,Biweekly,Weekly,Daily,Once,NoFrequency"</formula1>
    </dataValidation>
    <dataValidation type="list" allowBlank="1" showInputMessage="1" showErrorMessage="1" sqref="G4">
      <formula1>"Following,Modified Following,Preceding,Modified Preceding,Unadjusted,Half-Month Modified Following"</formula1>
    </dataValidation>
    <dataValidation type="list" allowBlank="1" showInputMessage="1" showErrorMessage="1" sqref="H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K3">
      <formula1>"TRUE, FALSE"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8"/>
  <sheetViews>
    <sheetView workbookViewId="0">
      <selection sqref="A1:F1"/>
    </sheetView>
  </sheetViews>
  <sheetFormatPr defaultRowHeight="11.25" outlineLevelCol="1" x14ac:dyDescent="0.2"/>
  <cols>
    <col min="1" max="1" width="15.140625" style="70" bestFit="1" customWidth="1"/>
    <col min="2" max="2" width="18.28515625" style="70" bestFit="1" customWidth="1"/>
    <col min="3" max="3" width="10" style="70" hidden="1" customWidth="1" outlineLevel="1"/>
    <col min="4" max="4" width="9" style="70" hidden="1" customWidth="1" outlineLevel="1"/>
    <col min="5" max="5" width="8" style="70" hidden="1" customWidth="1" outlineLevel="1"/>
    <col min="6" max="6" width="17.28515625" style="70" bestFit="1" customWidth="1" collapsed="1"/>
    <col min="7" max="7" width="5" style="70" bestFit="1" customWidth="1"/>
    <col min="8" max="8" width="17.28515625" style="70" bestFit="1" customWidth="1"/>
    <col min="9" max="9" width="19.28515625" style="70" hidden="1" customWidth="1" outlineLevel="1"/>
    <col min="10" max="12" width="12.85546875" style="70" hidden="1" customWidth="1" outlineLevel="1"/>
    <col min="13" max="13" width="14.42578125" style="70" customWidth="1" collapsed="1"/>
    <col min="14" max="14" width="12" style="70" bestFit="1" customWidth="1"/>
    <col min="15" max="15" width="11.5703125" style="70" bestFit="1" customWidth="1"/>
    <col min="16" max="16" width="10" style="70" bestFit="1" customWidth="1"/>
    <col min="17" max="17" width="17.28515625" style="70" bestFit="1" customWidth="1"/>
    <col min="18" max="18" width="19.28515625" style="70" hidden="1" customWidth="1" outlineLevel="1"/>
    <col min="19" max="21" width="9.140625" style="70" hidden="1" customWidth="1" outlineLevel="1"/>
    <col min="22" max="22" width="13.140625" style="70" bestFit="1" customWidth="1" collapsed="1"/>
    <col min="23" max="23" width="12" style="70" bestFit="1" customWidth="1"/>
    <col min="24" max="16384" width="9.140625" style="70"/>
  </cols>
  <sheetData>
    <row r="1" spans="1:25" x14ac:dyDescent="0.2">
      <c r="A1" s="253" t="s">
        <v>98</v>
      </c>
      <c r="B1" s="254"/>
      <c r="C1" s="254"/>
      <c r="D1" s="254"/>
      <c r="E1" s="254"/>
      <c r="F1" s="255"/>
      <c r="G1" s="37"/>
      <c r="H1" s="256" t="s">
        <v>108</v>
      </c>
      <c r="I1" s="257"/>
      <c r="J1" s="257"/>
      <c r="K1" s="257"/>
      <c r="L1" s="257"/>
      <c r="M1" s="257"/>
      <c r="N1" s="257"/>
      <c r="O1" s="258"/>
      <c r="P1" s="37"/>
      <c r="Q1" s="256" t="s">
        <v>132</v>
      </c>
      <c r="R1" s="257"/>
      <c r="S1" s="257"/>
      <c r="T1" s="257"/>
      <c r="U1" s="257"/>
      <c r="V1" s="257"/>
      <c r="W1" s="257"/>
      <c r="X1" s="258"/>
      <c r="Y1" s="38"/>
    </row>
    <row r="2" spans="1:25" x14ac:dyDescent="0.2">
      <c r="A2" s="52" t="s">
        <v>83</v>
      </c>
      <c r="B2" s="53" t="s">
        <v>99</v>
      </c>
      <c r="C2" s="53" t="s">
        <v>100</v>
      </c>
      <c r="D2" s="53" t="s">
        <v>101</v>
      </c>
      <c r="E2" s="53" t="s">
        <v>14</v>
      </c>
      <c r="F2" s="53" t="s">
        <v>102</v>
      </c>
      <c r="G2" s="41"/>
      <c r="H2" s="53" t="s">
        <v>103</v>
      </c>
      <c r="I2" s="53" t="s">
        <v>80</v>
      </c>
      <c r="J2" s="53" t="s">
        <v>104</v>
      </c>
      <c r="K2" s="53" t="s">
        <v>105</v>
      </c>
      <c r="L2" s="53" t="s">
        <v>14</v>
      </c>
      <c r="M2" s="53" t="s">
        <v>106</v>
      </c>
      <c r="N2" s="53" t="s">
        <v>107</v>
      </c>
      <c r="O2" s="53" t="s">
        <v>14</v>
      </c>
      <c r="P2" s="41"/>
      <c r="Q2" s="53" t="s">
        <v>103</v>
      </c>
      <c r="R2" s="53" t="s">
        <v>80</v>
      </c>
      <c r="S2" s="53" t="s">
        <v>104</v>
      </c>
      <c r="T2" s="53" t="s">
        <v>105</v>
      </c>
      <c r="U2" s="53" t="s">
        <v>14</v>
      </c>
      <c r="V2" s="53" t="s">
        <v>106</v>
      </c>
      <c r="W2" s="53" t="s">
        <v>107</v>
      </c>
      <c r="X2" s="53" t="s">
        <v>14</v>
      </c>
      <c r="Y2" s="40"/>
    </row>
    <row r="3" spans="1:25" x14ac:dyDescent="0.2">
      <c r="A3" s="54" t="str">
        <f t="array" ref="A3:A39">_xll.ohFilter([1]IM!$C$4:$C$40,NOT(ISERROR([1]IM!$F$4:$F$40)))</f>
        <v>EUR1DOIS</v>
      </c>
      <c r="B3" s="55">
        <f t="array" ref="B3:B39">_xll.ohFilter([1]IM!$D$4:$D$40,NOT(ISERROR([1]IM!$F$4:$F$40)))</f>
        <v>42249</v>
      </c>
      <c r="C3" s="56">
        <f t="array" ref="C3:C39">_xll.ohFilter([1]IM!$F$4:$F$40,NOT(ISERROR([1]IM!$F$4:$F$40)))</f>
        <v>-1.25E-3</v>
      </c>
      <c r="D3" s="56">
        <f>Selected!F2</f>
        <v>-1.25E-3</v>
      </c>
      <c r="E3" s="57">
        <f>D3-C3</f>
        <v>0</v>
      </c>
      <c r="F3" s="55">
        <f>Selected!J2</f>
        <v>42249</v>
      </c>
      <c r="G3" s="41"/>
      <c r="H3" s="55">
        <f t="array" ref="H3:H39">_xll.ohFilter([1]REP00079!$C$2:$C$1000,([1]REP00079!$A$2:$A$1000="EUR_EONIA_EOD"))</f>
        <v>42249</v>
      </c>
      <c r="I3" s="62">
        <f>_xll.qlDayCounterYearFraction($I$2,_xll.qlSettingsEvaluationDate(Trigger),H3,,,Trigger)</f>
        <v>2.7397260273972603E-3</v>
      </c>
      <c r="J3" s="56">
        <f t="array" ref="J3:J39">_xll.ohFilter([1]REP00079!$E$2:$E$1000,([1]REP00079!$A$2:$A$1000="EUR_EONIA_EOD"))</f>
        <v>-1.2673633113434301E-3</v>
      </c>
      <c r="K3" s="56">
        <f>_xll.qlYieldTSZeroRate(YieldCurve1,H3,$I$2,,,TRUE,Trigger)</f>
        <v>-1.2673633113839521E-3</v>
      </c>
      <c r="L3" s="57">
        <f>J3-K3</f>
        <v>4.0522056196645728E-14</v>
      </c>
      <c r="M3" s="63">
        <f t="array" ref="M3:M39">_xll.ohFilter([1]REP00079!$F$2:$F$1000,([1]REP00079!$A$2:$A$1000="EUR_EONIA_EOD"))</f>
        <v>1.0000034722342801</v>
      </c>
      <c r="N3" s="63">
        <f>_xll.qlYieldTSDiscount(YieldCurve1,H3,TRUE,Trigger)</f>
        <v>1.0000034722342785</v>
      </c>
      <c r="O3" s="57">
        <f>N3-M3</f>
        <v>0</v>
      </c>
      <c r="P3" s="65"/>
      <c r="Q3" s="55">
        <f t="array" ref="Q3:Q39">_xll.ohFilter([1]REP00101!$C$2:$C$1000,([1]REP00101!$A$2:$A$1000="EUR_EONIA_EOD"))</f>
        <v>42249</v>
      </c>
      <c r="R3" s="62">
        <f>_xll.qlDayCounterYearFraction($R$2,_xll.qlSettingsEvaluationDate(Trigger),Q3,,,Trigger)</f>
        <v>2.7397260273972603E-3</v>
      </c>
      <c r="S3" s="56">
        <f t="array" ref="S3:S39">_xll.ohFilter([1]REP00101!$E$2:$E$1000,([1]REP00101!$A$2:$A$1000="EUR_EONIA_EOD"))</f>
        <v>-1.2673633114039201E-3</v>
      </c>
      <c r="T3" s="56">
        <f>_xll.qlYieldTSZeroRate(YieldCurve2,Q3,$R$2,,,TRUE,Trigger)</f>
        <v>-1.2673633113839521E-3</v>
      </c>
      <c r="U3" s="57">
        <f>S3-T3</f>
        <v>-1.9967968251100032E-14</v>
      </c>
      <c r="V3" s="63">
        <f t="array" ref="V3:V39">_xll.ohFilter([1]REP00101!$F$2:$F$1000,([1]REP00101!$A$2:$A$1000="EUR_EONIA_EOD"))</f>
        <v>1.0000034722342801</v>
      </c>
      <c r="W3" s="63">
        <f>_xll.qlYieldTSDiscount(YieldCurve2,Q3,TRUE,Trigger)</f>
        <v>1.0000034722342785</v>
      </c>
      <c r="X3" s="57">
        <f>V3-W3</f>
        <v>0</v>
      </c>
      <c r="Y3" s="40"/>
    </row>
    <row r="4" spans="1:25" x14ac:dyDescent="0.2">
      <c r="A4" s="54" t="str">
        <v>EUR2DOIS</v>
      </c>
      <c r="B4" s="55">
        <v>42250</v>
      </c>
      <c r="C4" s="56">
        <v>-1.25E-3</v>
      </c>
      <c r="D4" s="56">
        <f>Selected!F3</f>
        <v>-1.25E-3</v>
      </c>
      <c r="E4" s="57">
        <f t="shared" ref="E4:E37" si="0">D4-C4</f>
        <v>0</v>
      </c>
      <c r="F4" s="55">
        <f>Selected!J3</f>
        <v>42250</v>
      </c>
      <c r="G4" s="41"/>
      <c r="H4" s="55">
        <v>42255</v>
      </c>
      <c r="I4" s="62">
        <f>_xll.qlDayCounterYearFraction($I$2,_xll.qlSettingsEvaluationDate(Trigger),H4,,,Trigger)</f>
        <v>1.9178082191780823E-2</v>
      </c>
      <c r="J4" s="56">
        <v>-1.3068006433373501E-3</v>
      </c>
      <c r="K4" s="56">
        <f>_xll.qlYieldTSZeroRate(YieldCurve1,H4,$I$2,,,TRUE,Trigger)</f>
        <v>-1.3068006433295523E-3</v>
      </c>
      <c r="L4" s="57">
        <f t="shared" ref="L4:L39" si="1">J4-K4</f>
        <v>-7.797798864950245E-15</v>
      </c>
      <c r="M4" s="63">
        <v>1.0000250622442</v>
      </c>
      <c r="N4" s="63">
        <f>_xll.qlYieldTSDiscount(YieldCurve1,H4,TRUE,Trigger)</f>
        <v>1.0000250622441988</v>
      </c>
      <c r="O4" s="57">
        <f t="shared" ref="O4:O39" si="2">N4-M4</f>
        <v>0</v>
      </c>
      <c r="P4" s="65"/>
      <c r="Q4" s="55">
        <v>42250</v>
      </c>
      <c r="R4" s="62">
        <f>_xll.qlDayCounterYearFraction($R$2,_xll.qlSettingsEvaluationDate(Trigger),Q4,,,Trigger)</f>
        <v>5.4794520547945206E-3</v>
      </c>
      <c r="S4" s="56">
        <v>-1.26736331138309E-3</v>
      </c>
      <c r="T4" s="56">
        <f>_xll.qlYieldTSZeroRate(YieldCurve2,Q4,$R$2,,,TRUE,Trigger)</f>
        <v>-1.2673633113787048E-3</v>
      </c>
      <c r="U4" s="57">
        <f t="shared" ref="U4:U37" si="3">S4-T4</f>
        <v>-4.3851641068348712E-15</v>
      </c>
      <c r="V4" s="63">
        <v>1.0000069444806099</v>
      </c>
      <c r="W4" s="63">
        <f>_xll.qlYieldTSDiscount(YieldCurve2,Q4,TRUE,Trigger)</f>
        <v>1.0000069444806134</v>
      </c>
      <c r="X4" s="57">
        <f t="shared" ref="X4:X37" si="4">V4-W4</f>
        <v>-3.5527136788005009E-15</v>
      </c>
      <c r="Y4" s="40"/>
    </row>
    <row r="5" spans="1:25" x14ac:dyDescent="0.2">
      <c r="A5" s="54" t="str">
        <v>EUR1WOIS</v>
      </c>
      <c r="B5" s="55">
        <v>42257</v>
      </c>
      <c r="C5" s="56">
        <v>-1.32E-3</v>
      </c>
      <c r="D5" s="56">
        <f>Selected!F4</f>
        <v>-1.32E-3</v>
      </c>
      <c r="E5" s="57">
        <f t="shared" si="0"/>
        <v>0</v>
      </c>
      <c r="F5" s="55">
        <f>Selected!J4</f>
        <v>42257</v>
      </c>
      <c r="G5" s="41"/>
      <c r="H5" s="55">
        <v>42262</v>
      </c>
      <c r="I5" s="62">
        <f>_xll.qlDayCounterYearFraction($I$2,_xll.qlSettingsEvaluationDate(Trigger),H5,,,Trigger)</f>
        <v>3.8356164383561646E-2</v>
      </c>
      <c r="J5" s="56">
        <v>-1.30216747398697E-3</v>
      </c>
      <c r="K5" s="56">
        <f>_xll.qlYieldTSZeroRate(YieldCurve1,H5,$I$2,,,TRUE,Trigger)</f>
        <v>-1.3021674739105179E-3</v>
      </c>
      <c r="L5" s="57">
        <f t="shared" si="1"/>
        <v>-7.6452082511946351E-14</v>
      </c>
      <c r="M5" s="63">
        <v>1.0000499473970199</v>
      </c>
      <c r="N5" s="63">
        <f>_xll.qlYieldTSDiscount(YieldCurve1,H5,TRUE,Trigger)</f>
        <v>1.0000499473970139</v>
      </c>
      <c r="O5" s="57">
        <f t="shared" si="2"/>
        <v>-5.9952043329758453E-15</v>
      </c>
      <c r="P5" s="65"/>
      <c r="Q5" s="55">
        <v>42257</v>
      </c>
      <c r="R5" s="62">
        <f>_xll.qlDayCounterYearFraction($R$2,_xll.qlSettingsEvaluationDate(Trigger),Q5,,,Trigger)</f>
        <v>2.4657534246575342E-2</v>
      </c>
      <c r="S5" s="56">
        <v>-1.3225755761171599E-3</v>
      </c>
      <c r="T5" s="56">
        <f>_xll.qlYieldTSZeroRate(YieldCurve2,Q5,$R$2,,,TRUE,Trigger)</f>
        <v>-1.3225755775775367E-3</v>
      </c>
      <c r="U5" s="57">
        <f t="shared" si="3"/>
        <v>1.4603767414106406E-12</v>
      </c>
      <c r="V5" s="63">
        <v>1.0000326119843199</v>
      </c>
      <c r="W5" s="63">
        <f>_xll.qlYieldTSDiscount(YieldCurve2,Q5,TRUE,Trigger)</f>
        <v>1.000032611984357</v>
      </c>
      <c r="X5" s="57">
        <f t="shared" si="4"/>
        <v>-3.7081449022480228E-14</v>
      </c>
      <c r="Y5" s="40"/>
    </row>
    <row r="6" spans="1:25" x14ac:dyDescent="0.2">
      <c r="A6" s="54" t="str">
        <v>EUR2WOIS</v>
      </c>
      <c r="B6" s="55">
        <v>42264</v>
      </c>
      <c r="C6" s="56">
        <v>-1.2800000000000001E-3</v>
      </c>
      <c r="D6" s="56">
        <f>Selected!F5</f>
        <v>-1.2800000000000001E-3</v>
      </c>
      <c r="E6" s="57">
        <f t="shared" si="0"/>
        <v>0</v>
      </c>
      <c r="F6" s="55">
        <f>Selected!J5</f>
        <v>42264</v>
      </c>
      <c r="G6" s="41"/>
      <c r="H6" s="55">
        <v>42269</v>
      </c>
      <c r="I6" s="62">
        <f>_xll.qlDayCounterYearFraction($I$2,_xll.qlSettingsEvaluationDate(Trigger),H6,,,Trigger)</f>
        <v>5.7534246575342465E-2</v>
      </c>
      <c r="J6" s="56">
        <v>-1.2915357186985799E-3</v>
      </c>
      <c r="K6" s="56">
        <f>_xll.qlYieldTSZeroRate(YieldCurve1,H6,$I$2,,,TRUE,Trigger)</f>
        <v>-1.2915357186718452E-3</v>
      </c>
      <c r="L6" s="57">
        <f t="shared" si="1"/>
        <v>-2.6734690850016563E-14</v>
      </c>
      <c r="M6" s="63">
        <v>1.00007431029537</v>
      </c>
      <c r="N6" s="63">
        <f>_xll.qlYieldTSDiscount(YieldCurve1,H6,TRUE,Trigger)</f>
        <v>1.0000743102953722</v>
      </c>
      <c r="O6" s="57">
        <f t="shared" si="2"/>
        <v>2.2204460492503131E-15</v>
      </c>
      <c r="P6" s="65"/>
      <c r="Q6" s="55">
        <v>42264</v>
      </c>
      <c r="R6" s="62">
        <f>_xll.qlDayCounterYearFraction($R$2,_xll.qlSettingsEvaluationDate(Trigger),Q6,,,Trigger)</f>
        <v>4.3835616438356165E-2</v>
      </c>
      <c r="S6" s="56">
        <v>-1.29400423313425E-3</v>
      </c>
      <c r="T6" s="56">
        <f>_xll.qlYieldTSZeroRate(YieldCurve2,Q6,$R$2,,,TRUE,Trigger)</f>
        <v>-1.2940042331158589E-3</v>
      </c>
      <c r="U6" s="57">
        <f t="shared" si="3"/>
        <v>-1.8391104611437115E-14</v>
      </c>
      <c r="V6" s="63">
        <v>1.00005672508204</v>
      </c>
      <c r="W6" s="63">
        <f>_xll.qlYieldTSDiscount(YieldCurve2,Q6,TRUE,Trigger)</f>
        <v>1.0000567250820391</v>
      </c>
      <c r="X6" s="57">
        <f t="shared" si="4"/>
        <v>0</v>
      </c>
      <c r="Y6" s="40"/>
    </row>
    <row r="7" spans="1:25" x14ac:dyDescent="0.2">
      <c r="A7" s="54" t="str">
        <v>EUR3WOIS</v>
      </c>
      <c r="B7" s="55">
        <v>42271</v>
      </c>
      <c r="C7" s="56">
        <v>-1.2750000000000001E-3</v>
      </c>
      <c r="D7" s="56">
        <f>Selected!F6</f>
        <v>-1.2750000000000001E-3</v>
      </c>
      <c r="E7" s="57">
        <f t="shared" si="0"/>
        <v>0</v>
      </c>
      <c r="F7" s="55">
        <f>Selected!J6</f>
        <v>42271</v>
      </c>
      <c r="G7" s="41"/>
      <c r="H7" s="55">
        <v>42278</v>
      </c>
      <c r="I7" s="62">
        <f>_xll.qlDayCounterYearFraction($I$2,_xll.qlSettingsEvaluationDate(Trigger),H7,,,Trigger)</f>
        <v>8.2191780821917804E-2</v>
      </c>
      <c r="J7" s="56">
        <v>-1.2707741099832199E-3</v>
      </c>
      <c r="K7" s="56">
        <f>_xll.qlYieldTSZeroRate(YieldCurve1,H7,$I$2,,,TRUE,Trigger)</f>
        <v>-1.2707741281481604E-3</v>
      </c>
      <c r="L7" s="57">
        <f t="shared" si="1"/>
        <v>1.8164940471937507E-11</v>
      </c>
      <c r="M7" s="63">
        <v>1.00010445264192</v>
      </c>
      <c r="N7" s="63">
        <f>_xll.qlYieldTSDiscount(YieldCurve1,H7,TRUE,Trigger)</f>
        <v>1.0001044526434124</v>
      </c>
      <c r="O7" s="57">
        <f t="shared" si="2"/>
        <v>1.4923617897011354E-12</v>
      </c>
      <c r="P7" s="65"/>
      <c r="Q7" s="55">
        <v>42271</v>
      </c>
      <c r="R7" s="62">
        <f>_xll.qlDayCounterYearFraction($R$2,_xll.qlSettingsEvaluationDate(Trigger),Q7,,,Trigger)</f>
        <v>6.3013698630136991E-2</v>
      </c>
      <c r="S7" s="56">
        <v>-1.29054831292389E-3</v>
      </c>
      <c r="T7" s="56">
        <f>_xll.qlYieldTSZeroRate(YieldCurve2,Q7,$R$2,,,TRUE,Trigger)</f>
        <v>-1.2905483129202653E-3</v>
      </c>
      <c r="U7" s="57">
        <f t="shared" si="3"/>
        <v>-3.6247047030535384E-15</v>
      </c>
      <c r="V7" s="63">
        <v>1.0000813255292</v>
      </c>
      <c r="W7" s="63">
        <f>_xll.qlYieldTSDiscount(YieldCurve2,Q7,TRUE,Trigger)</f>
        <v>1.0000813255291996</v>
      </c>
      <c r="X7" s="57">
        <f t="shared" si="4"/>
        <v>0</v>
      </c>
      <c r="Y7" s="40"/>
    </row>
    <row r="8" spans="1:25" x14ac:dyDescent="0.2">
      <c r="A8" s="54" t="str">
        <v>EUR1MOIS</v>
      </c>
      <c r="B8" s="55">
        <v>42282</v>
      </c>
      <c r="C8" s="56">
        <v>-1.2416667E-3</v>
      </c>
      <c r="D8" s="56">
        <f>Selected!F7</f>
        <v>-1.2416667E-3</v>
      </c>
      <c r="E8" s="57">
        <f t="shared" si="0"/>
        <v>0</v>
      </c>
      <c r="F8" s="55">
        <f>Selected!J7</f>
        <v>42282</v>
      </c>
      <c r="G8" s="65"/>
      <c r="H8" s="55">
        <v>42308</v>
      </c>
      <c r="I8" s="62">
        <f>_xll.qlDayCounterYearFraction($I$2,_xll.qlSettingsEvaluationDate(Trigger),H8,,,Trigger)</f>
        <v>0.16438356164383561</v>
      </c>
      <c r="J8" s="56">
        <v>-1.30627699034693E-3</v>
      </c>
      <c r="K8" s="56">
        <f>_xll.qlYieldTSZeroRate(YieldCurve1,H8,$I$2,,,TRUE,Trigger)</f>
        <v>-1.3062769933013781E-3</v>
      </c>
      <c r="L8" s="57">
        <f t="shared" si="1"/>
        <v>2.9544481010973511E-12</v>
      </c>
      <c r="M8" s="63">
        <v>1.0002147535204</v>
      </c>
      <c r="N8" s="63">
        <f>_xll.qlYieldTSDiscount(YieldCurve1,H8,TRUE,Trigger)</f>
        <v>1.0002147535208887</v>
      </c>
      <c r="O8" s="57">
        <f t="shared" si="2"/>
        <v>4.8872017543999391E-13</v>
      </c>
      <c r="P8" s="65"/>
      <c r="Q8" s="55">
        <v>42282</v>
      </c>
      <c r="R8" s="62">
        <f>_xll.qlDayCounterYearFraction($R$2,_xll.qlSettingsEvaluationDate(Trigger),Q8,,,Trigger)</f>
        <v>9.3150684931506855E-2</v>
      </c>
      <c r="S8" s="56">
        <v>-1.25947456544536E-3</v>
      </c>
      <c r="T8" s="56">
        <f>_xll.qlYieldTSZeroRate(YieldCurve2,Q8,$R$2,,,TRUE,Trigger)</f>
        <v>-1.2594745939958443E-3</v>
      </c>
      <c r="U8" s="57">
        <f t="shared" si="3"/>
        <v>2.8550484242398366E-11</v>
      </c>
      <c r="V8" s="63">
        <v>1.00011732780079</v>
      </c>
      <c r="W8" s="63">
        <f>_xll.qlYieldTSDiscount(YieldCurve2,Q8,TRUE,Trigger)</f>
        <v>1.000117327803453</v>
      </c>
      <c r="X8" s="57">
        <f t="shared" si="4"/>
        <v>-2.6629809468659005E-12</v>
      </c>
      <c r="Y8" s="40"/>
    </row>
    <row r="9" spans="1:25" x14ac:dyDescent="0.2">
      <c r="A9" s="54" t="str">
        <v>EUR2MOIS</v>
      </c>
      <c r="B9" s="55">
        <v>42311</v>
      </c>
      <c r="C9" s="56">
        <v>-1.2949999999999999E-3</v>
      </c>
      <c r="D9" s="56">
        <f>Selected!F8</f>
        <v>-1.2949999999999999E-3</v>
      </c>
      <c r="E9" s="57">
        <f t="shared" si="0"/>
        <v>0</v>
      </c>
      <c r="F9" s="55">
        <f>Selected!J8</f>
        <v>42311</v>
      </c>
      <c r="G9" s="65"/>
      <c r="H9" s="55">
        <v>42339</v>
      </c>
      <c r="I9" s="62">
        <f>_xll.qlDayCounterYearFraction($I$2,_xll.qlSettingsEvaluationDate(Trigger),H9,,,Trigger)</f>
        <v>0.24931506849315069</v>
      </c>
      <c r="J9" s="56">
        <v>-1.32375756378599E-3</v>
      </c>
      <c r="K9" s="56">
        <f>_xll.qlYieldTSZeroRate(YieldCurve1,H9,$I$2,,,TRUE,Trigger)</f>
        <v>-1.3237575637866164E-3</v>
      </c>
      <c r="L9" s="57">
        <f t="shared" si="1"/>
        <v>6.2645201526212446E-16</v>
      </c>
      <c r="M9" s="63">
        <v>1.00033008717447</v>
      </c>
      <c r="N9" s="63">
        <f>_xll.qlYieldTSDiscount(YieldCurve1,H9,TRUE,Trigger)</f>
        <v>1.0003300871744696</v>
      </c>
      <c r="O9" s="57">
        <f t="shared" si="2"/>
        <v>0</v>
      </c>
      <c r="P9" s="65"/>
      <c r="Q9" s="55">
        <v>42311</v>
      </c>
      <c r="R9" s="62">
        <f>_xll.qlDayCounterYearFraction($R$2,_xll.qlSettingsEvaluationDate(Trigger),Q9,,,Trigger)</f>
        <v>0.17260273972602741</v>
      </c>
      <c r="S9" s="56">
        <v>-1.3116772701431401E-3</v>
      </c>
      <c r="T9" s="56">
        <f>_xll.qlYieldTSZeroRate(YieldCurve2,Q9,$R$2,,,TRUE,Trigger)</f>
        <v>-1.3116772701435762E-3</v>
      </c>
      <c r="U9" s="57">
        <f t="shared" si="3"/>
        <v>4.3606611377366988E-16</v>
      </c>
      <c r="V9" s="63">
        <v>1.00022642472067</v>
      </c>
      <c r="W9" s="63">
        <f>_xll.qlYieldTSDiscount(YieldCurve2,Q9,TRUE,Trigger)</f>
        <v>1.0002264247206714</v>
      </c>
      <c r="X9" s="57">
        <f t="shared" si="4"/>
        <v>0</v>
      </c>
      <c r="Y9" s="40"/>
    </row>
    <row r="10" spans="1:25" x14ac:dyDescent="0.2">
      <c r="A10" s="54" t="str">
        <v>EUR3MOIS</v>
      </c>
      <c r="B10" s="55">
        <v>42341</v>
      </c>
      <c r="C10" s="56">
        <v>-1.3075000000000001E-3</v>
      </c>
      <c r="D10" s="56">
        <f>Selected!F9</f>
        <v>-1.3075000000000001E-3</v>
      </c>
      <c r="E10" s="57">
        <f t="shared" si="0"/>
        <v>0</v>
      </c>
      <c r="F10" s="55">
        <f>Selected!J9</f>
        <v>42341</v>
      </c>
      <c r="G10" s="65"/>
      <c r="H10" s="55">
        <v>42369</v>
      </c>
      <c r="I10" s="62">
        <f>_xll.qlDayCounterYearFraction($I$2,_xll.qlSettingsEvaluationDate(Trigger),H10,,,Trigger)</f>
        <v>0.33150684931506852</v>
      </c>
      <c r="J10" s="56">
        <v>-1.30677398841517E-3</v>
      </c>
      <c r="K10" s="56">
        <f>_xll.qlYieldTSZeroRate(YieldCurve1,H10,$I$2,,,TRUE,Trigger)</f>
        <v>-1.3067740189820279E-3</v>
      </c>
      <c r="L10" s="57">
        <f t="shared" si="1"/>
        <v>3.0566857855615637E-11</v>
      </c>
      <c r="M10" s="63">
        <v>1.0004332983743001</v>
      </c>
      <c r="N10" s="63">
        <f>_xll.qlYieldTSDiscount(YieldCurve1,H10,TRUE,Trigger)</f>
        <v>1.0004332983844364</v>
      </c>
      <c r="O10" s="57">
        <f t="shared" si="2"/>
        <v>1.0136336214827679E-11</v>
      </c>
      <c r="P10" s="65"/>
      <c r="Q10" s="55">
        <v>42341</v>
      </c>
      <c r="R10" s="62">
        <f>_xll.qlDayCounterYearFraction($R$2,_xll.qlSettingsEvaluationDate(Trigger),Q10,,,Trigger)</f>
        <v>0.25479452054794521</v>
      </c>
      <c r="S10" s="56">
        <v>-1.32462044190326E-3</v>
      </c>
      <c r="T10" s="56">
        <f>_xll.qlYieldTSZeroRate(YieldCurve2,Q10,$R$2,,,TRUE,Trigger)</f>
        <v>-1.3246204419030869E-3</v>
      </c>
      <c r="U10" s="57">
        <f t="shared" si="3"/>
        <v>-1.7303866672868651E-16</v>
      </c>
      <c r="V10" s="63">
        <v>1.00033756299197</v>
      </c>
      <c r="W10" s="63">
        <f>_xll.qlYieldTSDiscount(YieldCurve2,Q10,TRUE,Trigger)</f>
        <v>1.0003375629919711</v>
      </c>
      <c r="X10" s="57">
        <f t="shared" si="4"/>
        <v>0</v>
      </c>
      <c r="Y10" s="40"/>
    </row>
    <row r="11" spans="1:25" x14ac:dyDescent="0.2">
      <c r="A11" s="54" t="str">
        <v>EUR4MOIS</v>
      </c>
      <c r="B11" s="55">
        <v>42373</v>
      </c>
      <c r="C11" s="56">
        <v>-1.2866666999999999E-3</v>
      </c>
      <c r="D11" s="56">
        <f>Selected!F10</f>
        <v>-1.2866666999999999E-3</v>
      </c>
      <c r="E11" s="57">
        <f t="shared" si="0"/>
        <v>0</v>
      </c>
      <c r="F11" s="55">
        <f>Selected!J10</f>
        <v>42373</v>
      </c>
      <c r="G11" s="65"/>
      <c r="H11" s="55">
        <v>42400</v>
      </c>
      <c r="I11" s="62">
        <f>_xll.qlDayCounterYearFraction($I$2,_xll.qlSettingsEvaluationDate(Trigger),H11,,,Trigger)</f>
        <v>0.41643835616438357</v>
      </c>
      <c r="J11" s="56">
        <v>-1.3389380708056799E-3</v>
      </c>
      <c r="K11" s="56">
        <f>_xll.qlYieldTSZeroRate(YieldCurve1,H11,$I$2,,,TRUE,Trigger)</f>
        <v>-1.3389380742990422E-3</v>
      </c>
      <c r="L11" s="57">
        <f t="shared" si="1"/>
        <v>3.4933622834742994E-12</v>
      </c>
      <c r="M11" s="63">
        <v>1.0005577406487201</v>
      </c>
      <c r="N11" s="63">
        <f>_xll.qlYieldTSDiscount(YieldCurve1,H11,TRUE,Trigger)</f>
        <v>1.0005577406501747</v>
      </c>
      <c r="O11" s="57">
        <f t="shared" si="2"/>
        <v>1.4546142068638801E-12</v>
      </c>
      <c r="P11" s="65"/>
      <c r="Q11" s="55">
        <v>42373</v>
      </c>
      <c r="R11" s="62">
        <f>_xll.qlDayCounterYearFraction($R$2,_xll.qlSettingsEvaluationDate(Trigger),Q11,,,Trigger)</f>
        <v>0.34246575342465752</v>
      </c>
      <c r="S11" s="56">
        <v>-1.30422449505967E-3</v>
      </c>
      <c r="T11" s="56">
        <f>_xll.qlYieldTSZeroRate(YieldCurve2,Q11,$R$2,,,TRUE,Trigger)</f>
        <v>-1.3042245304480801E-3</v>
      </c>
      <c r="U11" s="57">
        <f t="shared" si="3"/>
        <v>3.5388410084269406E-11</v>
      </c>
      <c r="V11" s="63">
        <v>1.00044675198829</v>
      </c>
      <c r="W11" s="63">
        <f>_xll.qlYieldTSDiscount(YieldCurve2,Q11,TRUE,Trigger)</f>
        <v>1.0004467520004177</v>
      </c>
      <c r="X11" s="57">
        <f t="shared" si="4"/>
        <v>-1.212763223179536E-11</v>
      </c>
      <c r="Y11" s="40"/>
    </row>
    <row r="12" spans="1:25" x14ac:dyDescent="0.2">
      <c r="A12" s="54" t="str">
        <v>EUR5MOIS</v>
      </c>
      <c r="B12" s="55">
        <v>42403</v>
      </c>
      <c r="C12" s="56">
        <v>-1.325E-3</v>
      </c>
      <c r="D12" s="56">
        <f>Selected!F11</f>
        <v>-1.325E-3</v>
      </c>
      <c r="E12" s="57">
        <f t="shared" si="0"/>
        <v>0</v>
      </c>
      <c r="F12" s="55">
        <f>Selected!J11</f>
        <v>42403</v>
      </c>
      <c r="G12" s="65"/>
      <c r="H12" s="55">
        <v>42430</v>
      </c>
      <c r="I12" s="62">
        <f>_xll.qlDayCounterYearFraction($I$2,_xll.qlSettingsEvaluationDate(Trigger),H12,,,Trigger)</f>
        <v>0.49863013698630138</v>
      </c>
      <c r="J12" s="56">
        <v>-1.36636432413592E-3</v>
      </c>
      <c r="K12" s="56">
        <f>_xll.qlYieldTSZeroRate(YieldCurve1,H12,$I$2,,,TRUE,Trigger)</f>
        <v>-1.3663643241360085E-3</v>
      </c>
      <c r="L12" s="57">
        <f t="shared" si="1"/>
        <v>8.8470897274817162E-17</v>
      </c>
      <c r="M12" s="63">
        <v>1.0006815425747899</v>
      </c>
      <c r="N12" s="63">
        <f>_xll.qlYieldTSDiscount(YieldCurve1,H12,TRUE,Trigger)</f>
        <v>1.0006815425747861</v>
      </c>
      <c r="O12" s="57">
        <f t="shared" si="2"/>
        <v>-3.7747582837255322E-15</v>
      </c>
      <c r="P12" s="65"/>
      <c r="Q12" s="55">
        <v>42403</v>
      </c>
      <c r="R12" s="62">
        <f>_xll.qlDayCounterYearFraction($R$2,_xll.qlSettingsEvaluationDate(Trigger),Q12,,,Trigger)</f>
        <v>0.42465753424657532</v>
      </c>
      <c r="S12" s="56">
        <v>-1.3427951347774201E-3</v>
      </c>
      <c r="T12" s="56">
        <f>_xll.qlYieldTSZeroRate(YieldCurve2,Q12,$R$2,,,TRUE,Trigger)</f>
        <v>-1.3427951347771841E-3</v>
      </c>
      <c r="U12" s="57">
        <f t="shared" si="3"/>
        <v>-2.3592239273284576E-16</v>
      </c>
      <c r="V12" s="63">
        <v>1.0005703906818699</v>
      </c>
      <c r="W12" s="63">
        <f>_xll.qlYieldTSDiscount(YieldCurve2,Q12,TRUE,Trigger)</f>
        <v>1.0005703906818662</v>
      </c>
      <c r="X12" s="57">
        <f t="shared" si="4"/>
        <v>3.7747582837255322E-15</v>
      </c>
      <c r="Y12" s="40"/>
    </row>
    <row r="13" spans="1:25" x14ac:dyDescent="0.2">
      <c r="A13" s="54" t="str">
        <v>EUR6MOIS</v>
      </c>
      <c r="B13" s="55">
        <v>42432</v>
      </c>
      <c r="C13" s="56">
        <v>-1.3500000000000001E-3</v>
      </c>
      <c r="D13" s="56">
        <f>Selected!F12</f>
        <v>-1.3500000000000001E-3</v>
      </c>
      <c r="E13" s="57">
        <f t="shared" si="0"/>
        <v>0</v>
      </c>
      <c r="F13" s="55">
        <f>Selected!J12</f>
        <v>42432</v>
      </c>
      <c r="G13" s="41"/>
      <c r="H13" s="55">
        <v>42460</v>
      </c>
      <c r="I13" s="62">
        <f>_xll.qlDayCounterYearFraction($I$2,_xll.qlSettingsEvaluationDate(Trigger),H13,,,Trigger)</f>
        <v>0.58082191780821912</v>
      </c>
      <c r="J13" s="56">
        <v>-1.3793205634570699E-3</v>
      </c>
      <c r="K13" s="56">
        <f>_xll.qlYieldTSZeroRate(YieldCurve1,H13,$I$2,,,TRUE,Trigger)</f>
        <v>-1.37932056345712E-3</v>
      </c>
      <c r="L13" s="57">
        <f t="shared" si="1"/>
        <v>5.0090140368830305E-17</v>
      </c>
      <c r="M13" s="63">
        <v>1.000801460613</v>
      </c>
      <c r="N13" s="63">
        <f>_xll.qlYieldTSDiscount(YieldCurve1,H13,TRUE,Trigger)</f>
        <v>1.0008014606129965</v>
      </c>
      <c r="O13" s="57">
        <f t="shared" si="2"/>
        <v>-3.5527136788005009E-15</v>
      </c>
      <c r="P13" s="65"/>
      <c r="Q13" s="55">
        <v>42432</v>
      </c>
      <c r="R13" s="62">
        <f>_xll.qlDayCounterYearFraction($R$2,_xll.qlSettingsEvaluationDate(Trigger),Q13,,,Trigger)</f>
        <v>0.50410958904109593</v>
      </c>
      <c r="S13" s="56">
        <v>-1.3681101900142999E-3</v>
      </c>
      <c r="T13" s="56">
        <f>_xll.qlYieldTSZeroRate(YieldCurve2,Q13,$R$2,,,TRUE,Trigger)</f>
        <v>-1.368110190013932E-3</v>
      </c>
      <c r="U13" s="57">
        <f t="shared" si="3"/>
        <v>-3.679782173415802E-16</v>
      </c>
      <c r="V13" s="63">
        <v>1.0006899153478399</v>
      </c>
      <c r="W13" s="63">
        <f>_xll.qlYieldTSDiscount(YieldCurve2,Q13,TRUE,Trigger)</f>
        <v>1.0006899153478384</v>
      </c>
      <c r="X13" s="57">
        <f t="shared" si="4"/>
        <v>0</v>
      </c>
      <c r="Y13" s="40"/>
    </row>
    <row r="14" spans="1:25" x14ac:dyDescent="0.2">
      <c r="A14" s="54" t="str">
        <v>EUR7MOIS</v>
      </c>
      <c r="B14" s="55">
        <v>42464</v>
      </c>
      <c r="C14" s="56">
        <v>-1.3625E-3</v>
      </c>
      <c r="D14" s="56">
        <f>Selected!F13</f>
        <v>-1.3625E-3</v>
      </c>
      <c r="E14" s="57">
        <f t="shared" si="0"/>
        <v>0</v>
      </c>
      <c r="F14" s="55">
        <f>Selected!J13</f>
        <v>42464</v>
      </c>
      <c r="G14" s="41"/>
      <c r="H14" s="55">
        <v>42491</v>
      </c>
      <c r="I14" s="62">
        <f>_xll.qlDayCounterYearFraction($I$2,_xll.qlSettingsEvaluationDate(Trigger),H14,,,Trigger)</f>
        <v>0.66575342465753429</v>
      </c>
      <c r="J14" s="56">
        <v>-1.3857947069159601E-3</v>
      </c>
      <c r="K14" s="56">
        <f>_xll.qlYieldTSZeroRate(YieldCurve1,H14,$I$2,,,TRUE,Trigger)</f>
        <v>-1.3857947069161767E-3</v>
      </c>
      <c r="L14" s="57">
        <f t="shared" si="1"/>
        <v>2.1662359406260379E-16</v>
      </c>
      <c r="M14" s="63">
        <v>1.00092302329606</v>
      </c>
      <c r="N14" s="63">
        <f>_xll.qlYieldTSDiscount(YieldCurve1,H14,TRUE,Trigger)</f>
        <v>1.0009230232960555</v>
      </c>
      <c r="O14" s="57">
        <f t="shared" si="2"/>
        <v>-4.4408920985006262E-15</v>
      </c>
      <c r="P14" s="65"/>
      <c r="Q14" s="55">
        <v>42464</v>
      </c>
      <c r="R14" s="62">
        <f>_xll.qlDayCounterYearFraction($R$2,_xll.qlSettingsEvaluationDate(Trigger),Q14,,,Trigger)</f>
        <v>0.59178082191780823</v>
      </c>
      <c r="S14" s="56">
        <v>-1.38092204537743E-3</v>
      </c>
      <c r="T14" s="56">
        <f>_xll.qlYieldTSZeroRate(YieldCurve2,Q14,$R$2,,,TRUE,Trigger)</f>
        <v>-1.3809220453768905E-3</v>
      </c>
      <c r="U14" s="57">
        <f t="shared" si="3"/>
        <v>-5.3949900102878701E-16</v>
      </c>
      <c r="V14" s="63">
        <v>1.00081753718452</v>
      </c>
      <c r="W14" s="63">
        <f>_xll.qlYieldTSDiscount(YieldCurve2,Q14,TRUE,Trigger)</f>
        <v>1.0008175371845149</v>
      </c>
      <c r="X14" s="57">
        <f t="shared" si="4"/>
        <v>5.1070259132757201E-15</v>
      </c>
      <c r="Y14" s="40"/>
    </row>
    <row r="15" spans="1:25" x14ac:dyDescent="0.2">
      <c r="A15" s="54" t="str">
        <v>EUR8MOIS</v>
      </c>
      <c r="B15" s="55">
        <v>42493</v>
      </c>
      <c r="C15" s="56">
        <v>-1.3675E-3</v>
      </c>
      <c r="D15" s="56">
        <f>Selected!F14</f>
        <v>-1.3675E-3</v>
      </c>
      <c r="E15" s="57">
        <f t="shared" si="0"/>
        <v>0</v>
      </c>
      <c r="F15" s="55">
        <f>Selected!J14</f>
        <v>42493</v>
      </c>
      <c r="G15" s="41"/>
      <c r="H15" s="55">
        <v>42521</v>
      </c>
      <c r="I15" s="62">
        <f>_xll.qlDayCounterYearFraction($I$2,_xll.qlSettingsEvaluationDate(Trigger),H15,,,Trigger)</f>
        <v>0.74794520547945209</v>
      </c>
      <c r="J15" s="56">
        <v>-1.3977042062978699E-3</v>
      </c>
      <c r="K15" s="56">
        <f>_xll.qlYieldTSZeroRate(YieldCurve1,H15,$I$2,,,TRUE,Trigger)</f>
        <v>-1.3977042062978918E-3</v>
      </c>
      <c r="L15" s="57">
        <f t="shared" si="1"/>
        <v>2.190088388420719E-17</v>
      </c>
      <c r="M15" s="63">
        <v>1.0010459527872599</v>
      </c>
      <c r="N15" s="63">
        <f>_xll.qlYieldTSDiscount(YieldCurve1,H15,TRUE,Trigger)</f>
        <v>1.0010459527872644</v>
      </c>
      <c r="O15" s="57">
        <f t="shared" si="2"/>
        <v>4.4408920985006262E-15</v>
      </c>
      <c r="P15" s="65"/>
      <c r="Q15" s="55">
        <v>42493</v>
      </c>
      <c r="R15" s="62">
        <f>_xll.qlDayCounterYearFraction($R$2,_xll.qlSettingsEvaluationDate(Trigger),Q15,,,Trigger)</f>
        <v>0.67123287671232879</v>
      </c>
      <c r="S15" s="56">
        <v>-1.3861556448076799E-3</v>
      </c>
      <c r="T15" s="56">
        <f>_xll.qlYieldTSZeroRate(YieldCurve2,Q15,$R$2,,,TRUE,Trigger)</f>
        <v>-1.3861556448075314E-3</v>
      </c>
      <c r="U15" s="57">
        <f t="shared" si="3"/>
        <v>-1.4853569763051411E-16</v>
      </c>
      <c r="V15" s="63">
        <v>1.0009308662283201</v>
      </c>
      <c r="W15" s="63">
        <f>_xll.qlYieldTSDiscount(YieldCurve2,Q15,TRUE,Trigger)</f>
        <v>1.0009308662283214</v>
      </c>
      <c r="X15" s="57">
        <f t="shared" si="4"/>
        <v>0</v>
      </c>
      <c r="Y15" s="40"/>
    </row>
    <row r="16" spans="1:25" x14ac:dyDescent="0.2">
      <c r="A16" s="54" t="str">
        <v>EUR9MOIS</v>
      </c>
      <c r="B16" s="55">
        <v>42524</v>
      </c>
      <c r="C16" s="56">
        <v>-1.3799999999999999E-3</v>
      </c>
      <c r="D16" s="56">
        <f>Selected!F15</f>
        <v>-1.3799999999999999E-3</v>
      </c>
      <c r="E16" s="57">
        <f t="shared" si="0"/>
        <v>0</v>
      </c>
      <c r="F16" s="55">
        <f>Selected!J15</f>
        <v>42524</v>
      </c>
      <c r="G16" s="41"/>
      <c r="H16" s="55">
        <v>42552</v>
      </c>
      <c r="I16" s="62">
        <f>_xll.qlDayCounterYearFraction($I$2,_xll.qlSettingsEvaluationDate(Trigger),H16,,,Trigger)</f>
        <v>0.83287671232876714</v>
      </c>
      <c r="J16" s="56">
        <v>-1.40593540189844E-3</v>
      </c>
      <c r="K16" s="56">
        <f>_xll.qlYieldTSZeroRate(YieldCurve1,H16,$I$2,,,TRUE,Trigger)</f>
        <v>-1.4059354018985581E-3</v>
      </c>
      <c r="L16" s="57">
        <f t="shared" si="1"/>
        <v>1.1817803680091998E-16</v>
      </c>
      <c r="M16" s="63">
        <v>1.0011716567093301</v>
      </c>
      <c r="N16" s="63">
        <f>_xll.qlYieldTSDiscount(YieldCurve1,H16,TRUE,Trigger)</f>
        <v>1.0011716567093307</v>
      </c>
      <c r="O16" s="57">
        <f t="shared" si="2"/>
        <v>0</v>
      </c>
      <c r="P16" s="65"/>
      <c r="Q16" s="55">
        <v>42524</v>
      </c>
      <c r="R16" s="62">
        <f>_xll.qlDayCounterYearFraction($R$2,_xll.qlSettingsEvaluationDate(Trigger),Q16,,,Trigger)</f>
        <v>0.75616438356164384</v>
      </c>
      <c r="S16" s="56">
        <v>-1.39894155217211E-3</v>
      </c>
      <c r="T16" s="56">
        <f>_xll.qlYieldTSZeroRate(YieldCurve2,Q16,$R$2,,,TRUE,Trigger)</f>
        <v>-1.398941552171744E-3</v>
      </c>
      <c r="U16" s="57">
        <f t="shared" si="3"/>
        <v>-3.660266534311063E-16</v>
      </c>
      <c r="V16" s="63">
        <v>1.0010583894756899</v>
      </c>
      <c r="W16" s="63">
        <f>_xll.qlYieldTSDiscount(YieldCurve2,Q16,TRUE,Trigger)</f>
        <v>1.0010583894756928</v>
      </c>
      <c r="X16" s="57">
        <f t="shared" si="4"/>
        <v>-2.886579864025407E-15</v>
      </c>
      <c r="Y16" s="40"/>
    </row>
    <row r="17" spans="1:25" x14ac:dyDescent="0.2">
      <c r="A17" s="54" t="str">
        <v>EUR10MOIS</v>
      </c>
      <c r="B17" s="55">
        <v>42555</v>
      </c>
      <c r="C17" s="56">
        <v>-1.3875000000000001E-3</v>
      </c>
      <c r="D17" s="56">
        <f>Selected!F16</f>
        <v>-1.3875000000000001E-3</v>
      </c>
      <c r="E17" s="57">
        <f t="shared" si="0"/>
        <v>0</v>
      </c>
      <c r="F17" s="55">
        <f>Selected!J16</f>
        <v>42555</v>
      </c>
      <c r="G17" s="41"/>
      <c r="H17" s="55">
        <v>42582</v>
      </c>
      <c r="I17" s="62">
        <f>_xll.qlDayCounterYearFraction($I$2,_xll.qlSettingsEvaluationDate(Trigger),H17,,,Trigger)</f>
        <v>0.91506849315068495</v>
      </c>
      <c r="J17" s="56">
        <v>-1.4514878229549999E-3</v>
      </c>
      <c r="K17" s="56">
        <f>_xll.qlYieldTSZeroRate(YieldCurve1,H17,$I$2,,,TRUE,Trigger)</f>
        <v>-1.4514878547455077E-3</v>
      </c>
      <c r="L17" s="57">
        <f t="shared" si="1"/>
        <v>3.1790507726281447E-11</v>
      </c>
      <c r="M17" s="63">
        <v>1.00132909323756</v>
      </c>
      <c r="N17" s="63">
        <f>_xll.qlYieldTSDiscount(YieldCurve1,H17,TRUE,Trigger)</f>
        <v>1.0013290932666941</v>
      </c>
      <c r="O17" s="57">
        <f t="shared" si="2"/>
        <v>2.9134028523003508E-11</v>
      </c>
      <c r="P17" s="65"/>
      <c r="Q17" s="55">
        <v>42555</v>
      </c>
      <c r="R17" s="62">
        <f>_xll.qlDayCounterYearFraction($R$2,_xll.qlSettingsEvaluationDate(Trigger),Q17,,,Trigger)</f>
        <v>0.84109589041095889</v>
      </c>
      <c r="S17" s="56">
        <v>-1.40668474294056E-3</v>
      </c>
      <c r="T17" s="56">
        <f>_xll.qlYieldTSZeroRate(YieldCurve2,Q17,$R$2,,,TRUE,Trigger)</f>
        <v>-1.4066847429401142E-3</v>
      </c>
      <c r="U17" s="57">
        <f t="shared" si="3"/>
        <v>-4.4582393332603942E-16</v>
      </c>
      <c r="V17" s="63">
        <v>1.00118385696247</v>
      </c>
      <c r="W17" s="63">
        <f>_xll.qlYieldTSDiscount(YieldCurve2,Q17,TRUE,Trigger)</f>
        <v>1.0011838569624698</v>
      </c>
      <c r="X17" s="57">
        <f t="shared" si="4"/>
        <v>0</v>
      </c>
      <c r="Y17" s="40"/>
    </row>
    <row r="18" spans="1:25" x14ac:dyDescent="0.2">
      <c r="A18" s="54" t="str">
        <v>EUR11MOIS</v>
      </c>
      <c r="B18" s="55">
        <v>42585</v>
      </c>
      <c r="C18" s="56">
        <v>-1.4366667000000001E-3</v>
      </c>
      <c r="D18" s="56">
        <f>Selected!F17</f>
        <v>-1.4366667000000001E-3</v>
      </c>
      <c r="E18" s="57">
        <f t="shared" si="0"/>
        <v>0</v>
      </c>
      <c r="F18" s="55">
        <f>Selected!J17</f>
        <v>42585</v>
      </c>
      <c r="G18" s="41"/>
      <c r="H18" s="55">
        <v>42613</v>
      </c>
      <c r="I18" s="62">
        <f>_xll.qlDayCounterYearFraction($I$2,_xll.qlSettingsEvaluationDate(Trigger),H18,,,Trigger)</f>
        <v>1</v>
      </c>
      <c r="J18" s="56">
        <v>-1.45663247652398E-3</v>
      </c>
      <c r="K18" s="56">
        <f>_xll.qlYieldTSZeroRate(YieldCurve1,H18,$I$2,,,TRUE,Trigger)</f>
        <v>-1.4566325075855099E-3</v>
      </c>
      <c r="L18" s="57">
        <f t="shared" si="1"/>
        <v>3.1061529867301707E-11</v>
      </c>
      <c r="M18" s="63">
        <v>1.0014576938809101</v>
      </c>
      <c r="N18" s="63">
        <f>_xll.qlYieldTSDiscount(YieldCurve1,H18,TRUE,Trigger)</f>
        <v>1.0014576939120128</v>
      </c>
      <c r="O18" s="57">
        <f t="shared" si="2"/>
        <v>3.1102675990268835E-11</v>
      </c>
      <c r="P18" s="65"/>
      <c r="Q18" s="55">
        <v>42585</v>
      </c>
      <c r="R18" s="62">
        <f>_xll.qlDayCounterYearFraction($R$2,_xll.qlSettingsEvaluationDate(Trigger),Q18,,,Trigger)</f>
        <v>0.92328767123287669</v>
      </c>
      <c r="S18" s="56">
        <v>-1.4564659429565901E-3</v>
      </c>
      <c r="T18" s="56">
        <f>_xll.qlYieldTSZeroRate(YieldCurve2,Q18,$R$2,,,TRUE,Trigger)</f>
        <v>-1.4564659782794317E-3</v>
      </c>
      <c r="U18" s="57">
        <f t="shared" si="3"/>
        <v>3.5322841656845738E-11</v>
      </c>
      <c r="V18" s="63">
        <v>1.00134564161299</v>
      </c>
      <c r="W18" s="63">
        <f>_xll.qlYieldTSDiscount(YieldCurve2,Q18,TRUE,Trigger)</f>
        <v>1.0013456416456461</v>
      </c>
      <c r="X18" s="57">
        <f t="shared" si="4"/>
        <v>-3.2656100046324354E-11</v>
      </c>
      <c r="Y18" s="40"/>
    </row>
    <row r="19" spans="1:25" x14ac:dyDescent="0.2">
      <c r="A19" s="54" t="str">
        <v>EUR1YOIS</v>
      </c>
      <c r="B19" s="55">
        <v>42618</v>
      </c>
      <c r="C19" s="56">
        <v>-1.4366667000000001E-3</v>
      </c>
      <c r="D19" s="56">
        <f>Selected!F18</f>
        <v>-1.4366667000000001E-3</v>
      </c>
      <c r="E19" s="57">
        <f t="shared" si="0"/>
        <v>0</v>
      </c>
      <c r="F19" s="55">
        <f>Selected!J18</f>
        <v>42618</v>
      </c>
      <c r="G19" s="41"/>
      <c r="H19" s="55">
        <v>42704</v>
      </c>
      <c r="I19" s="62">
        <f>_xll.qlDayCounterYearFraction($I$2,_xll.qlSettingsEvaluationDate(Trigger),H19,,,Trigger)</f>
        <v>1.2493150684931507</v>
      </c>
      <c r="J19" s="56">
        <v>-1.4598786963751799E-3</v>
      </c>
      <c r="K19" s="56">
        <f>_xll.qlYieldTSZeroRate(YieldCurve1,H19,$I$2,,,TRUE,Trigger)</f>
        <v>-1.4598786980400986E-3</v>
      </c>
      <c r="L19" s="57">
        <f t="shared" si="1"/>
        <v>1.6649186369843694E-12</v>
      </c>
      <c r="M19" s="63">
        <v>1.0018255126767499</v>
      </c>
      <c r="N19" s="63">
        <f>_xll.qlYieldTSDiscount(YieldCurve1,H19,TRUE,Trigger)</f>
        <v>1.001825512678838</v>
      </c>
      <c r="O19" s="57">
        <f t="shared" si="2"/>
        <v>2.0881074647149944E-12</v>
      </c>
      <c r="P19" s="65"/>
      <c r="Q19" s="55">
        <v>42618</v>
      </c>
      <c r="R19" s="62">
        <f>_xll.qlDayCounterYearFraction($R$2,_xll.qlSettingsEvaluationDate(Trigger),Q19,,,Trigger)</f>
        <v>1.0136986301369864</v>
      </c>
      <c r="S19" s="56">
        <v>-1.45666221466099E-3</v>
      </c>
      <c r="T19" s="56">
        <f>_xll.qlYieldTSZeroRate(YieldCurve2,Q19,$R$2,,,TRUE,Trigger)</f>
        <v>-1.4566622449614125E-3</v>
      </c>
      <c r="U19" s="57">
        <f t="shared" si="3"/>
        <v>3.0300422544302097E-11</v>
      </c>
      <c r="V19" s="63">
        <v>1.00147770722651</v>
      </c>
      <c r="W19" s="63">
        <f>_xll.qlYieldTSDiscount(YieldCurve2,Q19,TRUE,Trigger)</f>
        <v>1.0014777072572663</v>
      </c>
      <c r="X19" s="57">
        <f t="shared" si="4"/>
        <v>-3.0756286406585787E-11</v>
      </c>
      <c r="Y19" s="40"/>
    </row>
    <row r="20" spans="1:25" x14ac:dyDescent="0.2">
      <c r="A20" s="54" t="str">
        <v>EUR15MOIS</v>
      </c>
      <c r="B20" s="55">
        <v>42709</v>
      </c>
      <c r="C20" s="56">
        <v>-1.4400000000000001E-3</v>
      </c>
      <c r="D20" s="56">
        <f>Selected!F19</f>
        <v>-1.4400000000000001E-3</v>
      </c>
      <c r="E20" s="57">
        <f t="shared" si="0"/>
        <v>0</v>
      </c>
      <c r="F20" s="55">
        <f>Selected!J19</f>
        <v>42709</v>
      </c>
      <c r="G20" s="41"/>
      <c r="H20" s="55">
        <v>42795</v>
      </c>
      <c r="I20" s="62">
        <f>_xll.qlDayCounterYearFraction($I$2,_xll.qlSettingsEvaluationDate(Trigger),H20,,,Trigger)</f>
        <v>1.4986301369863013</v>
      </c>
      <c r="J20" s="56">
        <v>-1.4239264547882E-3</v>
      </c>
      <c r="K20" s="56">
        <f>_xll.qlYieldTSZeroRate(YieldCurve1,H20,$I$2,,,TRUE,Trigger)</f>
        <v>-1.4239264251431835E-3</v>
      </c>
      <c r="L20" s="57">
        <f t="shared" si="1"/>
        <v>-2.9645016476342878E-11</v>
      </c>
      <c r="M20" s="63">
        <v>1.0021362175664501</v>
      </c>
      <c r="N20" s="63">
        <f>_xll.qlYieldTSDiscount(YieldCurve1,H20,TRUE,Trigger)</f>
        <v>1.0021362175219288</v>
      </c>
      <c r="O20" s="57">
        <f t="shared" si="2"/>
        <v>-4.4521275555098327E-11</v>
      </c>
      <c r="P20" s="65"/>
      <c r="Q20" s="55">
        <v>42709</v>
      </c>
      <c r="R20" s="62">
        <f>_xll.qlDayCounterYearFraction($R$2,_xll.qlSettingsEvaluationDate(Trigger),Q20,,,Trigger)</f>
        <v>1.263013698630137</v>
      </c>
      <c r="S20" s="56">
        <v>-1.4600657011261801E-3</v>
      </c>
      <c r="T20" s="56">
        <f>_xll.qlYieldTSZeroRate(YieldCurve2,Q20,$R$2,,,TRUE,Trigger)</f>
        <v>-1.4600657011259565E-3</v>
      </c>
      <c r="U20" s="57">
        <f t="shared" si="3"/>
        <v>-2.2356248796651101E-16</v>
      </c>
      <c r="V20" s="63">
        <v>1.0018457843480999</v>
      </c>
      <c r="W20" s="63">
        <f>_xll.qlYieldTSDiscount(YieldCurve2,Q20,TRUE,Trigger)</f>
        <v>1.001845784348103</v>
      </c>
      <c r="X20" s="57">
        <f t="shared" si="4"/>
        <v>-3.1086244689504383E-15</v>
      </c>
      <c r="Y20" s="40"/>
    </row>
    <row r="21" spans="1:25" x14ac:dyDescent="0.2">
      <c r="A21" s="54" t="str">
        <v>EUR18MOIS</v>
      </c>
      <c r="B21" s="55">
        <v>42797</v>
      </c>
      <c r="C21" s="56">
        <v>-1.4033333E-3</v>
      </c>
      <c r="D21" s="56">
        <f>Selected!F20</f>
        <v>-1.4033333E-3</v>
      </c>
      <c r="E21" s="57">
        <f t="shared" si="0"/>
        <v>0</v>
      </c>
      <c r="F21" s="55">
        <f>Selected!J20</f>
        <v>42797</v>
      </c>
      <c r="G21" s="41"/>
      <c r="H21" s="55">
        <v>42886</v>
      </c>
      <c r="I21" s="62">
        <f>_xll.qlDayCounterYearFraction($I$2,_xll.qlSettingsEvaluationDate(Trigger),H21,,,Trigger)</f>
        <v>1.747945205479452</v>
      </c>
      <c r="J21" s="56">
        <v>-1.33383832949195E-3</v>
      </c>
      <c r="K21" s="56">
        <f>_xll.qlYieldTSZeroRate(YieldCurve1,H21,$I$2,,,TRUE,Trigger)</f>
        <v>-1.3338383278786734E-3</v>
      </c>
      <c r="L21" s="57">
        <f t="shared" si="1"/>
        <v>-1.6132765696258433E-12</v>
      </c>
      <c r="M21" s="63">
        <v>1.00233419631728</v>
      </c>
      <c r="N21" s="63">
        <f>_xll.qlYieldTSDiscount(YieldCurve1,H21,TRUE,Trigger)</f>
        <v>1.002334196314457</v>
      </c>
      <c r="O21" s="57">
        <f t="shared" si="2"/>
        <v>-2.8230751070168481E-12</v>
      </c>
      <c r="P21" s="65"/>
      <c r="Q21" s="55">
        <v>42797</v>
      </c>
      <c r="R21" s="62">
        <f>_xll.qlDayCounterYearFraction($R$2,_xll.qlSettingsEvaluationDate(Trigger),Q21,,,Trigger)</f>
        <v>1.5041095890410958</v>
      </c>
      <c r="S21" s="56">
        <v>-1.4230860071990201E-3</v>
      </c>
      <c r="T21" s="56">
        <f>_xll.qlYieldTSZeroRate(YieldCurve2,Q21,$R$2,,,TRUE,Trigger)</f>
        <v>-1.4230859768644749E-3</v>
      </c>
      <c r="U21" s="57">
        <f t="shared" si="3"/>
        <v>-3.0334545205595864E-11</v>
      </c>
      <c r="V21" s="63">
        <v>1.0021427697663701</v>
      </c>
      <c r="W21" s="63">
        <f>_xll.qlYieldTSDiscount(YieldCurve2,Q21,TRUE,Trigger)</f>
        <v>1.0021427697206491</v>
      </c>
      <c r="X21" s="57">
        <f t="shared" si="4"/>
        <v>4.5720982555508272E-11</v>
      </c>
      <c r="Y21" s="40"/>
    </row>
    <row r="22" spans="1:25" x14ac:dyDescent="0.2">
      <c r="A22" s="54" t="str">
        <v>EUR21MOIS</v>
      </c>
      <c r="B22" s="55">
        <v>42891</v>
      </c>
      <c r="C22" s="56">
        <v>-1.31E-3</v>
      </c>
      <c r="D22" s="56">
        <f>Selected!F21</f>
        <v>-1.31E-3</v>
      </c>
      <c r="E22" s="57">
        <f t="shared" si="0"/>
        <v>0</v>
      </c>
      <c r="F22" s="55">
        <f>Selected!J21</f>
        <v>42891</v>
      </c>
      <c r="G22" s="41"/>
      <c r="H22" s="55">
        <v>42978</v>
      </c>
      <c r="I22" s="62">
        <f>_xll.qlDayCounterYearFraction($I$2,_xll.qlSettingsEvaluationDate(Trigger),H22,,,Trigger)</f>
        <v>2</v>
      </c>
      <c r="J22" s="56">
        <v>-1.1983936743259699E-3</v>
      </c>
      <c r="K22" s="56">
        <f>_xll.qlYieldTSZeroRate(YieldCurve1,H22,$I$2,,,TRUE,Trigger)</f>
        <v>-1.1983936743435275E-3</v>
      </c>
      <c r="L22" s="57">
        <f t="shared" si="1"/>
        <v>1.7557569981230259E-14</v>
      </c>
      <c r="M22" s="63">
        <v>1.0023996619395801</v>
      </c>
      <c r="N22" s="63">
        <f>_xll.qlYieldTSDiscount(YieldCurve1,H22,TRUE,Trigger)</f>
        <v>1.00239966193962</v>
      </c>
      <c r="O22" s="57">
        <f t="shared" si="2"/>
        <v>3.9968028886505635E-14</v>
      </c>
      <c r="P22" s="65"/>
      <c r="Q22" s="55">
        <v>42891</v>
      </c>
      <c r="R22" s="62">
        <f>_xll.qlDayCounterYearFraction($R$2,_xll.qlSettingsEvaluationDate(Trigger),Q22,,,Trigger)</f>
        <v>1.7616438356164383</v>
      </c>
      <c r="S22" s="56">
        <v>-1.3288244150140799E-3</v>
      </c>
      <c r="T22" s="56">
        <f>_xll.qlYieldTSZeroRate(YieldCurve2,Q22,$R$2,,,TRUE,Trigger)</f>
        <v>-1.3288244150160057E-3</v>
      </c>
      <c r="U22" s="57">
        <f t="shared" si="3"/>
        <v>1.925759898768753E-15</v>
      </c>
      <c r="V22" s="63">
        <v>1.0023436574208799</v>
      </c>
      <c r="W22" s="63">
        <f>_xll.qlYieldTSDiscount(YieldCurve2,Q22,TRUE,Trigger)</f>
        <v>1.0023436574208853</v>
      </c>
      <c r="X22" s="57">
        <f t="shared" si="4"/>
        <v>-5.3290705182007514E-15</v>
      </c>
      <c r="Y22" s="40"/>
    </row>
    <row r="23" spans="1:25" x14ac:dyDescent="0.2">
      <c r="A23" s="54" t="str">
        <v>EUR2YOIS</v>
      </c>
      <c r="B23" s="55">
        <v>42982</v>
      </c>
      <c r="C23" s="56">
        <v>-1.175E-3</v>
      </c>
      <c r="D23" s="56">
        <f>Selected!F22</f>
        <v>-1.175E-3</v>
      </c>
      <c r="E23" s="57">
        <f t="shared" si="0"/>
        <v>0</v>
      </c>
      <c r="F23" s="55">
        <f>Selected!J22</f>
        <v>42982</v>
      </c>
      <c r="G23" s="41"/>
      <c r="H23" s="55">
        <v>43343</v>
      </c>
      <c r="I23" s="62">
        <f>_xll.qlDayCounterYearFraction($I$2,_xll.qlSettingsEvaluationDate(Trigger),H23,,,Trigger)</f>
        <v>3</v>
      </c>
      <c r="J23" s="56">
        <v>-4.9640468401174003E-4</v>
      </c>
      <c r="K23" s="56">
        <f>_xll.qlYieldTSZeroRate(YieldCurve1,H23,$I$2,,,TRUE,Trigger)</f>
        <v>-4.9640468401733863E-4</v>
      </c>
      <c r="L23" s="57">
        <f t="shared" si="1"/>
        <v>5.5986031782806478E-15</v>
      </c>
      <c r="M23" s="63">
        <v>1.0014903234819399</v>
      </c>
      <c r="N23" s="63">
        <f>_xll.qlYieldTSDiscount(YieldCurve1,H23,TRUE,Trigger)</f>
        <v>1.0014903234819563</v>
      </c>
      <c r="O23" s="57">
        <f t="shared" si="2"/>
        <v>1.6431300764452317E-14</v>
      </c>
      <c r="P23" s="65"/>
      <c r="Q23" s="55">
        <v>42982</v>
      </c>
      <c r="R23" s="62">
        <f>_xll.qlDayCounterYearFraction($R$2,_xll.qlSettingsEvaluationDate(Trigger),Q23,,,Trigger)</f>
        <v>2.010958904109589</v>
      </c>
      <c r="S23" s="56">
        <v>-1.1923968586620801E-3</v>
      </c>
      <c r="T23" s="56">
        <f>_xll.qlYieldTSZeroRate(YieldCurve2,Q23,$R$2,,,TRUE,Trigger)</f>
        <v>-1.1923968586836776E-3</v>
      </c>
      <c r="U23" s="57">
        <f t="shared" si="3"/>
        <v>2.1597524116345745E-14</v>
      </c>
      <c r="V23" s="63">
        <v>1.00240073824826</v>
      </c>
      <c r="W23" s="63">
        <f>_xll.qlYieldTSDiscount(YieldCurve2,Q23,TRUE,Trigger)</f>
        <v>1.0024007382483058</v>
      </c>
      <c r="X23" s="57">
        <f t="shared" si="4"/>
        <v>-4.5741188614556449E-14</v>
      </c>
      <c r="Y23" s="40"/>
    </row>
    <row r="24" spans="1:25" x14ac:dyDescent="0.2">
      <c r="A24" s="54" t="str">
        <v>EUR1EON3E3Y</v>
      </c>
      <c r="B24" s="55">
        <v>43346</v>
      </c>
      <c r="C24" s="56">
        <v>-4.8200000000000001E-4</v>
      </c>
      <c r="D24" s="56">
        <f>Selected!F23</f>
        <v>-4.8200000000000001E-4</v>
      </c>
      <c r="E24" s="57">
        <f t="shared" si="0"/>
        <v>0</v>
      </c>
      <c r="F24" s="55">
        <f>Selected!J23</f>
        <v>43346</v>
      </c>
      <c r="G24" s="41"/>
      <c r="H24" s="55">
        <v>43708</v>
      </c>
      <c r="I24" s="62">
        <f>_xll.qlDayCounterYearFraction($I$2,_xll.qlSettingsEvaluationDate(Trigger),H24,,,Trigger)</f>
        <v>4</v>
      </c>
      <c r="J24" s="56">
        <v>6.8124560405300003E-4</v>
      </c>
      <c r="K24" s="56">
        <f>_xll.qlYieldTSZeroRate(YieldCurve1,H24,$I$2,,,TRUE,Trigger)</f>
        <v>6.8124560405803084E-4</v>
      </c>
      <c r="L24" s="57">
        <f t="shared" si="1"/>
        <v>-5.0308065005499891E-15</v>
      </c>
      <c r="M24" s="63">
        <v>0.99727872697826203</v>
      </c>
      <c r="N24" s="63">
        <f>_xll.qlYieldTSDiscount(YieldCurve1,H24,TRUE,Trigger)</f>
        <v>0.99727872697824227</v>
      </c>
      <c r="O24" s="57">
        <f t="shared" si="2"/>
        <v>-1.9761969838327786E-14</v>
      </c>
      <c r="P24" s="65"/>
      <c r="Q24" s="55">
        <v>43346</v>
      </c>
      <c r="R24" s="62">
        <f>_xll.qlDayCounterYearFraction($R$2,_xll.qlSettingsEvaluationDate(Trigger),Q24,,,Trigger)</f>
        <v>3.0082191780821916</v>
      </c>
      <c r="S24" s="56">
        <v>-4.9062081552430996E-4</v>
      </c>
      <c r="T24" s="56">
        <f>_xll.qlYieldTSZeroRate(YieldCurve2,Q24,$R$2,,,TRUE,Trigger)</f>
        <v>-4.9062081552824898E-4</v>
      </c>
      <c r="U24" s="57">
        <f t="shared" si="3"/>
        <v>3.9390149128570862E-15</v>
      </c>
      <c r="V24" s="63">
        <v>1.0014769846153899</v>
      </c>
      <c r="W24" s="63">
        <f>_xll.qlYieldTSDiscount(YieldCurve2,Q24,TRUE,Trigger)</f>
        <v>1.0014769846153979</v>
      </c>
      <c r="X24" s="57">
        <f t="shared" si="4"/>
        <v>-7.9936057773011271E-15</v>
      </c>
      <c r="Y24" s="40"/>
    </row>
    <row r="25" spans="1:25" x14ac:dyDescent="0.2">
      <c r="A25" s="54" t="str">
        <v>EUR1EON3E4Y</v>
      </c>
      <c r="B25" s="55">
        <v>43711</v>
      </c>
      <c r="C25" s="56">
        <v>6.8274999999999998E-4</v>
      </c>
      <c r="D25" s="56">
        <f>Selected!F24</f>
        <v>6.8274999999999998E-4</v>
      </c>
      <c r="E25" s="57">
        <f t="shared" si="0"/>
        <v>0</v>
      </c>
      <c r="F25" s="55">
        <f>Selected!J24</f>
        <v>43711</v>
      </c>
      <c r="G25" s="41"/>
      <c r="H25" s="55">
        <v>44073</v>
      </c>
      <c r="I25" s="62">
        <f>_xll.qlDayCounterYearFraction($I$2,_xll.qlSettingsEvaluationDate(Trigger),H25,,,Trigger)</f>
        <v>5</v>
      </c>
      <c r="J25" s="56">
        <v>2.0601312340945699E-3</v>
      </c>
      <c r="K25" s="56">
        <f>_xll.qlYieldTSZeroRate(YieldCurve1,H25,$I$2,,,TRUE,Trigger)</f>
        <v>2.0601312341073891E-3</v>
      </c>
      <c r="L25" s="57">
        <f t="shared" si="1"/>
        <v>-1.281917280659961E-14</v>
      </c>
      <c r="M25" s="63">
        <v>0.98975221390043999</v>
      </c>
      <c r="N25" s="63">
        <f>_xll.qlYieldTSDiscount(YieldCurve1,H25,TRUE,Trigger)</f>
        <v>0.98975221390037627</v>
      </c>
      <c r="O25" s="57">
        <f t="shared" si="2"/>
        <v>-6.3726801613483985E-14</v>
      </c>
      <c r="P25" s="65"/>
      <c r="Q25" s="55">
        <v>43711</v>
      </c>
      <c r="R25" s="62">
        <f>_xll.qlDayCounterYearFraction($R$2,_xll.qlSettingsEvaluationDate(Trigger),Q25,,,Trigger)</f>
        <v>4.0082191780821921</v>
      </c>
      <c r="S25" s="56">
        <v>6.9095720421521003E-4</v>
      </c>
      <c r="T25" s="56">
        <f>_xll.qlYieldTSZeroRate(YieldCurve2,Q25,$R$2,,,TRUE,Trigger)</f>
        <v>6.9095720422003223E-4</v>
      </c>
      <c r="U25" s="57">
        <f t="shared" si="3"/>
        <v>-4.8222060025637781E-15</v>
      </c>
      <c r="V25" s="63">
        <v>0.99723432363189701</v>
      </c>
      <c r="W25" s="63">
        <f>_xll.qlYieldTSDiscount(YieldCurve2,Q25,TRUE,Trigger)</f>
        <v>0.99723432363187814</v>
      </c>
      <c r="X25" s="57">
        <f t="shared" si="4"/>
        <v>1.8873791418627661E-14</v>
      </c>
      <c r="Y25" s="40"/>
    </row>
    <row r="26" spans="1:25" x14ac:dyDescent="0.2">
      <c r="A26" s="54" t="str">
        <v>EUR1EON3E5Y</v>
      </c>
      <c r="B26" s="55">
        <v>44077</v>
      </c>
      <c r="C26" s="56">
        <v>2.0430000000000001E-3</v>
      </c>
      <c r="D26" s="56">
        <f>Selected!F25</f>
        <v>2.0430000000000001E-3</v>
      </c>
      <c r="E26" s="57">
        <f t="shared" si="0"/>
        <v>0</v>
      </c>
      <c r="F26" s="55">
        <f>Selected!J25</f>
        <v>44077</v>
      </c>
      <c r="G26" s="41"/>
      <c r="H26" s="55">
        <v>44438</v>
      </c>
      <c r="I26" s="62">
        <f>_xll.qlDayCounterYearFraction($I$2,_xll.qlSettingsEvaluationDate(Trigger),H26,,,Trigger)</f>
        <v>6</v>
      </c>
      <c r="J26" s="56">
        <v>3.5558667453576402E-3</v>
      </c>
      <c r="K26" s="56">
        <f>_xll.qlYieldTSZeroRate(YieldCurve1,H26,$I$2,,,TRUE,Trigger)</f>
        <v>3.555866745376043E-3</v>
      </c>
      <c r="L26" s="57">
        <f t="shared" si="1"/>
        <v>-1.8402813994899958E-14</v>
      </c>
      <c r="M26" s="63">
        <v>0.97889078491626202</v>
      </c>
      <c r="N26" s="63">
        <f>_xll.qlYieldTSDiscount(YieldCurve1,H26,TRUE,Trigger)</f>
        <v>0.97889078491615378</v>
      </c>
      <c r="O26" s="57">
        <f t="shared" si="2"/>
        <v>-1.0824674490095276E-13</v>
      </c>
      <c r="P26" s="65"/>
      <c r="Q26" s="55">
        <v>44077</v>
      </c>
      <c r="R26" s="62">
        <f>_xll.qlDayCounterYearFraction($R$2,_xll.qlSettingsEvaluationDate(Trigger),Q26,,,Trigger)</f>
        <v>5.0109589041095894</v>
      </c>
      <c r="S26" s="56">
        <v>2.0752602288998602E-3</v>
      </c>
      <c r="T26" s="56">
        <f>_xll.qlYieldTSZeroRate(YieldCurve2,Q26,$R$2,,,TRUE,Trigger)</f>
        <v>2.075260228912741E-3</v>
      </c>
      <c r="U26" s="57">
        <f t="shared" si="3"/>
        <v>-1.2880755489996787E-14</v>
      </c>
      <c r="V26" s="63">
        <v>0.98965483939344701</v>
      </c>
      <c r="W26" s="63">
        <f>_xll.qlYieldTSDiscount(YieldCurve2,Q26,TRUE,Trigger)</f>
        <v>0.98965483939338306</v>
      </c>
      <c r="X26" s="57">
        <f t="shared" si="4"/>
        <v>6.3948846218409017E-14</v>
      </c>
      <c r="Y26" s="40"/>
    </row>
    <row r="27" spans="1:25" x14ac:dyDescent="0.2">
      <c r="A27" s="54" t="str">
        <v>EUR1EON3E6Y</v>
      </c>
      <c r="B27" s="55">
        <v>44442</v>
      </c>
      <c r="C27" s="56">
        <v>3.5070499999999998E-3</v>
      </c>
      <c r="D27" s="56">
        <f>Selected!F26</f>
        <v>3.5070499999999998E-3</v>
      </c>
      <c r="E27" s="57">
        <f t="shared" si="0"/>
        <v>0</v>
      </c>
      <c r="F27" s="55">
        <f>Selected!J26</f>
        <v>44442</v>
      </c>
      <c r="G27" s="41"/>
      <c r="H27" s="55">
        <v>44803</v>
      </c>
      <c r="I27" s="62">
        <f>_xll.qlDayCounterYearFraction($I$2,_xll.qlSettingsEvaluationDate(Trigger),H27,,,Trigger)</f>
        <v>7</v>
      </c>
      <c r="J27" s="56">
        <v>5.0732183829549603E-3</v>
      </c>
      <c r="K27" s="56">
        <f>_xll.qlYieldTSZeroRate(YieldCurve1,H27,$I$2,,,TRUE,Trigger)</f>
        <v>5.0732183827647314E-3</v>
      </c>
      <c r="L27" s="57">
        <f t="shared" si="1"/>
        <v>1.9022890901387868E-13</v>
      </c>
      <c r="M27" s="63">
        <v>0.96511064259118795</v>
      </c>
      <c r="N27" s="63">
        <f>_xll.qlYieldTSDiscount(YieldCurve1,H27,TRUE,Trigger)</f>
        <v>0.96511064259247314</v>
      </c>
      <c r="O27" s="57">
        <f t="shared" si="2"/>
        <v>1.2851941733060812E-12</v>
      </c>
      <c r="P27" s="65"/>
      <c r="Q27" s="55">
        <v>44442</v>
      </c>
      <c r="R27" s="62">
        <f>_xll.qlDayCounterYearFraction($R$2,_xll.qlSettingsEvaluationDate(Trigger),Q27,,,Trigger)</f>
        <v>6.0109589041095894</v>
      </c>
      <c r="S27" s="56">
        <v>3.57227235772835E-3</v>
      </c>
      <c r="T27" s="56">
        <f>_xll.qlYieldTSZeroRate(YieldCurve2,Q27,$R$2,,,TRUE,Trigger)</f>
        <v>3.5722723577469892E-3</v>
      </c>
      <c r="U27" s="57">
        <f t="shared" si="3"/>
        <v>-1.8639170068501798E-14</v>
      </c>
      <c r="V27" s="63">
        <v>0.97875611656115802</v>
      </c>
      <c r="W27" s="63">
        <f>_xll.qlYieldTSDiscount(YieldCurve2,Q27,TRUE,Trigger)</f>
        <v>0.97875611656104866</v>
      </c>
      <c r="X27" s="57">
        <f t="shared" si="4"/>
        <v>1.0935696792557792E-13</v>
      </c>
      <c r="Y27" s="40"/>
    </row>
    <row r="28" spans="1:25" x14ac:dyDescent="0.2">
      <c r="A28" s="54" t="str">
        <v>EUR1EON3E7Y</v>
      </c>
      <c r="B28" s="55">
        <v>44809</v>
      </c>
      <c r="C28" s="56">
        <v>4.9900999999999999E-3</v>
      </c>
      <c r="D28" s="56">
        <f>Selected!F27</f>
        <v>4.9900999999999999E-3</v>
      </c>
      <c r="E28" s="57">
        <f t="shared" si="0"/>
        <v>0</v>
      </c>
      <c r="F28" s="55">
        <f>Selected!J27</f>
        <v>44809</v>
      </c>
      <c r="G28" s="41"/>
      <c r="H28" s="55">
        <v>45168</v>
      </c>
      <c r="I28" s="62">
        <f>_xll.qlDayCounterYearFraction($I$2,_xll.qlSettingsEvaluationDate(Trigger),H28,,,Trigger)</f>
        <v>8</v>
      </c>
      <c r="J28" s="56">
        <v>6.5390081618053198E-3</v>
      </c>
      <c r="K28" s="56">
        <f>_xll.qlYieldTSZeroRate(YieldCurve1,H28,$I$2,,,TRUE,Trigger)</f>
        <v>6.5390081618306875E-3</v>
      </c>
      <c r="L28" s="57">
        <f t="shared" si="1"/>
        <v>-2.5367728750946839E-14</v>
      </c>
      <c r="M28" s="63">
        <v>0.94903266047080403</v>
      </c>
      <c r="N28" s="63">
        <f>_xll.qlYieldTSDiscount(YieldCurve1,H28,TRUE,Trigger)</f>
        <v>0.94903266047061108</v>
      </c>
      <c r="O28" s="57">
        <f t="shared" si="2"/>
        <v>-1.9295676167985221E-13</v>
      </c>
      <c r="P28" s="65"/>
      <c r="Q28" s="55">
        <v>44809</v>
      </c>
      <c r="R28" s="62">
        <f>_xll.qlDayCounterYearFraction($R$2,_xll.qlSettingsEvaluationDate(Trigger),Q28,,,Trigger)</f>
        <v>7.0164383561643833</v>
      </c>
      <c r="S28" s="56">
        <v>5.0981648542883602E-3</v>
      </c>
      <c r="T28" s="56">
        <f>_xll.qlYieldTSZeroRate(YieldCurve2,Q28,$R$2,,,TRUE,Trigger)</f>
        <v>5.0981648543122265E-3</v>
      </c>
      <c r="U28" s="57">
        <f t="shared" si="3"/>
        <v>-2.3866325582488912E-14</v>
      </c>
      <c r="V28" s="63">
        <v>0.96486126055034405</v>
      </c>
      <c r="W28" s="63">
        <f>_xll.qlYieldTSDiscount(YieldCurve2,Q28,TRUE,Trigger)</f>
        <v>0.96486126055018184</v>
      </c>
      <c r="X28" s="57">
        <f t="shared" si="4"/>
        <v>1.6220358389773537E-13</v>
      </c>
      <c r="Y28" s="40"/>
    </row>
    <row r="29" spans="1:25" x14ac:dyDescent="0.2">
      <c r="A29" s="54" t="str">
        <v>EUR1EON3E8Y</v>
      </c>
      <c r="B29" s="55">
        <v>45173</v>
      </c>
      <c r="C29" s="56">
        <v>6.3995500000000004E-3</v>
      </c>
      <c r="D29" s="56">
        <f>Selected!F28</f>
        <v>6.3995500000000004E-3</v>
      </c>
      <c r="E29" s="57">
        <f t="shared" si="0"/>
        <v>0</v>
      </c>
      <c r="F29" s="55">
        <f>Selected!J28</f>
        <v>45173</v>
      </c>
      <c r="G29" s="41"/>
      <c r="H29" s="55">
        <v>45533</v>
      </c>
      <c r="I29" s="62">
        <f>_xll.qlDayCounterYearFraction($I$2,_xll.qlSettingsEvaluationDate(Trigger),H29,,,Trigger)</f>
        <v>9</v>
      </c>
      <c r="J29" s="56">
        <v>7.9018338525330602E-3</v>
      </c>
      <c r="K29" s="56">
        <f>_xll.qlYieldTSZeroRate(YieldCurve1,H29,$I$2,,,TRUE,Trigger)</f>
        <v>7.9018338525856224E-3</v>
      </c>
      <c r="L29" s="57">
        <f t="shared" si="1"/>
        <v>-5.2562121322097255E-14</v>
      </c>
      <c r="M29" s="63">
        <v>0.93135337878590496</v>
      </c>
      <c r="N29" s="63">
        <f>_xll.qlYieldTSDiscount(YieldCurve1,H29,TRUE,Trigger)</f>
        <v>0.93135337878546431</v>
      </c>
      <c r="O29" s="57">
        <f t="shared" si="2"/>
        <v>-4.4064751847372463E-13</v>
      </c>
      <c r="P29" s="65"/>
      <c r="Q29" s="55">
        <v>45173</v>
      </c>
      <c r="R29" s="62">
        <f>_xll.qlDayCounterYearFraction($R$2,_xll.qlSettingsEvaluationDate(Trigger),Q29,,,Trigger)</f>
        <v>8.0136986301369859</v>
      </c>
      <c r="S29" s="56">
        <v>6.5590756173417699E-3</v>
      </c>
      <c r="T29" s="56">
        <f>_xll.qlYieldTSZeroRate(YieldCurve2,Q29,$R$2,,,TRUE,Trigger)</f>
        <v>6.5590756173676042E-3</v>
      </c>
      <c r="U29" s="57">
        <f t="shared" si="3"/>
        <v>-2.58343693659846E-14</v>
      </c>
      <c r="V29" s="63">
        <v>0.94879506193487995</v>
      </c>
      <c r="W29" s="63">
        <f>_xll.qlYieldTSDiscount(YieldCurve2,Q29,TRUE,Trigger)</f>
        <v>0.94879506193468333</v>
      </c>
      <c r="X29" s="57">
        <f t="shared" si="4"/>
        <v>1.9662049766111522E-13</v>
      </c>
      <c r="Y29" s="40"/>
    </row>
    <row r="30" spans="1:25" x14ac:dyDescent="0.2">
      <c r="A30" s="54" t="str">
        <v>EUR1EON3E9Y</v>
      </c>
      <c r="B30" s="55">
        <v>45538</v>
      </c>
      <c r="C30" s="56">
        <v>7.7026000000000004E-3</v>
      </c>
      <c r="D30" s="56">
        <f>Selected!F29</f>
        <v>7.7026000000000004E-3</v>
      </c>
      <c r="E30" s="57">
        <f t="shared" si="0"/>
        <v>0</v>
      </c>
      <c r="F30" s="55">
        <f>Selected!J29</f>
        <v>45538</v>
      </c>
      <c r="G30" s="41"/>
      <c r="H30" s="55">
        <v>45898</v>
      </c>
      <c r="I30" s="62">
        <f>_xll.qlDayCounterYearFraction($I$2,_xll.qlSettingsEvaluationDate(Trigger),H30,,,Trigger)</f>
        <v>10</v>
      </c>
      <c r="J30" s="56">
        <v>9.1144453128036602E-3</v>
      </c>
      <c r="K30" s="56">
        <f>_xll.qlYieldTSZeroRate(YieldCurve1,H30,$I$2,,,TRUE,Trigger)</f>
        <v>9.1144453129905229E-3</v>
      </c>
      <c r="L30" s="57">
        <f t="shared" si="1"/>
        <v>-1.8686267810874568E-13</v>
      </c>
      <c r="M30" s="63">
        <v>0.91288583216035102</v>
      </c>
      <c r="N30" s="63">
        <f>_xll.qlYieldTSDiscount(YieldCurve1,H30,TRUE,Trigger)</f>
        <v>0.91288583215864516</v>
      </c>
      <c r="O30" s="57">
        <f t="shared" si="2"/>
        <v>-1.705857677336553E-12</v>
      </c>
      <c r="P30" s="65"/>
      <c r="Q30" s="55">
        <v>45538</v>
      </c>
      <c r="R30" s="62">
        <f>_xll.qlDayCounterYearFraction($R$2,_xll.qlSettingsEvaluationDate(Trigger),Q30,,,Trigger)</f>
        <v>9.0136986301369859</v>
      </c>
      <c r="S30" s="56">
        <v>7.9204832724662499E-3</v>
      </c>
      <c r="T30" s="56">
        <f>_xll.qlYieldTSZeroRate(YieldCurve2,Q30,$R$2,,,TRUE,Trigger)</f>
        <v>7.9204832724944149E-3</v>
      </c>
      <c r="U30" s="57">
        <f t="shared" si="3"/>
        <v>-2.816497035595944E-14</v>
      </c>
      <c r="V30" s="63">
        <v>0.93109603991405099</v>
      </c>
      <c r="W30" s="63">
        <f>_xll.qlYieldTSDiscount(YieldCurve2,Q30,TRUE,Trigger)</f>
        <v>0.93109603991381495</v>
      </c>
      <c r="X30" s="57">
        <f t="shared" si="4"/>
        <v>2.3603341503530828E-13</v>
      </c>
      <c r="Y30" s="40"/>
    </row>
    <row r="31" spans="1:25" x14ac:dyDescent="0.2">
      <c r="A31" s="54" t="str">
        <v>EUR1EON3E10Y</v>
      </c>
      <c r="B31" s="55">
        <v>45903</v>
      </c>
      <c r="C31" s="56">
        <v>8.8521999999999993E-3</v>
      </c>
      <c r="D31" s="56">
        <f>Selected!F30</f>
        <v>8.8521999999999993E-3</v>
      </c>
      <c r="E31" s="57">
        <f t="shared" si="0"/>
        <v>0</v>
      </c>
      <c r="F31" s="55">
        <f>Selected!J30</f>
        <v>45903</v>
      </c>
      <c r="G31" s="41"/>
      <c r="H31" s="55">
        <v>46628</v>
      </c>
      <c r="I31" s="62">
        <f>_xll.qlDayCounterYearFraction($I$2,_xll.qlSettingsEvaluationDate(Trigger),H31,,,Trigger)</f>
        <v>12</v>
      </c>
      <c r="J31" s="56">
        <v>1.11075664462938E-2</v>
      </c>
      <c r="K31" s="56">
        <f>_xll.qlYieldTSZeroRate(YieldCurve1,H31,$I$2,,,TRUE,Trigger)</f>
        <v>1.1107566446324638E-2</v>
      </c>
      <c r="L31" s="57">
        <f t="shared" si="1"/>
        <v>-3.08381792324397E-14</v>
      </c>
      <c r="M31" s="63">
        <v>0.875210546187565</v>
      </c>
      <c r="N31" s="63">
        <f>_xll.qlYieldTSDiscount(YieldCurve1,H31,TRUE,Trigger)</f>
        <v>0.87521054618724126</v>
      </c>
      <c r="O31" s="57">
        <f t="shared" si="2"/>
        <v>-3.2374103398069565E-13</v>
      </c>
      <c r="P31" s="65"/>
      <c r="Q31" s="55">
        <v>45903</v>
      </c>
      <c r="R31" s="62">
        <f>_xll.qlDayCounterYearFraction($R$2,_xll.qlSettingsEvaluationDate(Trigger),Q31,,,Trigger)</f>
        <v>10.013698630136986</v>
      </c>
      <c r="S31" s="56">
        <v>9.13102811891945E-3</v>
      </c>
      <c r="T31" s="56">
        <f>_xll.qlYieldTSZeroRate(YieldCurve2,Q31,$R$2,,,TRUE,Trigger)</f>
        <v>9.1310281189486159E-3</v>
      </c>
      <c r="U31" s="57">
        <f t="shared" si="3"/>
        <v>-2.9165905801598058E-14</v>
      </c>
      <c r="V31" s="63">
        <v>0.91262030258493998</v>
      </c>
      <c r="W31" s="63">
        <f>_xll.qlYieldTSDiscount(YieldCurve2,Q31,TRUE,Trigger)</f>
        <v>0.9126203025846733</v>
      </c>
      <c r="X31" s="57">
        <f t="shared" si="4"/>
        <v>2.666755705149626E-13</v>
      </c>
      <c r="Y31" s="40"/>
    </row>
    <row r="32" spans="1:25" x14ac:dyDescent="0.2">
      <c r="A32" s="54" t="str">
        <v>EUR1EON3E12Y</v>
      </c>
      <c r="B32" s="55">
        <v>46633</v>
      </c>
      <c r="C32" s="56">
        <v>1.0721400000000001E-2</v>
      </c>
      <c r="D32" s="56">
        <f>Selected!F31</f>
        <v>1.0721400000000001E-2</v>
      </c>
      <c r="E32" s="57">
        <f t="shared" si="0"/>
        <v>0</v>
      </c>
      <c r="F32" s="55">
        <f>Selected!J31</f>
        <v>46633</v>
      </c>
      <c r="G32" s="41"/>
      <c r="H32" s="55">
        <v>47723</v>
      </c>
      <c r="I32" s="62">
        <f>_xll.qlDayCounterYearFraction($I$2,_xll.qlSettingsEvaluationDate(Trigger),H32,,,Trigger)</f>
        <v>15</v>
      </c>
      <c r="J32" s="56">
        <v>1.3250128249896201E-2</v>
      </c>
      <c r="K32" s="56">
        <f>_xll.qlYieldTSZeroRate(YieldCurve1,H32,$I$2,,,TRUE,Trigger)</f>
        <v>1.3250128249925363E-2</v>
      </c>
      <c r="L32" s="57">
        <f t="shared" si="1"/>
        <v>-2.9162436354646104E-14</v>
      </c>
      <c r="M32" s="63">
        <v>0.81975322941881201</v>
      </c>
      <c r="N32" s="63">
        <f>_xll.qlYieldTSDiscount(YieldCurve1,H32,TRUE,Trigger)</f>
        <v>0.81975322941845319</v>
      </c>
      <c r="O32" s="57">
        <f t="shared" si="2"/>
        <v>-3.5882408155885059E-13</v>
      </c>
      <c r="P32" s="41"/>
      <c r="Q32" s="55">
        <v>46633</v>
      </c>
      <c r="R32" s="62">
        <f>_xll.qlDayCounterYearFraction($R$2,_xll.qlSettingsEvaluationDate(Trigger),Q32,,,Trigger)</f>
        <v>12.013698630136986</v>
      </c>
      <c r="S32" s="56">
        <v>1.11205477831122E-2</v>
      </c>
      <c r="T32" s="56">
        <f>_xll.qlYieldTSZeroRate(YieldCurve2,Q32,$R$2,,,TRUE,Trigger)</f>
        <v>1.1120547783237717E-2</v>
      </c>
      <c r="U32" s="57">
        <f t="shared" si="3"/>
        <v>-1.2551765182777785E-13</v>
      </c>
      <c r="V32" s="63">
        <v>0.87494092458097406</v>
      </c>
      <c r="W32" s="63">
        <f>_xll.qlYieldTSDiscount(YieldCurve2,Q32,TRUE,Trigger)</f>
        <v>0.87494092457965478</v>
      </c>
      <c r="X32" s="57">
        <f t="shared" si="4"/>
        <v>1.3192780201620735E-12</v>
      </c>
      <c r="Y32" s="40"/>
    </row>
    <row r="33" spans="1:25" x14ac:dyDescent="0.2">
      <c r="A33" s="54" t="str">
        <v>EUR1EON3E15Y</v>
      </c>
      <c r="B33" s="55">
        <v>47729</v>
      </c>
      <c r="C33" s="56">
        <v>1.27002E-2</v>
      </c>
      <c r="D33" s="56">
        <f>Selected!F32</f>
        <v>1.27002E-2</v>
      </c>
      <c r="E33" s="57">
        <f t="shared" si="0"/>
        <v>0</v>
      </c>
      <c r="F33" s="55">
        <f>Selected!J32</f>
        <v>47729</v>
      </c>
      <c r="G33" s="41"/>
      <c r="H33" s="55">
        <v>49548</v>
      </c>
      <c r="I33" s="62">
        <f>_xll.qlDayCounterYearFraction($I$2,_xll.qlSettingsEvaluationDate(Trigger),H33,,,Trigger)</f>
        <v>20</v>
      </c>
      <c r="J33" s="56">
        <v>1.50559852411516E-2</v>
      </c>
      <c r="K33" s="56">
        <f>_xll.qlYieldTSZeroRate(YieldCurve1,H33,$I$2,,,TRUE,Trigger)</f>
        <v>1.505598524133527E-2</v>
      </c>
      <c r="L33" s="57">
        <f t="shared" si="1"/>
        <v>-1.8367078691294836E-13</v>
      </c>
      <c r="M33" s="63">
        <v>0.73998918717005802</v>
      </c>
      <c r="N33" s="63">
        <f>_xll.qlYieldTSDiscount(YieldCurve1,H33,TRUE,Trigger)</f>
        <v>0.73998918716733897</v>
      </c>
      <c r="O33" s="57">
        <f t="shared" si="2"/>
        <v>-2.7190472096094709E-12</v>
      </c>
      <c r="P33" s="41"/>
      <c r="Q33" s="55">
        <v>47729</v>
      </c>
      <c r="R33" s="62">
        <f>_xll.qlDayCounterYearFraction($R$2,_xll.qlSettingsEvaluationDate(Trigger),Q33,,,Trigger)</f>
        <v>15.016438356164384</v>
      </c>
      <c r="S33" s="56">
        <v>1.32587724993451E-2</v>
      </c>
      <c r="T33" s="56">
        <f>_xll.qlYieldTSZeroRate(YieldCurve2,Q33,$R$2,,,TRUE,Trigger)</f>
        <v>1.3258772499358936E-2</v>
      </c>
      <c r="U33" s="57">
        <f t="shared" si="3"/>
        <v>-1.3836154444391013E-14</v>
      </c>
      <c r="V33" s="63">
        <v>0.81946831946634502</v>
      </c>
      <c r="W33" s="63">
        <f>_xll.qlYieldTSDiscount(YieldCurve2,Q33,TRUE,Trigger)</f>
        <v>0.81946831946617482</v>
      </c>
      <c r="X33" s="57">
        <f t="shared" si="4"/>
        <v>1.701971896750365E-13</v>
      </c>
      <c r="Y33" s="40"/>
    </row>
    <row r="34" spans="1:25" x14ac:dyDescent="0.2">
      <c r="A34" s="54" t="str">
        <v>EUR1EON3E20Y</v>
      </c>
      <c r="B34" s="55">
        <v>49555</v>
      </c>
      <c r="C34" s="56">
        <v>1.43558E-2</v>
      </c>
      <c r="D34" s="56">
        <f>Selected!F33</f>
        <v>1.43558E-2</v>
      </c>
      <c r="E34" s="57">
        <f t="shared" si="0"/>
        <v>0</v>
      </c>
      <c r="F34" s="55">
        <f>Selected!J33</f>
        <v>49555</v>
      </c>
      <c r="G34" s="41"/>
      <c r="H34" s="55">
        <v>51373</v>
      </c>
      <c r="I34" s="62">
        <f>_xll.qlDayCounterYearFraction($I$2,_xll.qlSettingsEvaluationDate(Trigger),H34,,,Trigger)</f>
        <v>25</v>
      </c>
      <c r="J34" s="56">
        <v>1.55698822591062E-2</v>
      </c>
      <c r="K34" s="56">
        <f>_xll.qlYieldTSZeroRate(YieldCurve1,H34,$I$2,,,TRUE,Trigger)</f>
        <v>1.5569882259340384E-2</v>
      </c>
      <c r="L34" s="57">
        <f t="shared" si="1"/>
        <v>-2.34184199809917E-13</v>
      </c>
      <c r="M34" s="63">
        <v>0.67756685205413303</v>
      </c>
      <c r="N34" s="63">
        <f>_xll.qlYieldTSDiscount(YieldCurve1,H34,TRUE,Trigger)</f>
        <v>0.67756685205016576</v>
      </c>
      <c r="O34" s="57">
        <f t="shared" si="2"/>
        <v>-3.9672709561955344E-12</v>
      </c>
      <c r="P34" s="41"/>
      <c r="Q34" s="55">
        <v>49555</v>
      </c>
      <c r="R34" s="62">
        <f>_xll.qlDayCounterYearFraction($R$2,_xll.qlSettingsEvaluationDate(Trigger),Q34,,,Trigger)</f>
        <v>20.019178082191782</v>
      </c>
      <c r="S34" s="56">
        <v>1.50508987393223E-2</v>
      </c>
      <c r="T34" s="56">
        <f>_xll.qlYieldTSZeroRate(YieldCurve2,Q34,$R$2,,,TRUE,Trigger)</f>
        <v>1.5050898739400834E-2</v>
      </c>
      <c r="U34" s="57">
        <f t="shared" si="3"/>
        <v>-7.8534401204422011E-14</v>
      </c>
      <c r="V34" s="63">
        <v>0.73985088328825399</v>
      </c>
      <c r="W34" s="63">
        <f>_xll.qlYieldTSDiscount(YieldCurve2,Q34,TRUE,Trigger)</f>
        <v>0.73985088328709103</v>
      </c>
      <c r="X34" s="57">
        <f t="shared" si="4"/>
        <v>1.1629586182948515E-12</v>
      </c>
      <c r="Y34" s="40"/>
    </row>
    <row r="35" spans="1:25" x14ac:dyDescent="0.2">
      <c r="A35" s="54" t="str">
        <v>EUR1EON3E25Y</v>
      </c>
      <c r="B35" s="55">
        <v>51382</v>
      </c>
      <c r="C35" s="56">
        <v>1.4874699999999999E-2</v>
      </c>
      <c r="D35" s="56">
        <f>Selected!F34</f>
        <v>1.4874699999999999E-2</v>
      </c>
      <c r="E35" s="57">
        <f t="shared" si="0"/>
        <v>0</v>
      </c>
      <c r="F35" s="55">
        <f>Selected!J34</f>
        <v>51382</v>
      </c>
      <c r="G35" s="41"/>
      <c r="H35" s="55">
        <v>53198</v>
      </c>
      <c r="I35" s="62">
        <f>_xll.qlDayCounterYearFraction($I$2,_xll.qlSettingsEvaluationDate(Trigger),H35,,,Trigger)</f>
        <v>30</v>
      </c>
      <c r="J35" s="56">
        <v>1.57640039737444E-2</v>
      </c>
      <c r="K35" s="56">
        <f>_xll.qlYieldTSZeroRate(YieldCurve1,H35,$I$2,,,TRUE,Trigger)</f>
        <v>1.576400397374118E-2</v>
      </c>
      <c r="L35" s="57">
        <f t="shared" si="1"/>
        <v>3.219646771412954E-15</v>
      </c>
      <c r="M35" s="63">
        <v>0.62317984928669401</v>
      </c>
      <c r="N35" s="63">
        <f>_xll.qlYieldTSDiscount(YieldCurve1,H35,TRUE,Trigger)</f>
        <v>0.62317984928675418</v>
      </c>
      <c r="O35" s="57">
        <f t="shared" si="2"/>
        <v>6.0174087934683484E-14</v>
      </c>
      <c r="P35" s="41"/>
      <c r="Q35" s="55">
        <v>51382</v>
      </c>
      <c r="R35" s="62">
        <f>_xll.qlDayCounterYearFraction($R$2,_xll.qlSettingsEvaluationDate(Trigger),Q35,,,Trigger)</f>
        <v>25.024657534246575</v>
      </c>
      <c r="S35" s="56">
        <v>1.55584657293216E-2</v>
      </c>
      <c r="T35" s="56">
        <f>_xll.qlYieldTSZeroRate(YieldCurve2,Q35,$R$2,,,TRUE,Trigger)</f>
        <v>1.555846572932618E-2</v>
      </c>
      <c r="U35" s="57">
        <f t="shared" si="3"/>
        <v>-4.5796699765787707E-15</v>
      </c>
      <c r="V35" s="63">
        <v>0.67750030459979804</v>
      </c>
      <c r="W35" s="63">
        <f>_xll.qlYieldTSDiscount(YieldCurve2,Q35,TRUE,Trigger)</f>
        <v>0.67750030459971999</v>
      </c>
      <c r="X35" s="57">
        <f t="shared" si="4"/>
        <v>7.8048678631148505E-14</v>
      </c>
      <c r="Y35" s="40"/>
    </row>
    <row r="36" spans="1:25" x14ac:dyDescent="0.2">
      <c r="A36" s="54" t="str">
        <v>EUR1EON3E30Y</v>
      </c>
      <c r="B36" s="55">
        <v>53209</v>
      </c>
      <c r="C36" s="56">
        <v>1.51054E-2</v>
      </c>
      <c r="D36" s="56">
        <f>Selected!F35</f>
        <v>1.51054E-2</v>
      </c>
      <c r="E36" s="57">
        <f t="shared" si="0"/>
        <v>0</v>
      </c>
      <c r="F36" s="55">
        <f>Selected!J35</f>
        <v>53209</v>
      </c>
      <c r="G36" s="41"/>
      <c r="H36" s="55">
        <v>55023</v>
      </c>
      <c r="I36" s="62">
        <f>_xll.qlDayCounterYearFraction($I$2,_xll.qlSettingsEvaluationDate(Trigger),H36,,,Trigger)</f>
        <v>35</v>
      </c>
      <c r="J36" s="56">
        <v>1.59209593580645E-2</v>
      </c>
      <c r="K36" s="56">
        <f>_xll.qlYieldTSZeroRate(YieldCurve1,H36,$I$2,,,TRUE,Trigger)</f>
        <v>1.5920959358060087E-2</v>
      </c>
      <c r="L36" s="57">
        <f t="shared" si="1"/>
        <v>4.4131365228849972E-15</v>
      </c>
      <c r="M36" s="63">
        <v>0.57279145721191704</v>
      </c>
      <c r="N36" s="63">
        <f>_xll.qlYieldTSDiscount(YieldCurve1,H36,TRUE,Trigger)</f>
        <v>0.57279145721200564</v>
      </c>
      <c r="O36" s="57">
        <f t="shared" si="2"/>
        <v>8.8595797365087492E-14</v>
      </c>
      <c r="P36" s="41"/>
      <c r="Q36" s="55">
        <v>53209</v>
      </c>
      <c r="R36" s="62">
        <f>_xll.qlDayCounterYearFraction($R$2,_xll.qlSettingsEvaluationDate(Trigger),Q36,,,Trigger)</f>
        <v>30.030136986301368</v>
      </c>
      <c r="S36" s="56">
        <v>1.5753172360218601E-2</v>
      </c>
      <c r="T36" s="56">
        <f>_xll.qlYieldTSZeroRate(YieldCurve2,Q36,$R$2,,,TRUE,Trigger)</f>
        <v>1.5753172360230733E-2</v>
      </c>
      <c r="U36" s="57">
        <f t="shared" si="3"/>
        <v>-1.2132655990981789E-14</v>
      </c>
      <c r="V36" s="63">
        <v>0.62308650098741503</v>
      </c>
      <c r="W36" s="63">
        <f>_xll.qlYieldTSDiscount(YieldCurve2,Q36,TRUE,Trigger)</f>
        <v>0.62308650098718765</v>
      </c>
      <c r="X36" s="57">
        <f t="shared" si="4"/>
        <v>2.2737367544323206E-13</v>
      </c>
      <c r="Y36" s="40"/>
    </row>
    <row r="37" spans="1:25" x14ac:dyDescent="0.2">
      <c r="A37" s="54" t="str">
        <v>EUR1EON3E40Y</v>
      </c>
      <c r="B37" s="55">
        <v>56860</v>
      </c>
      <c r="C37" s="56">
        <v>1.5446E-2</v>
      </c>
      <c r="D37" s="56">
        <f>Selected!F36</f>
        <v>1.5446E-2</v>
      </c>
      <c r="E37" s="57">
        <f t="shared" si="0"/>
        <v>0</v>
      </c>
      <c r="F37" s="55">
        <f>Selected!J36</f>
        <v>56860</v>
      </c>
      <c r="G37" s="41"/>
      <c r="H37" s="55">
        <v>56848</v>
      </c>
      <c r="I37" s="62">
        <f>_xll.qlDayCounterYearFraction($I$2,_xll.qlSettingsEvaluationDate(Trigger),H37,,,Trigger)</f>
        <v>40</v>
      </c>
      <c r="J37" s="56">
        <v>1.6077698828977399E-2</v>
      </c>
      <c r="K37" s="56">
        <f>_xll.qlYieldTSZeroRate(YieldCurve1,H37,$I$2,,,TRUE,Trigger)</f>
        <v>1.6077698828973225E-2</v>
      </c>
      <c r="L37" s="57">
        <f t="shared" si="1"/>
        <v>4.1737446832001979E-15</v>
      </c>
      <c r="M37" s="63">
        <v>0.525656167908787</v>
      </c>
      <c r="N37" s="63">
        <f>_xll.qlYieldTSDiscount(YieldCurve1,H37,TRUE,Trigger)</f>
        <v>0.52565616790887559</v>
      </c>
      <c r="O37" s="57">
        <f t="shared" si="2"/>
        <v>8.8595797365087492E-14</v>
      </c>
      <c r="P37" s="41"/>
      <c r="Q37" s="55">
        <v>56860</v>
      </c>
      <c r="R37" s="62">
        <f>_xll.qlDayCounterYearFraction($R$2,_xll.qlSettingsEvaluationDate(Trigger),Q37,,,Trigger)</f>
        <v>40.032876712328765</v>
      </c>
      <c r="S37" s="56">
        <v>1.6063031011923301E-2</v>
      </c>
      <c r="T37" s="56">
        <f>_xll.qlYieldTSZeroRate(YieldCurve2,Q37,$R$2,,,TRUE,Trigger)</f>
        <v>1.6063031011950162E-2</v>
      </c>
      <c r="U37" s="57">
        <f t="shared" si="3"/>
        <v>-2.6860458302024881E-14</v>
      </c>
      <c r="V37" s="63">
        <v>0.52568697911377904</v>
      </c>
      <c r="W37" s="63">
        <f>_xll.qlYieldTSDiscount(YieldCurve2,Q37,TRUE,Trigger)</f>
        <v>0.5256869791132136</v>
      </c>
      <c r="X37" s="57">
        <f t="shared" si="4"/>
        <v>5.6543658644159223E-13</v>
      </c>
      <c r="Y37" s="40"/>
    </row>
    <row r="38" spans="1:25" x14ac:dyDescent="0.2">
      <c r="A38" s="54" t="str">
        <v>EUR1EON3E50Y</v>
      </c>
      <c r="B38" s="55">
        <v>60513</v>
      </c>
      <c r="C38" s="56">
        <v>1.5240999999999999E-2</v>
      </c>
      <c r="D38" s="56">
        <f>Selected!F37</f>
        <v>1.5240999999999999E-2</v>
      </c>
      <c r="E38" s="57">
        <f t="shared" ref="E38:E39" si="5">D38-C38</f>
        <v>0</v>
      </c>
      <c r="F38" s="55">
        <f>Selected!J37</f>
        <v>60513</v>
      </c>
      <c r="G38" s="41"/>
      <c r="H38" s="55">
        <v>58673</v>
      </c>
      <c r="I38" s="62">
        <f>_xll.qlDayCounterYearFraction($I$2,_xll.qlSettingsEvaluationDate(Trigger),H38,,,Trigger)</f>
        <v>45</v>
      </c>
      <c r="J38" s="56">
        <v>1.5877317572390699E-2</v>
      </c>
      <c r="K38" s="56">
        <f>_xll.qlYieldTSZeroRate(YieldCurve1,H38,$I$2,,,TRUE,Trigger)</f>
        <v>1.5877317572387011E-2</v>
      </c>
      <c r="L38" s="57">
        <f t="shared" si="1"/>
        <v>3.6880221099266919E-15</v>
      </c>
      <c r="M38" s="63">
        <v>0.489446904981088</v>
      </c>
      <c r="N38" s="63">
        <f>_xll.qlYieldTSDiscount(YieldCurve1,H38,TRUE,Trigger)</f>
        <v>0.48944690498116949</v>
      </c>
      <c r="O38" s="57">
        <f t="shared" si="2"/>
        <v>8.149037000748649E-14</v>
      </c>
      <c r="P38" s="41"/>
      <c r="Q38" s="55">
        <v>60513</v>
      </c>
      <c r="R38" s="62">
        <f>_xll.qlDayCounterYearFraction($R$2,_xll.qlSettingsEvaluationDate(Trigger),Q38,,,Trigger)</f>
        <v>50.041095890410958</v>
      </c>
      <c r="S38" s="56">
        <v>1.5656961494253299E-2</v>
      </c>
      <c r="T38" s="56">
        <f>_xll.qlYieldTSZeroRate(YieldCurve2,Q38,$R$2,,,TRUE,Trigger)</f>
        <v>1.5656961494256522E-2</v>
      </c>
      <c r="U38" s="57">
        <f t="shared" ref="U38:U39" si="6">S38-T38</f>
        <v>-3.2231162183649076E-15</v>
      </c>
      <c r="V38" s="63">
        <v>0.45680827233642102</v>
      </c>
      <c r="W38" s="63">
        <f>_xll.qlYieldTSDiscount(YieldCurve2,Q38,TRUE,Trigger)</f>
        <v>0.4568082723363463</v>
      </c>
      <c r="X38" s="57">
        <f t="shared" ref="X38:X39" si="7">V38-W38</f>
        <v>7.4718009557273035E-14</v>
      </c>
      <c r="Y38" s="40"/>
    </row>
    <row r="39" spans="1:25" x14ac:dyDescent="0.2">
      <c r="A39" s="58" t="str">
        <v>EUR1EON3E60Y</v>
      </c>
      <c r="B39" s="59">
        <v>64165</v>
      </c>
      <c r="C39" s="60">
        <v>1.5055000000000001E-2</v>
      </c>
      <c r="D39" s="60">
        <f>Selected!F38</f>
        <v>1.5055000000000001E-2</v>
      </c>
      <c r="E39" s="61">
        <f t="shared" si="5"/>
        <v>0</v>
      </c>
      <c r="F39" s="59">
        <f>Selected!J38</f>
        <v>64165</v>
      </c>
      <c r="G39" s="41"/>
      <c r="H39" s="55">
        <v>60498</v>
      </c>
      <c r="I39" s="62">
        <f>_xll.qlDayCounterYearFraction($I$2,_xll.qlSettingsEvaluationDate(Trigger),H39,,,Trigger)</f>
        <v>50</v>
      </c>
      <c r="J39" s="56">
        <v>1.5674572582362101E-2</v>
      </c>
      <c r="K39" s="56">
        <f>_xll.qlYieldTSZeroRate(YieldCurve1,H39,$I$2,,,TRUE,Trigger)</f>
        <v>1.5674572582358989E-2</v>
      </c>
      <c r="L39" s="57">
        <f t="shared" si="1"/>
        <v>3.1120939159023919E-15</v>
      </c>
      <c r="M39" s="63">
        <v>0.45669996788169498</v>
      </c>
      <c r="N39" s="63">
        <f>_xll.qlYieldTSDiscount(YieldCurve1,H39,TRUE,Trigger)</f>
        <v>0.4566999678817672</v>
      </c>
      <c r="O39" s="57">
        <f t="shared" si="2"/>
        <v>7.2220007751866433E-14</v>
      </c>
      <c r="P39" s="41"/>
      <c r="Q39" s="59">
        <v>64165</v>
      </c>
      <c r="R39" s="241">
        <f>_xll.qlDayCounterYearFraction($R$2,_xll.qlSettingsEvaluationDate(Trigger),Q39,,,Trigger)</f>
        <v>60.046575342465751</v>
      </c>
      <c r="S39" s="60">
        <v>1.53164239318823E-2</v>
      </c>
      <c r="T39" s="60">
        <f>_xll.qlYieldTSZeroRate(YieldCurve2,Q39,$R$2,,,TRUE,Trigger)</f>
        <v>1.5316423931861702E-2</v>
      </c>
      <c r="U39" s="61">
        <f t="shared" si="6"/>
        <v>2.0598106553748607E-14</v>
      </c>
      <c r="V39" s="242">
        <v>0.39863909166235201</v>
      </c>
      <c r="W39" s="242">
        <f>_xll.qlYieldTSDiscount(YieldCurve2,Q39,TRUE,Trigger)</f>
        <v>0.39863909166284439</v>
      </c>
      <c r="X39" s="61">
        <f t="shared" si="7"/>
        <v>-4.9238391142125693E-13</v>
      </c>
      <c r="Y39" s="40"/>
    </row>
    <row r="40" spans="1:25" x14ac:dyDescent="0.2">
      <c r="A40" s="39"/>
      <c r="B40" s="41"/>
      <c r="C40" s="41"/>
      <c r="D40" s="41"/>
      <c r="E40" s="41"/>
      <c r="F40" s="41"/>
      <c r="G40" s="41"/>
      <c r="H40" s="231"/>
      <c r="I40" s="232"/>
      <c r="J40" s="233"/>
      <c r="K40" s="233"/>
      <c r="L40" s="234"/>
      <c r="M40" s="235"/>
      <c r="N40" s="235"/>
      <c r="O40" s="234"/>
      <c r="P40" s="41"/>
      <c r="Q40" s="41"/>
      <c r="R40" s="41"/>
      <c r="S40" s="41"/>
      <c r="T40" s="41"/>
      <c r="U40" s="41"/>
      <c r="V40" s="41"/>
      <c r="W40" s="41"/>
      <c r="X40" s="41"/>
      <c r="Y40" s="40"/>
    </row>
    <row r="41" spans="1:25" x14ac:dyDescent="0.2">
      <c r="A41" s="39"/>
      <c r="B41" s="64"/>
      <c r="C41" s="64"/>
      <c r="D41" s="41"/>
      <c r="E41" s="41"/>
      <c r="F41" s="41"/>
      <c r="G41" s="41"/>
      <c r="H41" s="236"/>
      <c r="I41" s="237"/>
      <c r="J41" s="238"/>
      <c r="K41" s="238"/>
      <c r="L41" s="239"/>
      <c r="M41" s="240"/>
      <c r="N41" s="240"/>
      <c r="O41" s="239"/>
      <c r="P41" s="41"/>
      <c r="Q41" s="41"/>
      <c r="R41" s="41"/>
      <c r="S41" s="41"/>
      <c r="T41" s="41"/>
      <c r="U41" s="41"/>
      <c r="V41" s="41"/>
      <c r="W41" s="41"/>
      <c r="X41" s="41"/>
      <c r="Y41" s="40"/>
    </row>
    <row r="42" spans="1:25" ht="12" thickBot="1" x14ac:dyDescent="0.25">
      <c r="A42" s="66"/>
      <c r="B42" s="67"/>
      <c r="C42" s="67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9"/>
    </row>
    <row r="43" spans="1:25" x14ac:dyDescent="0.2">
      <c r="B43" s="71"/>
      <c r="C43" s="71"/>
    </row>
    <row r="44" spans="1:25" x14ac:dyDescent="0.2">
      <c r="B44" s="71"/>
      <c r="C44" s="71"/>
    </row>
    <row r="45" spans="1:25" x14ac:dyDescent="0.2">
      <c r="B45" s="71"/>
      <c r="C45" s="71"/>
    </row>
    <row r="46" spans="1:25" x14ac:dyDescent="0.2">
      <c r="B46" s="71"/>
      <c r="C46" s="71"/>
    </row>
    <row r="47" spans="1:25" x14ac:dyDescent="0.2">
      <c r="B47" s="71"/>
      <c r="C47" s="71"/>
    </row>
    <row r="48" spans="1:25" x14ac:dyDescent="0.2">
      <c r="B48" s="71"/>
      <c r="C48" s="71"/>
    </row>
  </sheetData>
  <mergeCells count="3">
    <mergeCell ref="A1:F1"/>
    <mergeCell ref="H1:O1"/>
    <mergeCell ref="Q1:X1"/>
  </mergeCells>
  <dataValidations disablePrompts="1" count="1">
    <dataValidation type="list" allowBlank="1" showInputMessage="1" showErrorMessage="1" sqref="I2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General Settings</vt:lpstr>
      <vt:lpstr>RateHelpers</vt:lpstr>
      <vt:lpstr>Selected</vt:lpstr>
      <vt:lpstr>Deposits</vt:lpstr>
      <vt:lpstr>Swaps</vt:lpstr>
      <vt:lpstr>Swap EONIA 3E</vt:lpstr>
      <vt:lpstr>LCH Analysis</vt:lpstr>
      <vt:lpstr>Accuracy</vt:lpstr>
      <vt:lpstr>Calendar</vt:lpstr>
      <vt:lpstr>Currency</vt:lpstr>
      <vt:lpstr>DayCounter</vt:lpstr>
      <vt:lpstr>DepoInclusionCriteria</vt:lpstr>
      <vt:lpstr>Discounting1</vt:lpstr>
      <vt:lpstr>Discounting2</vt:lpstr>
      <vt:lpstr>DiscountingSTD</vt:lpstr>
      <vt:lpstr>FamilyName</vt:lpstr>
      <vt:lpstr>FileOverwrite</vt:lpstr>
      <vt:lpstr>FrontFuturesRollingDays</vt:lpstr>
      <vt:lpstr>IborType</vt:lpstr>
      <vt:lpstr>IndexTenor</vt:lpstr>
      <vt:lpstr>InterpolatorID</vt:lpstr>
      <vt:lpstr>LCHcubic</vt:lpstr>
      <vt:lpstr>LCHlinear</vt:lpstr>
      <vt:lpstr>LCHQuoteSuffix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SerializationPath</vt:lpstr>
      <vt:lpstr>Serialize</vt:lpstr>
      <vt:lpstr>SwapFixedFreq</vt:lpstr>
      <vt:lpstr>TraitsID</vt:lpstr>
      <vt:lpstr>Trigger</vt:lpstr>
      <vt:lpstr>YieldCurve1</vt:lpstr>
      <vt:lpstr>YieldCurve2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FONDI STEFANO</cp:lastModifiedBy>
  <cp:lastPrinted>2009-10-19T16:16:39Z</cp:lastPrinted>
  <dcterms:created xsi:type="dcterms:W3CDTF">2006-04-26T09:45:07Z</dcterms:created>
  <dcterms:modified xsi:type="dcterms:W3CDTF">2015-09-11T16:38:30Z</dcterms:modified>
</cp:coreProperties>
</file>