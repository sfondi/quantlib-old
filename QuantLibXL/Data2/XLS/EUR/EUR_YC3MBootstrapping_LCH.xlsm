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5" windowWidth="9600" windowHeight="11490"/>
  </bookViews>
  <sheets>
    <sheet name="General Settings" sheetId="6" r:id="rId1"/>
    <sheet name="RateHelpers" sheetId="4" r:id="rId2"/>
    <sheet name="Selected" sheetId="5" r:id="rId3"/>
    <sheet name="Deposits" sheetId="7" r:id="rId4"/>
    <sheet name="Futures" sheetId="9" r:id="rId5"/>
    <sheet name="Swaps" sheetId="15" r:id="rId6"/>
    <sheet name="SwapsFromBasis" sheetId="11" r:id="rId7"/>
    <sheet name="LCH Analysis" sheetId="16" r:id="rId8"/>
  </sheets>
  <externalReferences>
    <externalReference r:id="rId9"/>
  </externalReferences>
  <definedNames>
    <definedName name="Accuracy">'General Settings'!$D$20</definedName>
    <definedName name="BondBasisDayCounter">'General Settings'!$J$16</definedName>
    <definedName name="Calendar">'General Settings'!$D$18</definedName>
    <definedName name="Currency">'General Settings'!$D$4</definedName>
    <definedName name="DayCounter">'General Settings'!$D$19</definedName>
    <definedName name="DepoInclusionCriteria">Selected!$B$5</definedName>
    <definedName name="Discounting1">'General Settings'!$J$18</definedName>
    <definedName name="Discounting2">'General Settings'!$J$19</definedName>
    <definedName name="FamilyName">'General Settings'!$J$11</definedName>
    <definedName name="FileOverwrite">'General Settings'!$J$6</definedName>
    <definedName name="FrontFuturesRollingDays">Selected!$B$4</definedName>
    <definedName name="IborType">'General Settings'!$D$7</definedName>
    <definedName name="IndexTenor">'General Settings'!$D$6</definedName>
    <definedName name="InterpolatorID">'General Settings'!$D$22</definedName>
    <definedName name="LCHcubic">'General Settings'!$J$15</definedName>
    <definedName name="LCHlinear">'General Settings'!$J$14</definedName>
    <definedName name="LCHQuoteSuffix">'General Settings'!$J$13</definedName>
    <definedName name="MinDistance">RateHelpers!$H$2:$H$44</definedName>
    <definedName name="MoneyMarketDayCounter">'General Settings'!$J$17</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Permanent">'General Settings'!$D$10</definedName>
    <definedName name="QuoteSuffix">'General Settings'!$J$12</definedName>
    <definedName name="RateHelperPrefix">'General Settings'!$D$9</definedName>
    <definedName name="RateHelpers1">RateHelpers!$A$2:$A$44</definedName>
    <definedName name="RateHelpers2">RateHelpers!$B$2:$B$44</definedName>
    <definedName name="RateHelpersIncluded">RateHelpers!$F$2:$F$44</definedName>
    <definedName name="RateHelpersPriority">RateHelpers!$G$2:$G$44</definedName>
    <definedName name="RateHelpersSelected">Selected!$A$7</definedName>
    <definedName name="SerializationPath">'General Settings'!$J$5</definedName>
    <definedName name="Serialize">'General Settings'!$J$4</definedName>
    <definedName name="SwapFixedFreq">'General Settings'!$D$8</definedName>
    <definedName name="SwapIborIndex">RateHelpers!$N$40</definedName>
    <definedName name="TraitsID">'General Settings'!$D$21</definedName>
    <definedName name="Trigger">'General Settings'!$D$11</definedName>
    <definedName name="YieldCurve1">'General Settings'!$D$14</definedName>
    <definedName name="YieldCurve2">'General Settings'!$E$14</definedName>
  </definedNames>
  <calcPr calcId="145621"/>
</workbook>
</file>

<file path=xl/calcChain.xml><?xml version="1.0" encoding="utf-8"?>
<calcChain xmlns="http://schemas.openxmlformats.org/spreadsheetml/2006/main">
  <c r="C3" i="16" l="1" a="1"/>
  <c r="C3" i="16" s="1"/>
  <c r="C10" i="16"/>
  <c r="C18" i="16"/>
  <c r="C26" i="16"/>
  <c r="B3" i="16" a="1"/>
  <c r="B29" i="16" s="1"/>
  <c r="A3" i="16" a="1"/>
  <c r="A3" i="16" s="1"/>
  <c r="K18" i="11"/>
  <c r="K17" i="11"/>
  <c r="K16" i="11"/>
  <c r="K15" i="11"/>
  <c r="K14" i="11"/>
  <c r="K13" i="11"/>
  <c r="K12" i="11"/>
  <c r="K11" i="11"/>
  <c r="K10" i="11"/>
  <c r="K9" i="11"/>
  <c r="K8" i="11"/>
  <c r="K7" i="11"/>
  <c r="K6" i="11"/>
  <c r="K5" i="11"/>
  <c r="K4" i="11"/>
  <c r="G15" i="9"/>
  <c r="G14" i="9"/>
  <c r="G13" i="9"/>
  <c r="G12" i="9"/>
  <c r="G11" i="9"/>
  <c r="G10" i="9"/>
  <c r="G9" i="9"/>
  <c r="G8" i="9"/>
  <c r="G7" i="9"/>
  <c r="G6" i="9"/>
  <c r="G5" i="9"/>
  <c r="D4" i="7"/>
  <c r="C4" i="7"/>
  <c r="J22" i="16"/>
  <c r="J9" i="16"/>
  <c r="J24" i="16"/>
  <c r="T20" i="16"/>
  <c r="T30" i="16"/>
  <c r="T21" i="16"/>
  <c r="T23" i="16"/>
  <c r="E4" i="9" a="1"/>
  <c r="J8" i="16"/>
  <c r="J13" i="16"/>
  <c r="T19" i="16"/>
  <c r="J21" i="16"/>
  <c r="J14" i="16"/>
  <c r="T17" i="16"/>
  <c r="T15" i="16"/>
  <c r="J29" i="16"/>
  <c r="J23" i="16"/>
  <c r="T8" i="16"/>
  <c r="J18" i="16"/>
  <c r="J26" i="16"/>
  <c r="T24" i="16"/>
  <c r="J28" i="16"/>
  <c r="J27" i="16"/>
  <c r="T5" i="16"/>
  <c r="J6" i="16"/>
  <c r="J16" i="16"/>
  <c r="T22" i="16"/>
  <c r="N3" i="15"/>
  <c r="J19" i="16"/>
  <c r="J17" i="16"/>
  <c r="J5" i="16"/>
  <c r="T28" i="16"/>
  <c r="T11" i="16"/>
  <c r="T29" i="16"/>
  <c r="N3" i="11"/>
  <c r="J25" i="16"/>
  <c r="T9" i="16"/>
  <c r="T10" i="16"/>
  <c r="J4" i="16"/>
  <c r="J10" i="16"/>
  <c r="T27" i="16"/>
  <c r="J12" i="16"/>
  <c r="J30" i="16"/>
  <c r="T25" i="16"/>
  <c r="T16" i="16"/>
  <c r="J20" i="16"/>
  <c r="J11" i="16"/>
  <c r="T6" i="16"/>
  <c r="T18" i="16"/>
  <c r="J7" i="16"/>
  <c r="T4" i="16"/>
  <c r="T14" i="16"/>
  <c r="T26" i="16"/>
  <c r="J15" i="16"/>
  <c r="T12" i="16"/>
  <c r="T13" i="16"/>
  <c r="T7" i="16"/>
  <c r="B21" i="16" l="1"/>
  <c r="B13" i="16"/>
  <c r="B5" i="16"/>
  <c r="B28" i="16"/>
  <c r="B20" i="16"/>
  <c r="B12" i="16"/>
  <c r="B4" i="16"/>
  <c r="C25" i="16"/>
  <c r="C17" i="16"/>
  <c r="C9" i="16"/>
  <c r="B27" i="16"/>
  <c r="B19" i="16"/>
  <c r="B11" i="16"/>
  <c r="B3" i="16"/>
  <c r="C24" i="16"/>
  <c r="C16" i="16"/>
  <c r="C8" i="16"/>
  <c r="B26" i="16"/>
  <c r="B18" i="16"/>
  <c r="B10" i="16"/>
  <c r="C23" i="16"/>
  <c r="C7" i="16"/>
  <c r="C6" i="16"/>
  <c r="C13" i="16"/>
  <c r="B23" i="16"/>
  <c r="B15" i="16"/>
  <c r="B7" i="16"/>
  <c r="C28" i="16"/>
  <c r="C20" i="16"/>
  <c r="C12" i="16"/>
  <c r="C4" i="16"/>
  <c r="C15" i="16"/>
  <c r="B25" i="16"/>
  <c r="B17" i="16"/>
  <c r="B9" i="16"/>
  <c r="C30" i="16"/>
  <c r="C22" i="16"/>
  <c r="C14" i="16"/>
  <c r="B24" i="16"/>
  <c r="B16" i="16"/>
  <c r="B8" i="16"/>
  <c r="C29" i="16"/>
  <c r="C21" i="16"/>
  <c r="C5" i="16"/>
  <c r="B30" i="16"/>
  <c r="B22" i="16"/>
  <c r="B14" i="16"/>
  <c r="B6" i="16"/>
  <c r="C27" i="16"/>
  <c r="C19" i="16"/>
  <c r="C11" i="16"/>
  <c r="A26" i="16"/>
  <c r="A10" i="16"/>
  <c r="A25" i="16"/>
  <c r="A9" i="16"/>
  <c r="A24" i="16"/>
  <c r="A16" i="16"/>
  <c r="A15" i="16"/>
  <c r="A22" i="16"/>
  <c r="A6" i="16"/>
  <c r="A21" i="16"/>
  <c r="A5" i="16"/>
  <c r="A28" i="16"/>
  <c r="A20" i="16"/>
  <c r="A12" i="16"/>
  <c r="A4" i="16"/>
  <c r="A18" i="16"/>
  <c r="A17" i="16"/>
  <c r="A8" i="16"/>
  <c r="A23" i="16"/>
  <c r="A7" i="16"/>
  <c r="A30" i="16"/>
  <c r="A14" i="16"/>
  <c r="A29" i="16"/>
  <c r="A13" i="16"/>
  <c r="A27" i="16"/>
  <c r="A19" i="16"/>
  <c r="A11" i="16"/>
  <c r="E11" i="9"/>
  <c r="K11" i="9" s="1"/>
  <c r="E4" i="9"/>
  <c r="K4" i="9" s="1"/>
  <c r="E12" i="9"/>
  <c r="K12" i="9" s="1"/>
  <c r="E5" i="9"/>
  <c r="K5" i="9" s="1"/>
  <c r="E13" i="9"/>
  <c r="K13" i="9" s="1"/>
  <c r="E6" i="9"/>
  <c r="K6" i="9" s="1"/>
  <c r="E14" i="9"/>
  <c r="K14" i="9" s="1"/>
  <c r="E7" i="9"/>
  <c r="K7" i="9" s="1"/>
  <c r="E15" i="9"/>
  <c r="K15" i="9" s="1"/>
  <c r="E8" i="9"/>
  <c r="K8" i="9" s="1"/>
  <c r="E9" i="9"/>
  <c r="K9" i="9" s="1"/>
  <c r="E10" i="9"/>
  <c r="K10" i="9" s="1"/>
  <c r="F10" i="9"/>
  <c r="F15" i="9"/>
  <c r="F14" i="9"/>
  <c r="F8" i="9"/>
  <c r="F7" i="9"/>
  <c r="F12" i="9"/>
  <c r="F13" i="9"/>
  <c r="F11" i="9"/>
  <c r="F6" i="9"/>
  <c r="F9" i="9"/>
  <c r="F5" i="9"/>
  <c r="J7" i="9" l="1"/>
  <c r="I7" i="9"/>
  <c r="J14" i="9"/>
  <c r="I14" i="9"/>
  <c r="J6" i="9"/>
  <c r="I6" i="9"/>
  <c r="J13" i="9"/>
  <c r="I13" i="9"/>
  <c r="J10" i="9"/>
  <c r="I10" i="9"/>
  <c r="J5" i="9"/>
  <c r="I5" i="9"/>
  <c r="J9" i="9"/>
  <c r="I9" i="9"/>
  <c r="J12" i="9"/>
  <c r="I12" i="9"/>
  <c r="J8" i="9"/>
  <c r="I8" i="9"/>
  <c r="J15" i="9"/>
  <c r="I15" i="9"/>
  <c r="J11" i="9"/>
  <c r="I11" i="9"/>
  <c r="L13" i="9"/>
  <c r="L5" i="9"/>
  <c r="M13" i="9"/>
  <c r="L10" i="9"/>
  <c r="L12" i="9"/>
  <c r="M12" i="9" s="1"/>
  <c r="L6" i="9"/>
  <c r="L11" i="9"/>
  <c r="L9" i="9"/>
  <c r="M6" i="9"/>
  <c r="L14" i="9"/>
  <c r="M11" i="9"/>
  <c r="L15" i="9"/>
  <c r="M5" i="9"/>
  <c r="M9" i="9"/>
  <c r="M14" i="9"/>
  <c r="L7" i="9"/>
  <c r="M7" i="9" s="1"/>
  <c r="M15" i="9"/>
  <c r="L8" i="9"/>
  <c r="M8" i="9" s="1"/>
  <c r="M10" i="9"/>
  <c r="A4" i="4" l="1"/>
  <c r="A10" i="4"/>
  <c r="A5" i="4"/>
  <c r="A11" i="4"/>
  <c r="A9" i="4"/>
  <c r="A14" i="4"/>
  <c r="A13" i="4"/>
  <c r="A8" i="4"/>
  <c r="A12" i="4"/>
  <c r="A7" i="4"/>
  <c r="A6" i="4"/>
  <c r="J12" i="4"/>
  <c r="C10" i="4"/>
  <c r="I5" i="4"/>
  <c r="C6" i="4"/>
  <c r="C9" i="4"/>
  <c r="J13" i="4"/>
  <c r="I8" i="4"/>
  <c r="I12" i="4"/>
  <c r="J10" i="4"/>
  <c r="E5" i="4"/>
  <c r="J11" i="4"/>
  <c r="J9" i="4"/>
  <c r="I13" i="4"/>
  <c r="E8" i="4"/>
  <c r="E12" i="4"/>
  <c r="C7" i="4"/>
  <c r="D5" i="4"/>
  <c r="I11" i="4"/>
  <c r="I9" i="4"/>
  <c r="E13" i="4"/>
  <c r="J4" i="4"/>
  <c r="D12" i="4"/>
  <c r="J7" i="4"/>
  <c r="C5" i="4"/>
  <c r="E11" i="4"/>
  <c r="J14" i="4"/>
  <c r="D13" i="4"/>
  <c r="I4" i="4"/>
  <c r="C12" i="4"/>
  <c r="I7" i="4"/>
  <c r="J6" i="4"/>
  <c r="D11" i="4"/>
  <c r="I14" i="4"/>
  <c r="C13" i="4"/>
  <c r="E4" i="4"/>
  <c r="I10" i="4"/>
  <c r="E7" i="4"/>
  <c r="I6" i="4"/>
  <c r="C11" i="4"/>
  <c r="E14" i="4"/>
  <c r="D8" i="4"/>
  <c r="D4" i="4"/>
  <c r="E10" i="4"/>
  <c r="D7" i="4"/>
  <c r="E6" i="4"/>
  <c r="E9" i="4"/>
  <c r="D14" i="4"/>
  <c r="C8" i="4"/>
  <c r="C4" i="4"/>
  <c r="D10" i="4"/>
  <c r="J5" i="4"/>
  <c r="D6" i="4"/>
  <c r="D9" i="4"/>
  <c r="C14" i="4"/>
  <c r="J8" i="4"/>
  <c r="B8" i="4" l="1"/>
  <c r="B13" i="4"/>
  <c r="B14" i="4"/>
  <c r="B9" i="4"/>
  <c r="B11" i="4"/>
  <c r="B6" i="4"/>
  <c r="B5" i="4"/>
  <c r="B7" i="4"/>
  <c r="B10" i="4"/>
  <c r="B12" i="4"/>
  <c r="B4" i="4"/>
  <c r="J20" i="6" l="1"/>
  <c r="M13" i="11"/>
  <c r="M10" i="11"/>
  <c r="N15" i="11"/>
  <c r="N18" i="11"/>
  <c r="J3" i="16"/>
  <c r="M6" i="11"/>
  <c r="M18" i="11"/>
  <c r="N7" i="11"/>
  <c r="T3" i="16"/>
  <c r="M14" i="11"/>
  <c r="N4" i="11"/>
  <c r="N8" i="11"/>
  <c r="M4" i="11"/>
  <c r="M7" i="11"/>
  <c r="N5" i="11"/>
  <c r="N16" i="11"/>
  <c r="M9" i="11"/>
  <c r="M15" i="11"/>
  <c r="N11" i="11"/>
  <c r="M11" i="11"/>
  <c r="M8" i="11"/>
  <c r="N12" i="11"/>
  <c r="N9" i="11"/>
  <c r="M16" i="11"/>
  <c r="N17" i="11"/>
  <c r="M17" i="11"/>
  <c r="N10" i="11"/>
  <c r="N6" i="11"/>
  <c r="M12" i="11"/>
  <c r="N13" i="11"/>
  <c r="M5" i="11"/>
  <c r="N14" i="11"/>
  <c r="D27" i="6" l="1"/>
  <c r="E27" i="6"/>
  <c r="L18" i="11"/>
  <c r="L17" i="11"/>
  <c r="L16" i="11"/>
  <c r="L15" i="11"/>
  <c r="L14" i="11"/>
  <c r="L13" i="11"/>
  <c r="L12" i="11"/>
  <c r="L11" i="11"/>
  <c r="L10" i="11"/>
  <c r="L9" i="11"/>
  <c r="L8" i="11"/>
  <c r="L7" i="11"/>
  <c r="L6" i="11"/>
  <c r="L5" i="11"/>
  <c r="L4" i="11"/>
  <c r="E4" i="7"/>
  <c r="L18" i="15"/>
  <c r="L17" i="15"/>
  <c r="L16" i="15"/>
  <c r="L15" i="15"/>
  <c r="L14" i="15"/>
  <c r="L13" i="15"/>
  <c r="L12" i="15"/>
  <c r="L11" i="15"/>
  <c r="L10" i="15"/>
  <c r="L9" i="15"/>
  <c r="L8" i="15"/>
  <c r="L7" i="15"/>
  <c r="L6" i="15"/>
  <c r="L5" i="15"/>
  <c r="L4" i="15"/>
  <c r="E16" i="6"/>
  <c r="D16" i="6"/>
  <c r="J19" i="6"/>
  <c r="J18" i="6"/>
  <c r="E20" i="6"/>
  <c r="K4" i="15" l="1"/>
  <c r="K5" i="15"/>
  <c r="K6" i="15"/>
  <c r="K7" i="15"/>
  <c r="K8" i="15"/>
  <c r="K9" i="15"/>
  <c r="K10" i="15"/>
  <c r="K11" i="15"/>
  <c r="K12" i="15"/>
  <c r="K13" i="15"/>
  <c r="K14" i="15"/>
  <c r="K15" i="15"/>
  <c r="K16" i="15"/>
  <c r="K17" i="15"/>
  <c r="K18" i="15"/>
  <c r="N2" i="15"/>
  <c r="K1" i="15"/>
  <c r="N1" i="15" s="1"/>
  <c r="M9" i="15"/>
  <c r="M8" i="15"/>
  <c r="M7" i="15"/>
  <c r="M13" i="15"/>
  <c r="O2" i="15"/>
  <c r="N18" i="15"/>
  <c r="N17" i="15"/>
  <c r="N16" i="15"/>
  <c r="O3" i="15"/>
  <c r="M18" i="15"/>
  <c r="M17" i="15"/>
  <c r="M16" i="15"/>
  <c r="N6" i="15"/>
  <c r="N11" i="15"/>
  <c r="N4" i="15"/>
  <c r="N10" i="15"/>
  <c r="M6" i="15"/>
  <c r="M11" i="15"/>
  <c r="M4" i="15"/>
  <c r="N15" i="15"/>
  <c r="N14" i="15"/>
  <c r="N12" i="15"/>
  <c r="N5" i="15"/>
  <c r="M14" i="15"/>
  <c r="M5" i="15"/>
  <c r="N13" i="15"/>
  <c r="M10" i="15"/>
  <c r="M15" i="15"/>
  <c r="M12" i="15"/>
  <c r="N9" i="15"/>
  <c r="N8" i="15"/>
  <c r="N7" i="15"/>
  <c r="B37" i="4" l="1"/>
  <c r="B33" i="4"/>
  <c r="B32" i="4"/>
  <c r="B44" i="4"/>
  <c r="B36" i="4"/>
  <c r="B41" i="4"/>
  <c r="B39" i="4"/>
  <c r="B38" i="4"/>
  <c r="B43" i="4"/>
  <c r="B35" i="4"/>
  <c r="B34" i="4"/>
  <c r="B40" i="4"/>
  <c r="B31" i="4"/>
  <c r="B42" i="4"/>
  <c r="B30" i="4"/>
  <c r="A38" i="4"/>
  <c r="A43" i="4"/>
  <c r="A42" i="4"/>
  <c r="A40" i="4"/>
  <c r="A39" i="4"/>
  <c r="A37" i="4"/>
  <c r="A36" i="4"/>
  <c r="A35" i="4"/>
  <c r="A34" i="4"/>
  <c r="A41" i="4"/>
  <c r="A32" i="4"/>
  <c r="A31" i="4"/>
  <c r="A44" i="4"/>
  <c r="A33" i="4"/>
  <c r="A30" i="4"/>
  <c r="D20" i="6"/>
  <c r="J36" i="4"/>
  <c r="J38" i="4"/>
  <c r="J43" i="4"/>
  <c r="J41" i="4"/>
  <c r="C41" i="4"/>
  <c r="I41" i="4"/>
  <c r="J37" i="4"/>
  <c r="J33" i="4"/>
  <c r="J30" i="4"/>
  <c r="J35" i="4"/>
  <c r="J34" i="4"/>
  <c r="D36" i="4"/>
  <c r="C44" i="4"/>
  <c r="I37" i="4"/>
  <c r="I43" i="4"/>
  <c r="I33" i="4"/>
  <c r="C43" i="4"/>
  <c r="D34" i="4"/>
  <c r="C30" i="4"/>
  <c r="C42" i="4"/>
  <c r="I35" i="4"/>
  <c r="D32" i="4"/>
  <c r="I32" i="4"/>
  <c r="I39" i="4"/>
  <c r="I31" i="4"/>
  <c r="C39" i="4"/>
  <c r="I42" i="4"/>
  <c r="D38" i="4"/>
  <c r="C40" i="4"/>
  <c r="D33" i="4"/>
  <c r="I34" i="4"/>
  <c r="C35" i="4"/>
  <c r="C38" i="4"/>
  <c r="D31" i="4"/>
  <c r="I40" i="4"/>
  <c r="D44" i="4"/>
  <c r="J44" i="4"/>
  <c r="D35" i="4"/>
  <c r="C34" i="4"/>
  <c r="D41" i="4"/>
  <c r="I38" i="4"/>
  <c r="J40" i="4"/>
  <c r="J39" i="4"/>
  <c r="I30" i="4"/>
  <c r="D40" i="4"/>
  <c r="D42" i="4"/>
  <c r="C31" i="4"/>
  <c r="C32" i="4"/>
  <c r="J32" i="4"/>
  <c r="J31" i="4"/>
  <c r="C37" i="4"/>
  <c r="D39" i="4"/>
  <c r="C33" i="4"/>
  <c r="D30" i="4"/>
  <c r="I44" i="4"/>
  <c r="J42" i="4"/>
  <c r="C36" i="4"/>
  <c r="I36" i="4"/>
  <c r="D43" i="4"/>
  <c r="D37" i="4"/>
  <c r="K1" i="11" l="1"/>
  <c r="N1" i="11" s="1"/>
  <c r="J1" i="9"/>
  <c r="L1" i="9" s="1"/>
  <c r="G4" i="9"/>
  <c r="D1" i="7"/>
  <c r="F1" i="7" l="1"/>
  <c r="F2" i="7"/>
  <c r="I4" i="11" l="1"/>
  <c r="G4" i="11"/>
  <c r="B15" i="4" l="1"/>
  <c r="A15" i="4"/>
  <c r="G5" i="11"/>
  <c r="I5" i="11"/>
  <c r="C15" i="4"/>
  <c r="J15" i="4"/>
  <c r="D15" i="4"/>
  <c r="I15" i="4"/>
  <c r="A16" i="4" l="1"/>
  <c r="B16" i="4"/>
  <c r="G6" i="11"/>
  <c r="I6" i="11"/>
  <c r="G2" i="7"/>
  <c r="O12" i="15"/>
  <c r="O4" i="15"/>
  <c r="O16" i="15"/>
  <c r="O4" i="11"/>
  <c r="O5" i="15"/>
  <c r="O15" i="15"/>
  <c r="I16" i="4"/>
  <c r="C16" i="4"/>
  <c r="D16" i="4"/>
  <c r="O11" i="15"/>
  <c r="O9" i="15"/>
  <c r="O3" i="11"/>
  <c r="O5" i="11"/>
  <c r="J16" i="4"/>
  <c r="O10" i="15"/>
  <c r="A17" i="4" l="1"/>
  <c r="B17" i="4"/>
  <c r="G7" i="11"/>
  <c r="I7" i="11"/>
  <c r="O6" i="15"/>
  <c r="O13" i="15"/>
  <c r="O7" i="15"/>
  <c r="I17" i="4"/>
  <c r="F4" i="9"/>
  <c r="F4" i="7"/>
  <c r="O8" i="15"/>
  <c r="O14" i="15"/>
  <c r="O18" i="15"/>
  <c r="J17" i="4"/>
  <c r="D17" i="4"/>
  <c r="C17" i="4"/>
  <c r="O17" i="15"/>
  <c r="B18" i="4" l="1"/>
  <c r="A18" i="4"/>
  <c r="A2" i="4"/>
  <c r="I4" i="9"/>
  <c r="J4" i="9"/>
  <c r="I8" i="11"/>
  <c r="G8" i="11"/>
  <c r="J18" i="4"/>
  <c r="I18" i="4"/>
  <c r="C18" i="4"/>
  <c r="J2" i="4"/>
  <c r="I2" i="4"/>
  <c r="L4" i="9"/>
  <c r="D2" i="4"/>
  <c r="D18" i="4"/>
  <c r="C2" i="4"/>
  <c r="A19" i="4" l="1"/>
  <c r="B19" i="4"/>
  <c r="A3" i="4"/>
  <c r="B2" i="4"/>
  <c r="G9" i="11"/>
  <c r="I9" i="11"/>
  <c r="J19" i="4"/>
  <c r="C19" i="4"/>
  <c r="D3" i="4"/>
  <c r="J3" i="4"/>
  <c r="C3" i="4"/>
  <c r="E3" i="4"/>
  <c r="D19" i="4"/>
  <c r="I3" i="4"/>
  <c r="I19" i="4"/>
  <c r="B20" i="4" l="1"/>
  <c r="A20" i="4"/>
  <c r="B3" i="4"/>
  <c r="I10" i="11"/>
  <c r="G10" i="11"/>
  <c r="C20" i="4"/>
  <c r="I20" i="4"/>
  <c r="J20" i="4"/>
  <c r="D20" i="4"/>
  <c r="B21" i="4" l="1"/>
  <c r="A21" i="4"/>
  <c r="I11" i="11"/>
  <c r="G11" i="11"/>
  <c r="O6" i="11"/>
  <c r="O9" i="11"/>
  <c r="O8" i="11"/>
  <c r="G4" i="7"/>
  <c r="J21" i="4"/>
  <c r="O7" i="11"/>
  <c r="I21" i="4"/>
  <c r="O10" i="11"/>
  <c r="D21" i="4"/>
  <c r="M4" i="9"/>
  <c r="C21" i="4"/>
  <c r="A22" i="4" l="1"/>
  <c r="B22" i="4"/>
  <c r="G12" i="11"/>
  <c r="I12" i="11"/>
  <c r="O11" i="11"/>
  <c r="J22" i="4"/>
  <c r="D22" i="4"/>
  <c r="C22" i="4"/>
  <c r="I22" i="4"/>
  <c r="A23" i="4" l="1"/>
  <c r="B23" i="4"/>
  <c r="G13" i="11"/>
  <c r="I13" i="11"/>
  <c r="O12" i="11"/>
  <c r="D23" i="4"/>
  <c r="I23" i="4"/>
  <c r="J23" i="4"/>
  <c r="C23" i="4"/>
  <c r="B24" i="4" l="1"/>
  <c r="A24" i="4"/>
  <c r="I14" i="11"/>
  <c r="G14" i="11"/>
  <c r="O13" i="11"/>
  <c r="I24" i="4"/>
  <c r="D24" i="4"/>
  <c r="J24" i="4"/>
  <c r="C24" i="4"/>
  <c r="A25" i="4" l="1"/>
  <c r="B25" i="4"/>
  <c r="G15" i="11"/>
  <c r="I15" i="11"/>
  <c r="O14" i="11"/>
  <c r="D25" i="4"/>
  <c r="C25" i="4"/>
  <c r="I25" i="4"/>
  <c r="J25" i="4"/>
  <c r="A26" i="4" l="1"/>
  <c r="B26" i="4"/>
  <c r="G16" i="11"/>
  <c r="I16" i="11"/>
  <c r="O15" i="11"/>
  <c r="C26" i="4"/>
  <c r="J26" i="4"/>
  <c r="I26" i="4"/>
  <c r="D26" i="4"/>
  <c r="B27" i="4" l="1"/>
  <c r="A27" i="4"/>
  <c r="G17" i="11"/>
  <c r="I17" i="11"/>
  <c r="O16" i="11"/>
  <c r="I27" i="4"/>
  <c r="J27" i="4"/>
  <c r="C27" i="4"/>
  <c r="D27" i="4"/>
  <c r="B28" i="4" l="1"/>
  <c r="A28" i="4"/>
  <c r="G18" i="11"/>
  <c r="I18" i="11"/>
  <c r="O17" i="11"/>
  <c r="O18" i="11"/>
  <c r="I28" i="4"/>
  <c r="C28" i="4"/>
  <c r="J28" i="4"/>
  <c r="D28" i="4"/>
  <c r="B29" i="4" l="1"/>
  <c r="A29" i="4"/>
  <c r="L2" i="9"/>
  <c r="N2" i="11"/>
  <c r="D6" i="6"/>
  <c r="I29" i="4"/>
  <c r="B1" i="6"/>
  <c r="C29" i="4"/>
  <c r="J29" i="4"/>
  <c r="D29" i="4"/>
  <c r="D7" i="6" l="1"/>
  <c r="D9" i="6"/>
  <c r="M28" i="4"/>
  <c r="M17" i="4"/>
  <c r="M27" i="4"/>
  <c r="M25" i="4"/>
  <c r="N15" i="4"/>
  <c r="M22" i="4"/>
  <c r="N23" i="4"/>
  <c r="M15" i="4"/>
  <c r="N18" i="4"/>
  <c r="N25" i="4"/>
  <c r="M16" i="4"/>
  <c r="N17" i="4"/>
  <c r="N21" i="4"/>
  <c r="N16" i="4"/>
  <c r="N29" i="4"/>
  <c r="N26" i="4"/>
  <c r="M19" i="4"/>
  <c r="N28" i="4"/>
  <c r="N19" i="4"/>
  <c r="M23" i="4"/>
  <c r="M21" i="4"/>
  <c r="M18" i="4"/>
  <c r="M26" i="4"/>
  <c r="N27" i="4"/>
  <c r="M29" i="4"/>
  <c r="M20" i="4"/>
  <c r="N22" i="4"/>
  <c r="M24" i="4"/>
  <c r="N24" i="4"/>
  <c r="N20" i="4"/>
  <c r="O2" i="11"/>
  <c r="M2" i="9"/>
  <c r="E2" i="5" l="1" a="1"/>
  <c r="D2" i="5" a="1"/>
  <c r="D95" i="5" l="1"/>
  <c r="D121" i="5"/>
  <c r="D4" i="5"/>
  <c r="D65" i="5"/>
  <c r="D18" i="5"/>
  <c r="D70" i="5"/>
  <c r="D77" i="5"/>
  <c r="D8" i="5"/>
  <c r="D5" i="5"/>
  <c r="D42" i="5"/>
  <c r="D7" i="5"/>
  <c r="D102" i="5"/>
  <c r="D40" i="5"/>
  <c r="D61" i="5"/>
  <c r="D29" i="5"/>
  <c r="D122" i="5"/>
  <c r="D113" i="5"/>
  <c r="D48" i="5"/>
  <c r="D33" i="5"/>
  <c r="D60" i="5"/>
  <c r="D44" i="5"/>
  <c r="D91" i="5"/>
  <c r="D26" i="5"/>
  <c r="D31" i="5"/>
  <c r="D109" i="5"/>
  <c r="D2" i="5"/>
  <c r="D36" i="5"/>
  <c r="D17" i="5"/>
  <c r="D58" i="5"/>
  <c r="D76" i="5"/>
  <c r="D97" i="5"/>
  <c r="D118" i="5"/>
  <c r="D104" i="5"/>
  <c r="D98" i="5"/>
  <c r="D114" i="5"/>
  <c r="D15" i="5"/>
  <c r="D9" i="5"/>
  <c r="D35" i="5"/>
  <c r="D116" i="5"/>
  <c r="D68" i="5"/>
  <c r="D12" i="5"/>
  <c r="D19" i="5"/>
  <c r="D78" i="5"/>
  <c r="D87" i="5"/>
  <c r="D126" i="5"/>
  <c r="D22" i="5"/>
  <c r="D124" i="5"/>
  <c r="D6" i="5"/>
  <c r="D28" i="5"/>
  <c r="D62" i="5"/>
  <c r="D90" i="5"/>
  <c r="D23" i="5"/>
  <c r="D92" i="5"/>
  <c r="D34" i="5"/>
  <c r="D66" i="5"/>
  <c r="D47" i="5"/>
  <c r="D117" i="5"/>
  <c r="D55" i="5"/>
  <c r="D75" i="5"/>
  <c r="D108" i="5"/>
  <c r="D107" i="5"/>
  <c r="D120" i="5"/>
  <c r="D57" i="5"/>
  <c r="D27" i="5"/>
  <c r="D73" i="5"/>
  <c r="D96" i="5"/>
  <c r="D123" i="5"/>
  <c r="D30" i="5"/>
  <c r="D13" i="5"/>
  <c r="D20" i="5"/>
  <c r="D100" i="5"/>
  <c r="D46" i="5"/>
  <c r="D83" i="5"/>
  <c r="D53" i="5"/>
  <c r="D86" i="5"/>
  <c r="D3" i="5"/>
  <c r="D94" i="5"/>
  <c r="D82" i="5"/>
  <c r="D105" i="5"/>
  <c r="D101" i="5"/>
  <c r="D119" i="5"/>
  <c r="D71" i="5"/>
  <c r="D24" i="5"/>
  <c r="D45" i="5"/>
  <c r="D59" i="5"/>
  <c r="D14" i="5"/>
  <c r="D88" i="5"/>
  <c r="D74" i="5"/>
  <c r="D112" i="5"/>
  <c r="D106" i="5"/>
  <c r="D39" i="5"/>
  <c r="D10" i="5"/>
  <c r="D38" i="5"/>
  <c r="D111" i="5"/>
  <c r="D11" i="5"/>
  <c r="D54" i="5"/>
  <c r="D99" i="5"/>
  <c r="D52" i="5"/>
  <c r="D67" i="5"/>
  <c r="D56" i="5"/>
  <c r="D41" i="5"/>
  <c r="D110" i="5"/>
  <c r="D85" i="5"/>
  <c r="D25" i="5"/>
  <c r="D50" i="5"/>
  <c r="D16" i="5"/>
  <c r="D51" i="5"/>
  <c r="D84" i="5"/>
  <c r="D63" i="5"/>
  <c r="D89" i="5"/>
  <c r="D43" i="5"/>
  <c r="D103" i="5"/>
  <c r="D81" i="5"/>
  <c r="D115" i="5"/>
  <c r="D93" i="5"/>
  <c r="D80" i="5"/>
  <c r="D21" i="5"/>
  <c r="D72" i="5"/>
  <c r="D37" i="5"/>
  <c r="D79" i="5"/>
  <c r="D32" i="5"/>
  <c r="D64" i="5"/>
  <c r="D125" i="5"/>
  <c r="D49" i="5"/>
  <c r="D69" i="5"/>
  <c r="E73" i="5"/>
  <c r="E97" i="5"/>
  <c r="E90" i="5"/>
  <c r="E89" i="5"/>
  <c r="E15" i="5"/>
  <c r="E28" i="5"/>
  <c r="E92" i="5"/>
  <c r="E83" i="5"/>
  <c r="E81" i="5"/>
  <c r="E6" i="5"/>
  <c r="E19" i="5"/>
  <c r="E76" i="5"/>
  <c r="E50" i="5"/>
  <c r="E116" i="5"/>
  <c r="E35" i="5"/>
  <c r="E87" i="5"/>
  <c r="E67" i="5"/>
  <c r="E106" i="5"/>
  <c r="E121" i="5"/>
  <c r="E110" i="5"/>
  <c r="E84" i="5"/>
  <c r="E64" i="5"/>
  <c r="E68" i="5"/>
  <c r="E46" i="5"/>
  <c r="E86" i="5"/>
  <c r="E24" i="5"/>
  <c r="E52" i="5"/>
  <c r="E125" i="5"/>
  <c r="E105" i="5"/>
  <c r="E66" i="5"/>
  <c r="E31" i="5"/>
  <c r="E10" i="5"/>
  <c r="E2" i="5"/>
  <c r="E48" i="5"/>
  <c r="E88" i="5"/>
  <c r="E93" i="5"/>
  <c r="E109" i="5"/>
  <c r="E14" i="5"/>
  <c r="E54" i="5"/>
  <c r="E25" i="5"/>
  <c r="E123" i="5"/>
  <c r="E82" i="5"/>
  <c r="E100" i="5"/>
  <c r="E70" i="5"/>
  <c r="E49" i="5"/>
  <c r="E13" i="5"/>
  <c r="E32" i="5"/>
  <c r="E78" i="5"/>
  <c r="E34" i="5"/>
  <c r="E22" i="5"/>
  <c r="E65" i="5"/>
  <c r="E59" i="5"/>
  <c r="E119" i="5"/>
  <c r="E111" i="5"/>
  <c r="E61" i="5"/>
  <c r="E126" i="5"/>
  <c r="E37" i="5"/>
  <c r="E42" i="5"/>
  <c r="E4" i="5"/>
  <c r="E23" i="5"/>
  <c r="E8" i="5"/>
  <c r="E12" i="5"/>
  <c r="E85" i="5"/>
  <c r="E74" i="5"/>
  <c r="E58" i="5"/>
  <c r="E63" i="5"/>
  <c r="E69" i="5"/>
  <c r="E16" i="5"/>
  <c r="E36" i="5"/>
  <c r="E115" i="5"/>
  <c r="E117" i="5"/>
  <c r="E95" i="5"/>
  <c r="E104" i="5"/>
  <c r="E55" i="5"/>
  <c r="E98" i="5"/>
  <c r="E99" i="5"/>
  <c r="E5" i="5"/>
  <c r="E79" i="5"/>
  <c r="E33" i="5"/>
  <c r="E39" i="5"/>
  <c r="E44" i="5"/>
  <c r="E7" i="5"/>
  <c r="E102" i="5"/>
  <c r="E120" i="5"/>
  <c r="E62" i="5"/>
  <c r="E45" i="5"/>
  <c r="E40" i="5"/>
  <c r="E108" i="5"/>
  <c r="E77" i="5"/>
  <c r="E91" i="5"/>
  <c r="E3" i="5"/>
  <c r="E20" i="5"/>
  <c r="E9" i="5"/>
  <c r="E41" i="5"/>
  <c r="E124" i="5"/>
  <c r="E18" i="5"/>
  <c r="E101" i="5"/>
  <c r="E118" i="5"/>
  <c r="E27" i="5"/>
  <c r="E53" i="5"/>
  <c r="E114" i="5"/>
  <c r="E122" i="5"/>
  <c r="E71" i="5"/>
  <c r="E112" i="5"/>
  <c r="E72" i="5"/>
  <c r="E17" i="5"/>
  <c r="E30" i="5"/>
  <c r="E11" i="5"/>
  <c r="E60" i="5"/>
  <c r="E107" i="5"/>
  <c r="E29" i="5"/>
  <c r="E38" i="5"/>
  <c r="E21" i="5"/>
  <c r="E103" i="5"/>
  <c r="E57" i="5"/>
  <c r="E94" i="5"/>
  <c r="E26" i="5"/>
  <c r="E113" i="5"/>
  <c r="E80" i="5"/>
  <c r="E96" i="5"/>
  <c r="E56" i="5"/>
  <c r="E47" i="5"/>
  <c r="E43" i="5"/>
  <c r="E51" i="5"/>
  <c r="E75" i="5"/>
  <c r="J89" i="5"/>
  <c r="L89" i="5"/>
  <c r="K89" i="5"/>
  <c r="I89" i="5"/>
  <c r="H89" i="5"/>
  <c r="F89" i="5"/>
  <c r="F76" i="5"/>
  <c r="K76" i="5"/>
  <c r="H76" i="5"/>
  <c r="I76" i="5"/>
  <c r="L76" i="5"/>
  <c r="J76" i="5"/>
  <c r="K110" i="5"/>
  <c r="L110" i="5"/>
  <c r="J110" i="5"/>
  <c r="I110" i="5"/>
  <c r="F110" i="5"/>
  <c r="H110" i="5"/>
  <c r="I125" i="5"/>
  <c r="J125" i="5"/>
  <c r="L125" i="5"/>
  <c r="K125" i="5"/>
  <c r="F125" i="5"/>
  <c r="H125" i="5"/>
  <c r="K93" i="5"/>
  <c r="F93" i="5"/>
  <c r="L93" i="5"/>
  <c r="J93" i="5"/>
  <c r="I93" i="5"/>
  <c r="H93" i="5"/>
  <c r="K70" i="5"/>
  <c r="L70" i="5"/>
  <c r="I70" i="5"/>
  <c r="H70" i="5"/>
  <c r="F70" i="5"/>
  <c r="J70" i="5"/>
  <c r="J59" i="5"/>
  <c r="H59" i="5"/>
  <c r="L59" i="5"/>
  <c r="K59" i="5"/>
  <c r="I59" i="5"/>
  <c r="F59" i="5"/>
  <c r="I23" i="5"/>
  <c r="K23" i="5"/>
  <c r="J23" i="5"/>
  <c r="L23" i="5"/>
  <c r="F23" i="5"/>
  <c r="H23" i="5"/>
  <c r="F16" i="5"/>
  <c r="I16" i="5"/>
  <c r="K16" i="5"/>
  <c r="H16" i="5"/>
  <c r="J16" i="5"/>
  <c r="L16" i="5"/>
  <c r="I99" i="5"/>
  <c r="L99" i="5"/>
  <c r="K99" i="5"/>
  <c r="F99" i="5"/>
  <c r="J99" i="5"/>
  <c r="H99" i="5"/>
  <c r="H120" i="5"/>
  <c r="F120" i="5"/>
  <c r="J120" i="5"/>
  <c r="K120" i="5"/>
  <c r="L120" i="5"/>
  <c r="I120" i="5"/>
  <c r="L20" i="5"/>
  <c r="H20" i="5"/>
  <c r="J20" i="5"/>
  <c r="I20" i="5"/>
  <c r="K20" i="5"/>
  <c r="F20" i="5"/>
  <c r="K53" i="5"/>
  <c r="H53" i="5"/>
  <c r="F53" i="5"/>
  <c r="J53" i="5"/>
  <c r="I53" i="5"/>
  <c r="L53" i="5"/>
  <c r="L11" i="5"/>
  <c r="H11" i="5"/>
  <c r="F11" i="5"/>
  <c r="J11" i="5"/>
  <c r="I11" i="5"/>
  <c r="K11" i="5"/>
  <c r="K94" i="5"/>
  <c r="L94" i="5"/>
  <c r="F94" i="5"/>
  <c r="J94" i="5"/>
  <c r="I94" i="5"/>
  <c r="H94" i="5"/>
  <c r="I51" i="5"/>
  <c r="H51" i="5"/>
  <c r="K51" i="5"/>
  <c r="L51" i="5"/>
  <c r="F51" i="5"/>
  <c r="J51" i="5"/>
  <c r="J68" i="5"/>
  <c r="L68" i="5"/>
  <c r="K68" i="5"/>
  <c r="H68" i="5"/>
  <c r="I68" i="5"/>
  <c r="F68" i="5"/>
  <c r="I61" i="5"/>
  <c r="J61" i="5"/>
  <c r="H61" i="5"/>
  <c r="K61" i="5"/>
  <c r="F61" i="5"/>
  <c r="L61" i="5"/>
  <c r="K33" i="5"/>
  <c r="L33" i="5"/>
  <c r="J33" i="5"/>
  <c r="H33" i="5"/>
  <c r="F33" i="5"/>
  <c r="I33" i="5"/>
  <c r="H29" i="5"/>
  <c r="I29" i="5"/>
  <c r="F29" i="5"/>
  <c r="K29" i="5"/>
  <c r="L29" i="5"/>
  <c r="J29" i="5"/>
  <c r="K87" i="5"/>
  <c r="J87" i="5"/>
  <c r="F87" i="5"/>
  <c r="H87" i="5"/>
  <c r="I87" i="5"/>
  <c r="L87" i="5"/>
  <c r="K78" i="5"/>
  <c r="H78" i="5"/>
  <c r="I78" i="5"/>
  <c r="J78" i="5"/>
  <c r="L78" i="5"/>
  <c r="F78" i="5"/>
  <c r="I18" i="5"/>
  <c r="F18" i="5"/>
  <c r="J18" i="5"/>
  <c r="L18" i="5"/>
  <c r="K18" i="5"/>
  <c r="H18" i="5"/>
  <c r="H73" i="5"/>
  <c r="F73" i="5"/>
  <c r="K73" i="5"/>
  <c r="J73" i="5"/>
  <c r="L73" i="5"/>
  <c r="I73" i="5"/>
  <c r="L86" i="5"/>
  <c r="J86" i="5"/>
  <c r="K86" i="5"/>
  <c r="F86" i="5"/>
  <c r="H86" i="5"/>
  <c r="I86" i="5"/>
  <c r="I2" i="5"/>
  <c r="K2" i="5"/>
  <c r="F2" i="5"/>
  <c r="H2" i="5"/>
  <c r="L2" i="5"/>
  <c r="J2" i="5"/>
  <c r="J34" i="5"/>
  <c r="I34" i="5"/>
  <c r="K34" i="5"/>
  <c r="H34" i="5"/>
  <c r="F34" i="5"/>
  <c r="L34" i="5"/>
  <c r="J37" i="5"/>
  <c r="L37" i="5"/>
  <c r="I37" i="5"/>
  <c r="K37" i="5"/>
  <c r="F37" i="5"/>
  <c r="H37" i="5"/>
  <c r="L104" i="5"/>
  <c r="F104" i="5"/>
  <c r="H104" i="5"/>
  <c r="J104" i="5"/>
  <c r="I104" i="5"/>
  <c r="K104" i="5"/>
  <c r="F101" i="5"/>
  <c r="L101" i="5"/>
  <c r="I101" i="5"/>
  <c r="H101" i="5"/>
  <c r="K101" i="5"/>
  <c r="J101" i="5"/>
  <c r="F21" i="5"/>
  <c r="I21" i="5"/>
  <c r="J21" i="5"/>
  <c r="K21" i="5"/>
  <c r="L21" i="5"/>
  <c r="H21" i="5"/>
  <c r="H97" i="5"/>
  <c r="F97" i="5"/>
  <c r="L97" i="5"/>
  <c r="K97" i="5"/>
  <c r="J97" i="5"/>
  <c r="I97" i="5"/>
  <c r="F106" i="5"/>
  <c r="K106" i="5"/>
  <c r="I106" i="5"/>
  <c r="J106" i="5"/>
  <c r="H106" i="5"/>
  <c r="L106" i="5"/>
  <c r="F24" i="5"/>
  <c r="L24" i="5"/>
  <c r="K24" i="5"/>
  <c r="I24" i="5"/>
  <c r="J24" i="5"/>
  <c r="H24" i="5"/>
  <c r="I48" i="5"/>
  <c r="F48" i="5"/>
  <c r="J48" i="5"/>
  <c r="H48" i="5"/>
  <c r="L48" i="5"/>
  <c r="K48" i="5"/>
  <c r="F82" i="5"/>
  <c r="J82" i="5"/>
  <c r="H82" i="5"/>
  <c r="L82" i="5"/>
  <c r="K82" i="5"/>
  <c r="I82" i="5"/>
  <c r="H42" i="5"/>
  <c r="J42" i="5"/>
  <c r="I42" i="5"/>
  <c r="L42" i="5"/>
  <c r="F42" i="5"/>
  <c r="K42" i="5"/>
  <c r="K63" i="5"/>
  <c r="J63" i="5"/>
  <c r="I63" i="5"/>
  <c r="F63" i="5"/>
  <c r="H63" i="5"/>
  <c r="L63" i="5"/>
  <c r="H55" i="5"/>
  <c r="L55" i="5"/>
  <c r="J55" i="5"/>
  <c r="F55" i="5"/>
  <c r="K55" i="5"/>
  <c r="I55" i="5"/>
  <c r="L91" i="5"/>
  <c r="K91" i="5"/>
  <c r="H91" i="5"/>
  <c r="J91" i="5"/>
  <c r="F91" i="5"/>
  <c r="I91" i="5"/>
  <c r="K118" i="5"/>
  <c r="J118" i="5"/>
  <c r="F118" i="5"/>
  <c r="L118" i="5"/>
  <c r="I118" i="5"/>
  <c r="H118" i="5"/>
  <c r="F17" i="5"/>
  <c r="I17" i="5"/>
  <c r="J17" i="5"/>
  <c r="L17" i="5"/>
  <c r="K17" i="5"/>
  <c r="H17" i="5"/>
  <c r="I47" i="5"/>
  <c r="H47" i="5"/>
  <c r="J47" i="5"/>
  <c r="L47" i="5"/>
  <c r="K47" i="5"/>
  <c r="F47" i="5"/>
  <c r="L121" i="5"/>
  <c r="K121" i="5"/>
  <c r="H121" i="5"/>
  <c r="F121" i="5"/>
  <c r="J121" i="5"/>
  <c r="I121" i="5"/>
  <c r="F57" i="5"/>
  <c r="I57" i="5"/>
  <c r="K57" i="5"/>
  <c r="L57" i="5"/>
  <c r="H57" i="5"/>
  <c r="J57" i="5"/>
  <c r="L15" i="5"/>
  <c r="K15" i="5"/>
  <c r="I15" i="5"/>
  <c r="J15" i="5"/>
  <c r="H15" i="5"/>
  <c r="F15" i="5"/>
  <c r="K50" i="5"/>
  <c r="F50" i="5"/>
  <c r="I50" i="5"/>
  <c r="L50" i="5"/>
  <c r="J50" i="5"/>
  <c r="H50" i="5"/>
  <c r="L84" i="5"/>
  <c r="K84" i="5"/>
  <c r="I84" i="5"/>
  <c r="F84" i="5"/>
  <c r="H84" i="5"/>
  <c r="J84" i="5"/>
  <c r="L105" i="5"/>
  <c r="F105" i="5"/>
  <c r="I105" i="5"/>
  <c r="K105" i="5"/>
  <c r="J105" i="5"/>
  <c r="H105" i="5"/>
  <c r="J109" i="5"/>
  <c r="F109" i="5"/>
  <c r="K109" i="5"/>
  <c r="H109" i="5"/>
  <c r="L109" i="5"/>
  <c r="I109" i="5"/>
  <c r="K49" i="5"/>
  <c r="L49" i="5"/>
  <c r="H49" i="5"/>
  <c r="J49" i="5"/>
  <c r="F49" i="5"/>
  <c r="I49" i="5"/>
  <c r="H119" i="5"/>
  <c r="J119" i="5"/>
  <c r="I119" i="5"/>
  <c r="L119" i="5"/>
  <c r="F119" i="5"/>
  <c r="K119" i="5"/>
  <c r="F8" i="5"/>
  <c r="J8" i="5"/>
  <c r="L8" i="5"/>
  <c r="H8" i="5"/>
  <c r="K8" i="5"/>
  <c r="I8" i="5"/>
  <c r="H36" i="5"/>
  <c r="L36" i="5"/>
  <c r="K36" i="5"/>
  <c r="J36" i="5"/>
  <c r="I36" i="5"/>
  <c r="F36" i="5"/>
  <c r="K5" i="5"/>
  <c r="J5" i="5"/>
  <c r="L5" i="5"/>
  <c r="F5" i="5"/>
  <c r="I5" i="5"/>
  <c r="H5" i="5"/>
  <c r="J62" i="5"/>
  <c r="I62" i="5"/>
  <c r="L62" i="5"/>
  <c r="K62" i="5"/>
  <c r="F62" i="5"/>
  <c r="H62" i="5"/>
  <c r="K9" i="5"/>
  <c r="L9" i="5"/>
  <c r="F9" i="5"/>
  <c r="I9" i="5"/>
  <c r="H9" i="5"/>
  <c r="J9" i="5"/>
  <c r="I114" i="5"/>
  <c r="L114" i="5"/>
  <c r="K114" i="5"/>
  <c r="J114" i="5"/>
  <c r="F114" i="5"/>
  <c r="H114" i="5"/>
  <c r="I60" i="5"/>
  <c r="H60" i="5"/>
  <c r="K60" i="5"/>
  <c r="L60" i="5"/>
  <c r="F60" i="5"/>
  <c r="J60" i="5"/>
  <c r="K26" i="5"/>
  <c r="I26" i="5"/>
  <c r="L26" i="5"/>
  <c r="J26" i="5"/>
  <c r="H26" i="5"/>
  <c r="F26" i="5"/>
  <c r="J75" i="5"/>
  <c r="I75" i="5"/>
  <c r="F75" i="5"/>
  <c r="K75" i="5"/>
  <c r="H75" i="5"/>
  <c r="L75" i="5"/>
  <c r="L35" i="5"/>
  <c r="H35" i="5"/>
  <c r="I35" i="5"/>
  <c r="J35" i="5"/>
  <c r="K35" i="5"/>
  <c r="F35" i="5"/>
  <c r="I31" i="5"/>
  <c r="H31" i="5"/>
  <c r="L31" i="5"/>
  <c r="K31" i="5"/>
  <c r="J31" i="5"/>
  <c r="F31" i="5"/>
  <c r="H54" i="5"/>
  <c r="F54" i="5"/>
  <c r="K54" i="5"/>
  <c r="I54" i="5"/>
  <c r="L54" i="5"/>
  <c r="J54" i="5"/>
  <c r="I85" i="5"/>
  <c r="H85" i="5"/>
  <c r="K85" i="5"/>
  <c r="L85" i="5"/>
  <c r="J85" i="5"/>
  <c r="F85" i="5"/>
  <c r="L117" i="5"/>
  <c r="K117" i="5"/>
  <c r="F117" i="5"/>
  <c r="J117" i="5"/>
  <c r="H117" i="5"/>
  <c r="I117" i="5"/>
  <c r="J124" i="5"/>
  <c r="L124" i="5"/>
  <c r="I124" i="5"/>
  <c r="K124" i="5"/>
  <c r="F124" i="5"/>
  <c r="H124" i="5"/>
  <c r="F71" i="5"/>
  <c r="H71" i="5"/>
  <c r="L71" i="5"/>
  <c r="I71" i="5"/>
  <c r="J71" i="5"/>
  <c r="K71" i="5"/>
  <c r="I80" i="5"/>
  <c r="H80" i="5"/>
  <c r="F80" i="5"/>
  <c r="L80" i="5"/>
  <c r="J80" i="5"/>
  <c r="K80" i="5"/>
  <c r="H83" i="5"/>
  <c r="J83" i="5"/>
  <c r="K83" i="5"/>
  <c r="L83" i="5"/>
  <c r="I83" i="5"/>
  <c r="F83" i="5"/>
  <c r="L46" i="5"/>
  <c r="J46" i="5"/>
  <c r="I46" i="5"/>
  <c r="F46" i="5"/>
  <c r="K46" i="5"/>
  <c r="H46" i="5"/>
  <c r="J25" i="5"/>
  <c r="I25" i="5"/>
  <c r="L25" i="5"/>
  <c r="H25" i="5"/>
  <c r="F25" i="5"/>
  <c r="K25" i="5"/>
  <c r="I126" i="5"/>
  <c r="J126" i="5"/>
  <c r="F126" i="5"/>
  <c r="K126" i="5"/>
  <c r="H126" i="5"/>
  <c r="L126" i="5"/>
  <c r="F74" i="5"/>
  <c r="L74" i="5"/>
  <c r="I74" i="5"/>
  <c r="J74" i="5"/>
  <c r="H74" i="5"/>
  <c r="K74" i="5"/>
  <c r="I39" i="5"/>
  <c r="F39" i="5"/>
  <c r="H39" i="5"/>
  <c r="J39" i="5"/>
  <c r="L39" i="5"/>
  <c r="K39" i="5"/>
  <c r="H108" i="5"/>
  <c r="K108" i="5"/>
  <c r="J108" i="5"/>
  <c r="F108" i="5"/>
  <c r="L108" i="5"/>
  <c r="I108" i="5"/>
  <c r="I112" i="5"/>
  <c r="F112" i="5"/>
  <c r="K112" i="5"/>
  <c r="L112" i="5"/>
  <c r="H112" i="5"/>
  <c r="J112" i="5"/>
  <c r="H38" i="5"/>
  <c r="I38" i="5"/>
  <c r="L38" i="5"/>
  <c r="F38" i="5"/>
  <c r="J38" i="5"/>
  <c r="K38" i="5"/>
  <c r="F81" i="5"/>
  <c r="I81" i="5"/>
  <c r="K81" i="5"/>
  <c r="H81" i="5"/>
  <c r="J81" i="5"/>
  <c r="L81" i="5"/>
  <c r="L44" i="5"/>
  <c r="H44" i="5"/>
  <c r="F44" i="5"/>
  <c r="J44" i="5"/>
  <c r="I44" i="5"/>
  <c r="K44" i="5"/>
  <c r="I6" i="5"/>
  <c r="J6" i="5"/>
  <c r="F6" i="5"/>
  <c r="L6" i="5"/>
  <c r="K6" i="5"/>
  <c r="H6" i="5"/>
  <c r="L22" i="5"/>
  <c r="K22" i="5"/>
  <c r="F22" i="5"/>
  <c r="H22" i="5"/>
  <c r="I22" i="5"/>
  <c r="J22" i="5"/>
  <c r="J7" i="5"/>
  <c r="H7" i="5"/>
  <c r="F7" i="5"/>
  <c r="I7" i="5"/>
  <c r="L7" i="5"/>
  <c r="K7" i="5"/>
  <c r="K103" i="5"/>
  <c r="I103" i="5"/>
  <c r="F103" i="5"/>
  <c r="L103" i="5"/>
  <c r="H103" i="5"/>
  <c r="J103" i="5"/>
  <c r="J19" i="5"/>
  <c r="K19" i="5"/>
  <c r="L19" i="5"/>
  <c r="H19" i="5"/>
  <c r="I19" i="5"/>
  <c r="F19" i="5"/>
  <c r="L52" i="5"/>
  <c r="J52" i="5"/>
  <c r="H52" i="5"/>
  <c r="F52" i="5"/>
  <c r="K52" i="5"/>
  <c r="I52" i="5"/>
  <c r="H100" i="5"/>
  <c r="F100" i="5"/>
  <c r="J100" i="5"/>
  <c r="L100" i="5"/>
  <c r="K100" i="5"/>
  <c r="I100" i="5"/>
  <c r="H65" i="5"/>
  <c r="F65" i="5"/>
  <c r="I65" i="5"/>
  <c r="L65" i="5"/>
  <c r="J65" i="5"/>
  <c r="K65" i="5"/>
  <c r="I4" i="5"/>
  <c r="F4" i="5"/>
  <c r="H4" i="5"/>
  <c r="K4" i="5"/>
  <c r="L4" i="5"/>
  <c r="J4" i="5"/>
  <c r="I69" i="5"/>
  <c r="J69" i="5"/>
  <c r="H69" i="5"/>
  <c r="K69" i="5"/>
  <c r="L69" i="5"/>
  <c r="F69" i="5"/>
  <c r="J98" i="5"/>
  <c r="F98" i="5"/>
  <c r="H98" i="5"/>
  <c r="L98" i="5"/>
  <c r="I98" i="5"/>
  <c r="K98" i="5"/>
  <c r="H102" i="5"/>
  <c r="F102" i="5"/>
  <c r="K102" i="5"/>
  <c r="L102" i="5"/>
  <c r="J102" i="5"/>
  <c r="I102" i="5"/>
  <c r="H3" i="5"/>
  <c r="J3" i="5"/>
  <c r="F3" i="5"/>
  <c r="K3" i="5"/>
  <c r="I3" i="5"/>
  <c r="L3" i="5"/>
  <c r="I27" i="5"/>
  <c r="F27" i="5"/>
  <c r="J27" i="5"/>
  <c r="L27" i="5"/>
  <c r="H27" i="5"/>
  <c r="K27" i="5"/>
  <c r="H30" i="5"/>
  <c r="K30" i="5"/>
  <c r="J30" i="5"/>
  <c r="I30" i="5"/>
  <c r="L30" i="5"/>
  <c r="F30" i="5"/>
  <c r="J43" i="5"/>
  <c r="I43" i="5"/>
  <c r="F43" i="5"/>
  <c r="H43" i="5"/>
  <c r="L43" i="5"/>
  <c r="K43" i="5"/>
  <c r="H28" i="5"/>
  <c r="K28" i="5"/>
  <c r="I28" i="5"/>
  <c r="J28" i="5"/>
  <c r="F28" i="5"/>
  <c r="L28" i="5"/>
  <c r="I116" i="5"/>
  <c r="H116" i="5"/>
  <c r="J116" i="5"/>
  <c r="K116" i="5"/>
  <c r="L116" i="5"/>
  <c r="F116" i="5"/>
  <c r="F64" i="5"/>
  <c r="I64" i="5"/>
  <c r="L64" i="5"/>
  <c r="J64" i="5"/>
  <c r="H64" i="5"/>
  <c r="K64" i="5"/>
  <c r="H66" i="5"/>
  <c r="J66" i="5"/>
  <c r="L66" i="5"/>
  <c r="F66" i="5"/>
  <c r="I66" i="5"/>
  <c r="K66" i="5"/>
  <c r="F14" i="5"/>
  <c r="J14" i="5"/>
  <c r="K14" i="5"/>
  <c r="H14" i="5"/>
  <c r="I14" i="5"/>
  <c r="L14" i="5"/>
  <c r="K13" i="5"/>
  <c r="I13" i="5"/>
  <c r="J13" i="5"/>
  <c r="F13" i="5"/>
  <c r="L13" i="5"/>
  <c r="H13" i="5"/>
  <c r="I111" i="5"/>
  <c r="L111" i="5"/>
  <c r="K111" i="5"/>
  <c r="F111" i="5"/>
  <c r="J111" i="5"/>
  <c r="H111" i="5"/>
  <c r="I12" i="5"/>
  <c r="H12" i="5"/>
  <c r="F12" i="5"/>
  <c r="L12" i="5"/>
  <c r="K12" i="5"/>
  <c r="J12" i="5"/>
  <c r="I115" i="5"/>
  <c r="H115" i="5"/>
  <c r="F115" i="5"/>
  <c r="K115" i="5"/>
  <c r="L115" i="5"/>
  <c r="J115" i="5"/>
  <c r="J79" i="5"/>
  <c r="I79" i="5"/>
  <c r="L79" i="5"/>
  <c r="F79" i="5"/>
  <c r="H79" i="5"/>
  <c r="K79" i="5"/>
  <c r="L45" i="5"/>
  <c r="H45" i="5"/>
  <c r="I45" i="5"/>
  <c r="F45" i="5"/>
  <c r="J45" i="5"/>
  <c r="K45" i="5"/>
  <c r="H41" i="5"/>
  <c r="I41" i="5"/>
  <c r="L41" i="5"/>
  <c r="J41" i="5"/>
  <c r="F41" i="5"/>
  <c r="K41" i="5"/>
  <c r="K122" i="5"/>
  <c r="H122" i="5"/>
  <c r="J122" i="5"/>
  <c r="F122" i="5"/>
  <c r="L122" i="5"/>
  <c r="I122" i="5"/>
  <c r="F107" i="5"/>
  <c r="H107" i="5"/>
  <c r="L107" i="5"/>
  <c r="J107" i="5"/>
  <c r="I107" i="5"/>
  <c r="K107" i="5"/>
  <c r="H113" i="5"/>
  <c r="I113" i="5"/>
  <c r="F113" i="5"/>
  <c r="L113" i="5"/>
  <c r="J113" i="5"/>
  <c r="K113" i="5"/>
  <c r="F92" i="5"/>
  <c r="L92" i="5"/>
  <c r="K92" i="5"/>
  <c r="H92" i="5"/>
  <c r="I92" i="5"/>
  <c r="J92" i="5"/>
  <c r="J32" i="5"/>
  <c r="L32" i="5"/>
  <c r="K32" i="5"/>
  <c r="I32" i="5"/>
  <c r="H32" i="5"/>
  <c r="F32" i="5"/>
  <c r="L40" i="5"/>
  <c r="F40" i="5"/>
  <c r="J40" i="5"/>
  <c r="K40" i="5"/>
  <c r="I40" i="5"/>
  <c r="H40" i="5"/>
  <c r="H10" i="5"/>
  <c r="K10" i="5"/>
  <c r="J10" i="5"/>
  <c r="F10" i="5"/>
  <c r="I10" i="5"/>
  <c r="L10" i="5"/>
  <c r="F95" i="5"/>
  <c r="I95" i="5"/>
  <c r="J95" i="5"/>
  <c r="L95" i="5"/>
  <c r="H95" i="5"/>
  <c r="K95" i="5"/>
  <c r="J96" i="5"/>
  <c r="I96" i="5"/>
  <c r="H96" i="5"/>
  <c r="F96" i="5"/>
  <c r="L96" i="5"/>
  <c r="K96" i="5"/>
  <c r="F67" i="5"/>
  <c r="K67" i="5"/>
  <c r="H67" i="5"/>
  <c r="I67" i="5"/>
  <c r="J67" i="5"/>
  <c r="L67" i="5"/>
  <c r="I123" i="5"/>
  <c r="H123" i="5"/>
  <c r="L123" i="5"/>
  <c r="F123" i="5"/>
  <c r="J123" i="5"/>
  <c r="K123" i="5"/>
  <c r="K58" i="5"/>
  <c r="I58" i="5"/>
  <c r="F58" i="5"/>
  <c r="L58" i="5"/>
  <c r="H58" i="5"/>
  <c r="J58" i="5"/>
  <c r="F77" i="5"/>
  <c r="L77" i="5"/>
  <c r="J77" i="5"/>
  <c r="H77" i="5"/>
  <c r="K77" i="5"/>
  <c r="I77" i="5"/>
  <c r="K72" i="5"/>
  <c r="H72" i="5"/>
  <c r="I72" i="5"/>
  <c r="F72" i="5"/>
  <c r="L72" i="5"/>
  <c r="J72" i="5"/>
  <c r="J56" i="5"/>
  <c r="I56" i="5"/>
  <c r="K56" i="5"/>
  <c r="H56" i="5"/>
  <c r="F56" i="5"/>
  <c r="L56" i="5"/>
  <c r="H90" i="5"/>
  <c r="K90" i="5"/>
  <c r="I90" i="5"/>
  <c r="J90" i="5"/>
  <c r="F90" i="5"/>
  <c r="L90" i="5"/>
  <c r="F88" i="5"/>
  <c r="J88" i="5"/>
  <c r="L88" i="5"/>
  <c r="H88" i="5"/>
  <c r="K88" i="5"/>
  <c r="I88" i="5"/>
  <c r="F11" i="16" l="1"/>
  <c r="D11" i="16"/>
  <c r="E11" i="16" s="1"/>
  <c r="F13" i="16"/>
  <c r="D13" i="16"/>
  <c r="E13" i="16" s="1"/>
  <c r="D14" i="16"/>
  <c r="E14" i="16" s="1"/>
  <c r="F14" i="16"/>
  <c r="F15" i="16"/>
  <c r="D15" i="16"/>
  <c r="E15" i="16" s="1"/>
  <c r="F29" i="16"/>
  <c r="D29" i="16"/>
  <c r="E29" i="16" s="1"/>
  <c r="D28" i="16"/>
  <c r="E28" i="16" s="1"/>
  <c r="F28" i="16"/>
  <c r="F4" i="16"/>
  <c r="D4" i="16"/>
  <c r="E4" i="16" s="1"/>
  <c r="F5" i="16"/>
  <c r="D5" i="16"/>
  <c r="E5" i="16" s="1"/>
  <c r="D20" i="16"/>
  <c r="E20" i="16" s="1"/>
  <c r="F20" i="16"/>
  <c r="F8" i="16"/>
  <c r="D8" i="16"/>
  <c r="E8" i="16" s="1"/>
  <c r="D23" i="16"/>
  <c r="E23" i="16" s="1"/>
  <c r="F23" i="16"/>
  <c r="D7" i="16"/>
  <c r="E7" i="16" s="1"/>
  <c r="F7" i="16"/>
  <c r="D26" i="16"/>
  <c r="E26" i="16" s="1"/>
  <c r="F26" i="16"/>
  <c r="D27" i="16"/>
  <c r="E27" i="16" s="1"/>
  <c r="F27" i="16"/>
  <c r="D10" i="16"/>
  <c r="E10" i="16" s="1"/>
  <c r="F10" i="16"/>
  <c r="D6" i="16"/>
  <c r="E6" i="16" s="1"/>
  <c r="F6" i="16"/>
  <c r="D9" i="16"/>
  <c r="E9" i="16" s="1"/>
  <c r="F9" i="16"/>
  <c r="D16" i="16"/>
  <c r="E16" i="16" s="1"/>
  <c r="F16" i="16"/>
  <c r="D18" i="16"/>
  <c r="E18" i="16" s="1"/>
  <c r="F18" i="16"/>
  <c r="D25" i="16"/>
  <c r="E25" i="16" s="1"/>
  <c r="F25" i="16"/>
  <c r="D22" i="16"/>
  <c r="E22" i="16" s="1"/>
  <c r="F22" i="16"/>
  <c r="F3" i="16"/>
  <c r="D3" i="16"/>
  <c r="E3" i="16" s="1"/>
  <c r="D19" i="16"/>
  <c r="E19" i="16" s="1"/>
  <c r="F19" i="16"/>
  <c r="F30" i="16"/>
  <c r="D30" i="16"/>
  <c r="E30" i="16" s="1"/>
  <c r="D12" i="16"/>
  <c r="E12" i="16" s="1"/>
  <c r="F12" i="16"/>
  <c r="D21" i="16"/>
  <c r="E21" i="16" s="1"/>
  <c r="F21" i="16"/>
  <c r="F17" i="16"/>
  <c r="D17" i="16"/>
  <c r="E17" i="16" s="1"/>
  <c r="D24" i="16"/>
  <c r="E24" i="16" s="1"/>
  <c r="F24" i="16"/>
  <c r="G88" i="5"/>
  <c r="G96" i="5"/>
  <c r="G113" i="5"/>
  <c r="G12" i="5"/>
  <c r="G14" i="5"/>
  <c r="G30" i="5"/>
  <c r="G98" i="5"/>
  <c r="G19" i="5"/>
  <c r="G22" i="5"/>
  <c r="G112" i="5"/>
  <c r="G46" i="5"/>
  <c r="G31" i="5"/>
  <c r="G9" i="5"/>
  <c r="G8" i="5"/>
  <c r="G50" i="5"/>
  <c r="G48" i="5"/>
  <c r="G86" i="5"/>
  <c r="G29" i="5"/>
  <c r="G93" i="5"/>
  <c r="G90" i="5"/>
  <c r="G95" i="5"/>
  <c r="G107" i="5"/>
  <c r="G66" i="5"/>
  <c r="G69" i="5"/>
  <c r="G108" i="5"/>
  <c r="G83" i="5"/>
  <c r="G35" i="5"/>
  <c r="G15" i="5"/>
  <c r="G24" i="5"/>
  <c r="G101" i="5"/>
  <c r="G73" i="5"/>
  <c r="G125" i="5"/>
  <c r="G56" i="5"/>
  <c r="G122" i="5"/>
  <c r="G111" i="5"/>
  <c r="G64" i="5"/>
  <c r="G27" i="5"/>
  <c r="G39" i="5"/>
  <c r="G80" i="5"/>
  <c r="G75" i="5"/>
  <c r="G118" i="5"/>
  <c r="G104" i="5"/>
  <c r="G18" i="5"/>
  <c r="G33" i="5"/>
  <c r="G53" i="5"/>
  <c r="G16" i="5"/>
  <c r="G110" i="5"/>
  <c r="G72" i="5"/>
  <c r="G10" i="5"/>
  <c r="G41" i="5"/>
  <c r="G116" i="5"/>
  <c r="G4" i="5"/>
  <c r="G103" i="5"/>
  <c r="G6" i="5"/>
  <c r="G74" i="5"/>
  <c r="G71" i="5"/>
  <c r="G62" i="5"/>
  <c r="G119" i="5"/>
  <c r="G91" i="5"/>
  <c r="G37" i="5"/>
  <c r="G61" i="5"/>
  <c r="G23" i="5"/>
  <c r="G76" i="5"/>
  <c r="G45" i="5"/>
  <c r="G13" i="5"/>
  <c r="G126" i="5"/>
  <c r="G26" i="5"/>
  <c r="G49" i="5"/>
  <c r="G55" i="5"/>
  <c r="G34" i="5"/>
  <c r="G68" i="5"/>
  <c r="G58" i="5"/>
  <c r="G79" i="5"/>
  <c r="G65" i="5"/>
  <c r="G44" i="5"/>
  <c r="G117" i="5"/>
  <c r="G121" i="5"/>
  <c r="G97" i="5"/>
  <c r="G51" i="5"/>
  <c r="G123" i="5"/>
  <c r="G115" i="5"/>
  <c r="G28" i="5"/>
  <c r="G100" i="5"/>
  <c r="G81" i="5"/>
  <c r="G85" i="5"/>
  <c r="G47" i="5"/>
  <c r="G21" i="5"/>
  <c r="G87" i="5"/>
  <c r="G120" i="5"/>
  <c r="G67" i="5"/>
  <c r="G102" i="5"/>
  <c r="G52" i="5"/>
  <c r="G38" i="5"/>
  <c r="G114" i="5"/>
  <c r="G84" i="5"/>
  <c r="G82" i="5"/>
  <c r="G99" i="5"/>
  <c r="G77" i="5"/>
  <c r="G124" i="5"/>
  <c r="G5" i="5"/>
  <c r="G57" i="5"/>
  <c r="G106" i="5"/>
  <c r="G20" i="5"/>
  <c r="G89" i="5"/>
  <c r="G40" i="5"/>
  <c r="G25" i="5"/>
  <c r="G109" i="5"/>
  <c r="G63" i="5"/>
  <c r="G78" i="5"/>
  <c r="G32" i="5"/>
  <c r="G3" i="5"/>
  <c r="G7" i="5"/>
  <c r="G60" i="5"/>
  <c r="G105" i="5"/>
  <c r="G42" i="5"/>
  <c r="G94" i="5"/>
  <c r="G59" i="5"/>
  <c r="G92" i="5"/>
  <c r="G43" i="5"/>
  <c r="G54" i="5"/>
  <c r="G36" i="5"/>
  <c r="G17" i="5"/>
  <c r="G2" i="5"/>
  <c r="G11" i="5"/>
  <c r="G70" i="5"/>
  <c r="C25" i="6" l="1"/>
  <c r="E14" i="6"/>
  <c r="Y5" i="16"/>
  <c r="Z5" i="16"/>
  <c r="Y10" i="16"/>
  <c r="Z10" i="16"/>
  <c r="V17" i="16"/>
  <c r="W17" i="16"/>
  <c r="V11" i="16"/>
  <c r="W11" i="16"/>
  <c r="Y27" i="16"/>
  <c r="Z27" i="16"/>
  <c r="Y28" i="16"/>
  <c r="Z28" i="16"/>
  <c r="Y30" i="16"/>
  <c r="Z30" i="16"/>
  <c r="V24" i="16"/>
  <c r="W24" i="16"/>
  <c r="Y20" i="16"/>
  <c r="Z20" i="16"/>
  <c r="Y19" i="16"/>
  <c r="Z19" i="16"/>
  <c r="V30" i="16"/>
  <c r="W30" i="16"/>
  <c r="V9" i="16"/>
  <c r="W9" i="16"/>
  <c r="V4" i="16"/>
  <c r="W4" i="16"/>
  <c r="Y3" i="16"/>
  <c r="Z3" i="16"/>
  <c r="Y22" i="16"/>
  <c r="Z22" i="16"/>
  <c r="V6" i="16"/>
  <c r="W6" i="16"/>
  <c r="V13" i="16"/>
  <c r="W13" i="16"/>
  <c r="V22" i="16"/>
  <c r="W22" i="16"/>
  <c r="Y7" i="16"/>
  <c r="Z7" i="16"/>
  <c r="Y29" i="16"/>
  <c r="Z29" i="16"/>
  <c r="V26" i="16"/>
  <c r="W26" i="16"/>
  <c r="Y14" i="16"/>
  <c r="Z14" i="16"/>
  <c r="Y15" i="16"/>
  <c r="Z15" i="16"/>
  <c r="V5" i="16"/>
  <c r="W5" i="16"/>
  <c r="V28" i="16"/>
  <c r="W28" i="16"/>
  <c r="V23" i="16"/>
  <c r="W23" i="16"/>
  <c r="Y16" i="16"/>
  <c r="Z16" i="16"/>
  <c r="Y6" i="16"/>
  <c r="Z6" i="16"/>
  <c r="Y24" i="16"/>
  <c r="Z24" i="16"/>
  <c r="Y12" i="16"/>
  <c r="Z12" i="16"/>
  <c r="Y26" i="16"/>
  <c r="Z26" i="16"/>
  <c r="V29" i="16"/>
  <c r="W29" i="16"/>
  <c r="V18" i="16"/>
  <c r="W18" i="16"/>
  <c r="Y4" i="16"/>
  <c r="Z4" i="16"/>
  <c r="V15" i="16"/>
  <c r="W15" i="16"/>
  <c r="V19" i="16"/>
  <c r="W19" i="16"/>
  <c r="V27" i="16"/>
  <c r="W27" i="16"/>
  <c r="Y18" i="16"/>
  <c r="Z18" i="16"/>
  <c r="Y11" i="16"/>
  <c r="Z11" i="16"/>
  <c r="Y8" i="16"/>
  <c r="Z8" i="16"/>
  <c r="Y23" i="16"/>
  <c r="Z23" i="16"/>
  <c r="V7" i="16"/>
  <c r="W7" i="16"/>
  <c r="V14" i="16"/>
  <c r="W14" i="16"/>
  <c r="V16" i="16"/>
  <c r="W16" i="16"/>
  <c r="Y21" i="16"/>
  <c r="Z21" i="16"/>
  <c r="Y25" i="16"/>
  <c r="Z25" i="16"/>
  <c r="V8" i="16"/>
  <c r="W8" i="16"/>
  <c r="V20" i="16"/>
  <c r="W20" i="16"/>
  <c r="V21" i="16"/>
  <c r="W21" i="16"/>
  <c r="V10" i="16"/>
  <c r="W10" i="16"/>
  <c r="V25" i="16"/>
  <c r="W25" i="16"/>
  <c r="Y13" i="16"/>
  <c r="Z13" i="16"/>
  <c r="Y9" i="16"/>
  <c r="Z9" i="16"/>
  <c r="Y17" i="16"/>
  <c r="Z17" i="16"/>
  <c r="V12" i="16"/>
  <c r="W12" i="16"/>
  <c r="V3" i="16"/>
  <c r="W3" i="16"/>
  <c r="E28" i="6"/>
  <c r="D14" i="6"/>
  <c r="L9" i="16"/>
  <c r="M9" i="16"/>
  <c r="O17" i="16"/>
  <c r="P17" i="16"/>
  <c r="L21" i="16"/>
  <c r="M21" i="16"/>
  <c r="O26" i="16"/>
  <c r="P26" i="16"/>
  <c r="L30" i="16"/>
  <c r="M30" i="16"/>
  <c r="O19" i="16"/>
  <c r="P19" i="16"/>
  <c r="L7" i="16"/>
  <c r="M7" i="16"/>
  <c r="L18" i="16"/>
  <c r="M18" i="16"/>
  <c r="L8" i="16"/>
  <c r="M8" i="16"/>
  <c r="L27" i="16"/>
  <c r="M27" i="16"/>
  <c r="O12" i="16"/>
  <c r="P12" i="16"/>
  <c r="O10" i="16"/>
  <c r="P10" i="16"/>
  <c r="L26" i="16"/>
  <c r="M26" i="16"/>
  <c r="O21" i="16"/>
  <c r="P21" i="16"/>
  <c r="L12" i="16"/>
  <c r="M12" i="16"/>
  <c r="O27" i="16"/>
  <c r="P27" i="16"/>
  <c r="O28" i="16"/>
  <c r="P28" i="16"/>
  <c r="O18" i="16"/>
  <c r="P18" i="16"/>
  <c r="O30" i="16"/>
  <c r="P30" i="16"/>
  <c r="O29" i="16"/>
  <c r="P29" i="16"/>
  <c r="O11" i="16"/>
  <c r="P11" i="16"/>
  <c r="O20" i="16"/>
  <c r="P20" i="16"/>
  <c r="L13" i="16"/>
  <c r="M13" i="16"/>
  <c r="O5" i="16"/>
  <c r="P5" i="16"/>
  <c r="O15" i="16"/>
  <c r="P15" i="16"/>
  <c r="O25" i="16"/>
  <c r="P25" i="16"/>
  <c r="L10" i="16"/>
  <c r="M10" i="16"/>
  <c r="L28" i="16"/>
  <c r="M28" i="16"/>
  <c r="O9" i="16"/>
  <c r="P9" i="16"/>
  <c r="L29" i="16"/>
  <c r="M29" i="16"/>
  <c r="L4" i="16"/>
  <c r="L20" i="16"/>
  <c r="M4" i="16" l="1"/>
  <c r="M20" i="16"/>
  <c r="L11" i="16"/>
  <c r="M11" i="16"/>
  <c r="O3" i="16"/>
  <c r="P3" i="16"/>
  <c r="L14" i="16"/>
  <c r="M14" i="16"/>
  <c r="L5" i="16"/>
  <c r="M5" i="16"/>
  <c r="L23" i="16"/>
  <c r="M23" i="16"/>
  <c r="L6" i="16"/>
  <c r="M6" i="16"/>
  <c r="L24" i="16"/>
  <c r="M24" i="16"/>
  <c r="L22" i="16"/>
  <c r="M22" i="16"/>
  <c r="L16" i="16"/>
  <c r="M16" i="16"/>
  <c r="O14" i="16"/>
  <c r="P14" i="16"/>
  <c r="L15" i="16"/>
  <c r="M15" i="16"/>
  <c r="L17" i="16"/>
  <c r="M17" i="16"/>
  <c r="O4" i="16"/>
  <c r="P4" i="16"/>
  <c r="L19" i="16"/>
  <c r="M19" i="16"/>
  <c r="O6" i="16"/>
  <c r="P6" i="16"/>
  <c r="O22" i="16"/>
  <c r="P22" i="16"/>
  <c r="O23" i="16"/>
  <c r="P23" i="16"/>
  <c r="O16" i="16"/>
  <c r="P16" i="16"/>
  <c r="O24" i="16"/>
  <c r="P24" i="16"/>
  <c r="O13" i="16"/>
  <c r="P13" i="16"/>
  <c r="O8" i="16"/>
  <c r="P8" i="16"/>
  <c r="O7" i="16"/>
  <c r="P7" i="16"/>
  <c r="L25" i="16"/>
  <c r="M25" i="16"/>
  <c r="C24" i="6"/>
  <c r="D28" i="6"/>
  <c r="N1" i="5" a="1"/>
  <c r="N26" i="5"/>
  <c r="N21" i="5"/>
  <c r="N102" i="5"/>
  <c r="N79" i="5"/>
  <c r="N77" i="5"/>
  <c r="N20" i="5"/>
  <c r="N86" i="5"/>
  <c r="N14" i="5"/>
  <c r="N59" i="5"/>
  <c r="N25" i="5"/>
  <c r="N11" i="5"/>
  <c r="N32" i="5"/>
  <c r="N69" i="5"/>
  <c r="N116" i="5"/>
  <c r="N39" i="5"/>
  <c r="N3" i="5"/>
  <c r="N1" i="5"/>
  <c r="E26" i="6"/>
  <c r="N109" i="5"/>
  <c r="N23" i="5"/>
  <c r="N118" i="5"/>
  <c r="N16" i="5"/>
  <c r="N61" i="5"/>
  <c r="N121" i="5"/>
  <c r="N108" i="5"/>
  <c r="N17" i="5"/>
  <c r="N56" i="5"/>
  <c r="N10" i="5"/>
  <c r="N124" i="5"/>
  <c r="N100" i="5"/>
  <c r="N53" i="5"/>
  <c r="N9" i="5"/>
  <c r="N94" i="5"/>
  <c r="N12" i="5"/>
  <c r="N40" i="5"/>
  <c r="N83" i="5"/>
  <c r="N2" i="5"/>
  <c r="N115" i="5"/>
  <c r="N44" i="5"/>
  <c r="N103" i="5"/>
  <c r="N105" i="5"/>
  <c r="N112" i="5"/>
  <c r="N117" i="5"/>
  <c r="N60" i="5"/>
  <c r="N90" i="5"/>
  <c r="N70" i="5"/>
  <c r="N8" i="5"/>
  <c r="N45" i="5"/>
  <c r="N81" i="5"/>
  <c r="N68" i="5"/>
  <c r="N55" i="5"/>
  <c r="N101" i="5"/>
  <c r="N99" i="5"/>
  <c r="N15" i="5"/>
  <c r="N34" i="5"/>
  <c r="N74" i="5"/>
  <c r="N93" i="5"/>
  <c r="N85" i="5"/>
  <c r="N104" i="5"/>
  <c r="N38" i="5"/>
  <c r="N87" i="5"/>
  <c r="N126" i="5"/>
  <c r="N65" i="5"/>
  <c r="N52" i="5"/>
  <c r="N28" i="5"/>
  <c r="N41" i="5"/>
  <c r="N46" i="5"/>
  <c r="N18" i="5"/>
  <c r="N122" i="5"/>
  <c r="N37" i="5"/>
  <c r="N13" i="5"/>
  <c r="N91" i="5"/>
  <c r="N19" i="5"/>
  <c r="N47" i="5"/>
  <c r="N95" i="5"/>
  <c r="N31" i="5"/>
  <c r="N29" i="5"/>
  <c r="N67" i="5"/>
  <c r="N66" i="5"/>
  <c r="N30" i="5"/>
  <c r="N64" i="5"/>
  <c r="N123" i="5"/>
  <c r="N97" i="5"/>
  <c r="N49" i="5"/>
  <c r="N22" i="5"/>
  <c r="N113" i="5"/>
  <c r="N62" i="5"/>
  <c r="N125" i="5"/>
  <c r="N63" i="5"/>
  <c r="N111" i="5"/>
  <c r="N114" i="5"/>
  <c r="N71" i="5"/>
  <c r="N54" i="5"/>
  <c r="N98" i="5"/>
  <c r="N106" i="5"/>
  <c r="N96" i="5"/>
  <c r="N27" i="5"/>
  <c r="N73" i="5"/>
  <c r="N78" i="5"/>
  <c r="N51" i="5"/>
  <c r="N120" i="5"/>
  <c r="N35" i="5"/>
  <c r="N57" i="5"/>
  <c r="N72" i="5"/>
  <c r="N58" i="5"/>
  <c r="N92" i="5"/>
  <c r="N36" i="5"/>
  <c r="N76" i="5"/>
  <c r="N110" i="5"/>
  <c r="N82" i="5"/>
  <c r="N24" i="5"/>
  <c r="N6" i="5"/>
  <c r="N4" i="5"/>
  <c r="N88" i="5"/>
  <c r="N89" i="5"/>
  <c r="N33" i="5"/>
  <c r="N119" i="5"/>
  <c r="N42" i="5"/>
  <c r="N84" i="5"/>
  <c r="N107" i="5"/>
  <c r="N80" i="5"/>
  <c r="N43" i="5"/>
  <c r="N7" i="5"/>
  <c r="N5" i="5"/>
  <c r="N50" i="5"/>
  <c r="N75" i="5"/>
  <c r="N48" i="5"/>
  <c r="M1" i="5" a="1"/>
  <c r="M81" i="5"/>
  <c r="M80" i="5"/>
  <c r="M33" i="5"/>
  <c r="M15" i="5"/>
  <c r="M82" i="5"/>
  <c r="M31" i="5"/>
  <c r="M96" i="5"/>
  <c r="M62" i="5"/>
  <c r="M25" i="5"/>
  <c r="M42" i="5"/>
  <c r="M44" i="5"/>
  <c r="M95" i="5"/>
  <c r="M11" i="5"/>
  <c r="M123" i="5"/>
  <c r="M46" i="5"/>
  <c r="M70" i="5"/>
  <c r="M71" i="5"/>
  <c r="M18" i="5"/>
  <c r="M84" i="5"/>
  <c r="M6" i="5"/>
  <c r="M49" i="5"/>
  <c r="M89" i="5"/>
  <c r="M52" i="5"/>
  <c r="M115" i="5"/>
  <c r="M64" i="5"/>
  <c r="M107" i="5"/>
  <c r="M61" i="5"/>
  <c r="M102" i="5"/>
  <c r="M98" i="5"/>
  <c r="M36" i="5"/>
  <c r="M68" i="5"/>
  <c r="M93" i="5"/>
  <c r="M22" i="5"/>
  <c r="M103" i="5"/>
  <c r="M100" i="5"/>
  <c r="M16" i="5"/>
  <c r="M14" i="5"/>
  <c r="M30" i="5"/>
  <c r="M79" i="5"/>
  <c r="M92" i="5"/>
  <c r="M117" i="5"/>
  <c r="M23" i="5"/>
  <c r="M72" i="5"/>
  <c r="M83" i="5"/>
  <c r="M110" i="5"/>
  <c r="M20" i="5"/>
  <c r="M59" i="5"/>
  <c r="M4" i="5"/>
  <c r="M74" i="5"/>
  <c r="M104" i="5"/>
  <c r="M111" i="5"/>
  <c r="M112" i="5"/>
  <c r="M17" i="5"/>
  <c r="M53" i="5"/>
  <c r="M99" i="5"/>
  <c r="M114" i="5"/>
  <c r="M38" i="5"/>
  <c r="M106" i="5"/>
  <c r="M1" i="5"/>
  <c r="M67" i="5"/>
  <c r="M3" i="5"/>
  <c r="M35" i="5"/>
  <c r="M32" i="5"/>
  <c r="M75" i="5"/>
  <c r="M21" i="5"/>
  <c r="M121" i="5"/>
  <c r="M94" i="5"/>
  <c r="M85" i="5"/>
  <c r="M113" i="5"/>
  <c r="M8" i="5"/>
  <c r="M66" i="5"/>
  <c r="M48" i="5"/>
  <c r="M87" i="5"/>
  <c r="M13" i="5"/>
  <c r="M109" i="5"/>
  <c r="M12" i="5"/>
  <c r="M124" i="5"/>
  <c r="M51" i="5"/>
  <c r="M19" i="5"/>
  <c r="M43" i="5"/>
  <c r="M7" i="5"/>
  <c r="M120" i="5"/>
  <c r="M39" i="5"/>
  <c r="M77" i="5"/>
  <c r="M90" i="5"/>
  <c r="M86" i="5"/>
  <c r="M58" i="5"/>
  <c r="M41" i="5"/>
  <c r="M73" i="5"/>
  <c r="M126" i="5"/>
  <c r="M65" i="5"/>
  <c r="M37" i="5"/>
  <c r="M119" i="5"/>
  <c r="M27" i="5"/>
  <c r="M55" i="5"/>
  <c r="M29" i="5"/>
  <c r="M26" i="5"/>
  <c r="M91" i="5"/>
  <c r="M2" i="5"/>
  <c r="M57" i="5"/>
  <c r="M28" i="5"/>
  <c r="M45" i="5"/>
  <c r="M24" i="5"/>
  <c r="M50" i="5"/>
  <c r="M47" i="5"/>
  <c r="M105" i="5"/>
  <c r="M10" i="5"/>
  <c r="M118" i="5"/>
  <c r="M34" i="5"/>
  <c r="M63" i="5"/>
  <c r="M125" i="5"/>
  <c r="M116" i="5"/>
  <c r="M69" i="5"/>
  <c r="M5" i="5"/>
  <c r="M108" i="5"/>
  <c r="M56" i="5"/>
  <c r="M101" i="5"/>
  <c r="M76" i="5"/>
  <c r="M78" i="5"/>
  <c r="M54" i="5"/>
  <c r="M88" i="5"/>
  <c r="M9" i="5"/>
  <c r="M97" i="5"/>
  <c r="M60" i="5"/>
  <c r="M122" i="5"/>
  <c r="M40" i="5"/>
  <c r="D15" i="6"/>
  <c r="D26" i="6"/>
  <c r="E24" i="6"/>
  <c r="D24" i="6"/>
  <c r="L3" i="16"/>
  <c r="M3" i="16"/>
  <c r="D25" i="6"/>
  <c r="E25" i="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<sst xmlns="http://schemas.openxmlformats.org/spreadsheetml/2006/main" count="404" uniqueCount="125">
  <si>
    <t>60Y</t>
  </si>
  <si>
    <t>50Y</t>
  </si>
  <si>
    <t>40Y</t>
  </si>
  <si>
    <t>30Y</t>
  </si>
  <si>
    <t>25Y</t>
  </si>
  <si>
    <t>20Y</t>
  </si>
  <si>
    <t>15Y</t>
  </si>
  <si>
    <t>12Y</t>
  </si>
  <si>
    <t>10Y</t>
  </si>
  <si>
    <t>9Y</t>
  </si>
  <si>
    <t>8Y</t>
  </si>
  <si>
    <t>7Y</t>
  </si>
  <si>
    <t>6Y</t>
  </si>
  <si>
    <t>5Y</t>
  </si>
  <si>
    <t>4Y</t>
  </si>
  <si>
    <t>Earliest Date</t>
  </si>
  <si>
    <t>Min Distance</t>
  </si>
  <si>
    <t>Priority</t>
  </si>
  <si>
    <t>Include Flag</t>
  </si>
  <si>
    <t>Conv. Adj. / Spread</t>
  </si>
  <si>
    <t>Quote Value</t>
  </si>
  <si>
    <t>Error</t>
  </si>
  <si>
    <t>AllDepos</t>
  </si>
  <si>
    <t>DepoFuturesPriority</t>
  </si>
  <si>
    <t>FrontFuturesRollingDays</t>
  </si>
  <si>
    <t>nSerialFutures</t>
  </si>
  <si>
    <t>nIMMFutures</t>
  </si>
  <si>
    <t>Rate</t>
  </si>
  <si>
    <t>Rate Helpers Selected</t>
  </si>
  <si>
    <t>Rate Helpers Selection</t>
  </si>
  <si>
    <t>InterpolatorID</t>
  </si>
  <si>
    <t>Discount</t>
  </si>
  <si>
    <t>TraitsID</t>
  </si>
  <si>
    <t>Accuracy</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</si>
  <si>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</si>
  <si>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</si>
  <si>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</si>
  <si>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</si>
  <si>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</si>
  <si>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</si>
  <si>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</si>
  <si>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</si>
  <si>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</si>
  <si>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</si>
  <si>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</si>
  <si>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</si>
  <si>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</si>
  <si>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</si>
  <si>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</si>
  <si>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3M</t>
  </si>
  <si>
    <t>Quote Object ID</t>
  </si>
  <si>
    <t>Index</t>
  </si>
  <si>
    <t>_Quote</t>
  </si>
  <si>
    <t>QuoteSuffix</t>
  </si>
  <si>
    <t>FamilyName</t>
  </si>
  <si>
    <t>ADDITIONAL SETTINGS</t>
  </si>
  <si>
    <t>FileOverwrite</t>
  </si>
  <si>
    <t>SerializationPath</t>
  </si>
  <si>
    <t>Serialize</t>
  </si>
  <si>
    <t>GENERAL SETTINGS</t>
  </si>
  <si>
    <t>ConvAdj Quote Object ID</t>
  </si>
  <si>
    <t>Future Code</t>
  </si>
  <si>
    <t>Main Cycle</t>
  </si>
  <si>
    <t>#</t>
  </si>
  <si>
    <t>Modified Following</t>
  </si>
  <si>
    <t>0d</t>
  </si>
  <si>
    <t>Spread</t>
  </si>
  <si>
    <t>Day Count Convention</t>
  </si>
  <si>
    <t>Business Day Convention</t>
  </si>
  <si>
    <t>Freq</t>
  </si>
  <si>
    <t>Fwd start</t>
  </si>
  <si>
    <t>Discounting2</t>
  </si>
  <si>
    <t>Actual/365 (Fixed)</t>
  </si>
  <si>
    <t>MoneyMarketDayCounter</t>
  </si>
  <si>
    <t>BondBasisDayCounter</t>
  </si>
  <si>
    <t>Extrapolation</t>
  </si>
  <si>
    <t>Instruments</t>
  </si>
  <si>
    <t>IMM</t>
  </si>
  <si>
    <t>Future type</t>
  </si>
  <si>
    <t>Future date</t>
  </si>
  <si>
    <t>Settl Days</t>
  </si>
  <si>
    <t>Maturity Date</t>
  </si>
  <si>
    <t>Curve</t>
  </si>
  <si>
    <t>LCH Quote Overwrite</t>
  </si>
  <si>
    <t>Linear</t>
  </si>
  <si>
    <t>ZeroYield</t>
  </si>
  <si>
    <t>LogCubicNaturalSpline</t>
  </si>
  <si>
    <t>LCHQuoteSuffix</t>
  </si>
  <si>
    <t>_LCHQuote</t>
  </si>
  <si>
    <t>LCHlinear</t>
  </si>
  <si>
    <t>_linearLCH</t>
  </si>
  <si>
    <t>LCHcubic</t>
  </si>
  <si>
    <t>_cubicLCH</t>
  </si>
  <si>
    <t>Discounting1</t>
  </si>
  <si>
    <t>DiscountingSTD</t>
  </si>
  <si>
    <t>ReLink</t>
  </si>
  <si>
    <t>*Check from the name of the LCH quote if they are using swap from basis instead of swap</t>
  </si>
  <si>
    <t>Rate Helpers 1</t>
  </si>
  <si>
    <t>Rate Helpers 2</t>
  </si>
  <si>
    <t>linear</t>
  </si>
  <si>
    <t>cubic</t>
  </si>
  <si>
    <t xml:space="preserve"> / LCH quote the fixed swap rate also for basis swap</t>
  </si>
  <si>
    <t>LCH Maturity Date</t>
  </si>
  <si>
    <t>LCH Quote</t>
  </si>
  <si>
    <t>QL Quote</t>
  </si>
  <si>
    <t>QL Maturity</t>
  </si>
  <si>
    <t>LCH Zero</t>
  </si>
  <si>
    <t>QL Zero</t>
  </si>
  <si>
    <t>LCH Discount</t>
  </si>
  <si>
    <t>QL Discount</t>
  </si>
  <si>
    <t>Instruments = REP00099</t>
  </si>
  <si>
    <t>Curve (Linear on Zero) Analysis = REP00100</t>
  </si>
  <si>
    <t>Curve (Cubic on Log Disocunt) Analysis = REP00101</t>
  </si>
  <si>
    <t>Pillar Date</t>
  </si>
  <si>
    <t>EUR</t>
  </si>
  <si>
    <t>AB</t>
  </si>
  <si>
    <t>TARGET</t>
  </si>
  <si>
    <t>ibor</t>
  </si>
  <si>
    <t>30/360 (Bond Basis)</t>
  </si>
  <si>
    <t>Actual/360</t>
  </si>
  <si>
    <t>Annual</t>
  </si>
  <si>
    <t>3E</t>
  </si>
  <si>
    <t>6E</t>
  </si>
  <si>
    <t>0D</t>
  </si>
  <si>
    <t>EUR_EURIBOR_3M_EOD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</si>
</sst>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quot;£&quot;#,##0;[Red]\-&quot;£&quot;#,##0"/>
    <numFmt numFmtId="165" formatCode="_-* #,##0.00_-;\-* #,##0.00_-;_-* &quot;-&quot;??_-;_-@_-"/>
    <numFmt numFmtId="166" formatCode="ddd\,\ d\-mmm\-yyyy"/>
    <numFmt numFmtId="167" formatCode="0.0000%"/>
    <numFmt numFmtId="168" formatCode="0.0000"/>
    <numFmt numFmtId="169" formatCode="0.000000000"/>
    <numFmt numFmtId="170" formatCode="ddd\,\ dd\-mmm\-yyyy"/>
    <numFmt numFmtId="171" formatCode="ddd\,\ dd\-mmm\-yyyy\,\ hh:mm:ss"/>
    <numFmt numFmtId="172" formatCode="ddd\,\ d\-mmm\-yy"/>
    <numFmt numFmtId="173" formatCode="ddd\,\ d\-mmm\-yyyy\,\ hh:mm:ss"/>
    <numFmt numFmtId="174" formatCode="[$-409]d\-mmm\-yy;@"/>
    <numFmt numFmtId="175" formatCode="mm/dd/yy;@"/>
    <numFmt numFmtId="176" formatCode="General_)"/>
    <numFmt numFmtId="177" formatCode="#,##0.0;#,##0.0"/>
    <numFmt numFmtId="178" formatCode="0.E+00"/>
    <numFmt numFmtId="179" formatCode="_([$€-2]* #,##0.00_);_([$€-2]* \(#,##0.00\);_([$€-2]* &quot;-&quot;??_)"/>
    <numFmt numFmtId="180" formatCode="dd\-mmm\-yy"/>
  </numFmts>
  <fonts count="25" x14ac:knownFonts="1">
    <font>
      <sz val="11"/>
      <color theme="1"/>
      <name val="Calibri"/>
      <family val="2"/>
      <scheme val="minor"/>
    </font>
    <font>
      <sz val="10"/>
      <name val="Arial"/>
      <family val="2"/>
    </font>
    <font>
      <b/>
      <sz val="8"/>
      <color indexed="81"/>
      <name val="Tahoma"/>
      <family val="2"/>
    </font>
    <font>
      <sz val="8"/>
      <name val="Arial"/>
      <family val="2"/>
    </font>
    <font>
      <sz val="8"/>
      <color indexed="81"/>
      <name val="Tahoma"/>
      <family val="2"/>
    </font>
    <font>
      <sz val="10"/>
      <name val="Helv"/>
    </font>
    <font>
      <sz val="12"/>
      <name val="Helv"/>
    </font>
    <font>
      <b/>
      <sz val="12"/>
      <color indexed="16"/>
      <name val="MS Sans Serif"/>
      <family val="2"/>
    </font>
    <font>
      <b/>
      <sz val="8"/>
      <name val="Courier New"/>
      <family val="3"/>
    </font>
    <font>
      <sz val="8"/>
      <name val="Courier New"/>
      <family val="3"/>
    </font>
    <font>
      <sz val="8"/>
      <color indexed="10"/>
      <name val="Courier New"/>
      <family val="3"/>
    </font>
    <font>
      <sz val="10"/>
      <name val="Courier New"/>
      <family val="3"/>
    </font>
    <font>
      <i/>
      <sz val="8"/>
      <name val="Courier New"/>
      <family val="3"/>
    </font>
    <font>
      <b/>
      <u/>
      <sz val="8"/>
      <name val="Courier New"/>
      <family val="3"/>
    </font>
    <font>
      <sz val="8"/>
      <color indexed="9"/>
      <name val="Courier New"/>
      <family val="3"/>
    </font>
    <font>
      <sz val="8"/>
      <color theme="1"/>
      <name val="Courier New"/>
      <family val="3"/>
    </font>
    <font>
      <sz val="14"/>
      <name val="Arial"/>
      <family val="2"/>
    </font>
    <font>
      <b/>
      <sz val="8"/>
      <name val="Arial"/>
      <family val="2"/>
    </font>
    <font>
      <sz val="8"/>
      <color indexed="10"/>
      <name val="Arial"/>
      <family val="2"/>
    </font>
    <font>
      <sz val="11"/>
      <color theme="1"/>
      <name val="Calibri"/>
      <family val="2"/>
      <scheme val="minor"/>
    </font>
    <font>
      <sz val="8"/>
      <name val="Microsoft Sans Serif"/>
      <family val="2"/>
    </font>
    <font>
      <sz val="10"/>
      <name val="MS Sans Serif"/>
      <family val="2"/>
    </font>
    <font>
      <sz val="8"/>
      <name val="MS Sans Serif"/>
      <family val="2"/>
    </font>
    <font>
      <sz val="8"/>
      <color rgb="FFFF0000"/>
      <name val="Arial"/>
      <family val="2"/>
    </font>
    <font>
      <sz val="8"/>
      <color rgb="FFFF0000"/>
      <name val="Courier New"/>
      <family val="3"/>
    </font>
  </fonts>
  <fills count="13">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65"/>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8" tint="0.59999389629810485"/>
        <bgColor indexed="64"/>
      </patternFill>
    </fill>
    <fill>
      <patternFill patternType="gray0625">
        <fgColor indexed="22"/>
        <bgColor theme="8" tint="0.79998168889431442"/>
      </patternFill>
    </fill>
    <fill>
      <patternFill patternType="gray0625">
        <fgColor indexed="22"/>
        <bgColor theme="8" tint="0.59999389629810485"/>
      </patternFill>
    </fill>
    <fill>
      <patternFill patternType="solid">
        <fgColor theme="0" tint="-0.249977111117893"/>
        <bgColor indexed="64"/>
      </patternFill>
    </fill>
    <fill>
      <patternFill patternType="solid">
        <fgColor theme="8" tint="0.79998168889431442"/>
        <bgColor indexed="64"/>
      </patternFill>
    </fill>
  </fills>
  <borders count="44">
    <border>
      <left/>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bottom style="thin">
        <color indexed="64"/>
      </bottom>
      <diagonal/>
    </border>
    <border>
      <left style="thin">
        <color indexed="64"/>
      </left>
      <right/>
      <top/>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s>
  <cellStyleXfs count="47">
    <xf numFmtId="0" fontId="0" fillId="0" borderId="0"/>
    <xf numFmtId="0" fontId="1" fillId="0" borderId="0"/>
    <xf numFmtId="9" fontId="1" fillId="0" borderId="0" applyFont="0" applyFill="0" applyBorder="0" applyAlignment="0" applyProtection="0"/>
    <xf numFmtId="0" fontId="3" fillId="0" borderId="0"/>
    <xf numFmtId="38" fontId="5" fillId="0" borderId="0" applyFont="0" applyFill="0" applyBorder="0" applyAlignment="0" applyProtection="0"/>
    <xf numFmtId="40" fontId="5" fillId="0" borderId="0" applyFont="0" applyFill="0" applyBorder="0" applyAlignment="0" applyProtection="0"/>
    <xf numFmtId="176" fontId="6" fillId="0" borderId="0"/>
    <xf numFmtId="177" fontId="7" fillId="5" borderId="0">
      <alignment horizontal="center" vertical="center"/>
    </xf>
    <xf numFmtId="164" fontId="5" fillId="0" borderId="0" applyFont="0" applyFill="0" applyBorder="0" applyAlignment="0" applyProtection="0"/>
    <xf numFmtId="164" fontId="5" fillId="0" borderId="0" applyFont="0" applyFill="0" applyBorder="0" applyAlignment="0" applyProtection="0"/>
    <xf numFmtId="0" fontId="1" fillId="0" borderId="0"/>
    <xf numFmtId="0" fontId="3" fillId="0" borderId="0"/>
    <xf numFmtId="9" fontId="1" fillId="0" borderId="0" applyFont="0" applyFill="0" applyBorder="0" applyAlignment="0" applyProtection="0"/>
    <xf numFmtId="9" fontId="3" fillId="0" borderId="0" applyFont="0" applyFill="0" applyBorder="0" applyAlignment="0" applyProtection="0"/>
    <xf numFmtId="179" fontId="1"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3" fillId="0" borderId="0"/>
    <xf numFmtId="0" fontId="3" fillId="0" borderId="0"/>
    <xf numFmtId="0" fontId="19" fillId="0" borderId="0"/>
    <xf numFmtId="9" fontId="1" fillId="0" borderId="0" applyFont="0" applyFill="0" applyBorder="0" applyAlignment="0" applyProtection="0"/>
    <xf numFmtId="9" fontId="3" fillId="0" borderId="0" applyFont="0" applyFill="0" applyBorder="0" applyAlignment="0" applyProtection="0"/>
    <xf numFmtId="0" fontId="19" fillId="0" borderId="0"/>
    <xf numFmtId="9" fontId="3" fillId="0" borderId="0" applyFont="0" applyFill="0" applyBorder="0" applyAlignment="0" applyProtection="0"/>
    <xf numFmtId="0" fontId="1" fillId="0" borderId="0"/>
    <xf numFmtId="179" fontId="1" fillId="0" borderId="0" applyFont="0" applyFill="0" applyBorder="0" applyAlignment="0" applyProtection="0"/>
    <xf numFmtId="9" fontId="1" fillId="0" borderId="0" applyFont="0" applyFill="0" applyBorder="0" applyAlignment="0" applyProtection="0"/>
    <xf numFmtId="0" fontId="1" fillId="0" borderId="0"/>
    <xf numFmtId="0" fontId="19" fillId="0" borderId="0"/>
    <xf numFmtId="9" fontId="3" fillId="0" borderId="0" applyFont="0" applyFill="0" applyBorder="0" applyAlignment="0" applyProtection="0"/>
    <xf numFmtId="9" fontId="1" fillId="0" borderId="0" applyFont="0" applyFill="0" applyBorder="0" applyAlignment="0" applyProtection="0"/>
    <xf numFmtId="0" fontId="19" fillId="0" borderId="0"/>
    <xf numFmtId="0" fontId="19" fillId="0" borderId="0"/>
    <xf numFmtId="0" fontId="19" fillId="0" borderId="0"/>
    <xf numFmtId="0" fontId="19" fillId="0" borderId="0"/>
    <xf numFmtId="9" fontId="1" fillId="0" borderId="0" applyFont="0" applyFill="0" applyBorder="0" applyAlignment="0" applyProtection="0"/>
    <xf numFmtId="0" fontId="1" fillId="0" borderId="0"/>
    <xf numFmtId="0" fontId="19" fillId="0" borderId="0"/>
    <xf numFmtId="9" fontId="19" fillId="0" borderId="0" applyFont="0" applyFill="0" applyBorder="0" applyAlignment="0" applyProtection="0"/>
    <xf numFmtId="9" fontId="19" fillId="0" borderId="0" applyFont="0" applyFill="0" applyBorder="0" applyAlignment="0" applyProtection="0"/>
    <xf numFmtId="165" fontId="19" fillId="0" borderId="0" applyFont="0" applyFill="0" applyBorder="0" applyAlignment="0" applyProtection="0"/>
    <xf numFmtId="0" fontId="3" fillId="0" borderId="0"/>
  </cellStyleXfs>
  <cellXfs count="260">
    <xf numFmtId="0" fontId="0" fillId="0" borderId="0" xfId="0"/>
    <xf numFmtId="0" fontId="9" fillId="0" borderId="0" xfId="1" applyFont="1"/>
    <xf numFmtId="169" fontId="9" fillId="0" borderId="0" xfId="1" applyNumberFormat="1" applyFont="1"/>
    <xf numFmtId="0" fontId="8" fillId="3" borderId="20" xfId="1" applyFont="1" applyFill="1" applyBorder="1" applyAlignment="1">
      <alignment horizontal="right"/>
    </xf>
    <xf numFmtId="3" fontId="9" fillId="4" borderId="19" xfId="1" applyNumberFormat="1" applyFont="1" applyFill="1" applyBorder="1" applyAlignment="1">
      <alignment horizontal="center"/>
    </xf>
    <xf numFmtId="0" fontId="9" fillId="2" borderId="16" xfId="1" applyFont="1" applyFill="1" applyBorder="1" applyAlignment="1"/>
    <xf numFmtId="167" fontId="9" fillId="2" borderId="0" xfId="1" applyNumberFormat="1" applyFont="1" applyFill="1" applyBorder="1" applyAlignment="1"/>
    <xf numFmtId="166" fontId="9" fillId="2" borderId="0" xfId="1" applyNumberFormat="1" applyFont="1" applyFill="1" applyBorder="1" applyAlignment="1"/>
    <xf numFmtId="166" fontId="9" fillId="2" borderId="15" xfId="1" applyNumberFormat="1" applyFont="1" applyFill="1" applyBorder="1" applyAlignment="1"/>
    <xf numFmtId="10" fontId="9" fillId="0" borderId="0" xfId="1" applyNumberFormat="1" applyFont="1"/>
    <xf numFmtId="0" fontId="8" fillId="3" borderId="18" xfId="1" applyFont="1" applyFill="1" applyBorder="1" applyAlignment="1">
      <alignment horizontal="right"/>
    </xf>
    <xf numFmtId="3" fontId="9" fillId="4" borderId="17" xfId="1" applyNumberFormat="1" applyFont="1" applyFill="1" applyBorder="1" applyAlignment="1">
      <alignment horizontal="center"/>
    </xf>
    <xf numFmtId="0" fontId="9" fillId="4" borderId="17" xfId="1" applyFont="1" applyFill="1" applyBorder="1" applyAlignment="1">
      <alignment horizontal="center"/>
    </xf>
    <xf numFmtId="14" fontId="9" fillId="0" borderId="0" xfId="1" applyNumberFormat="1" applyFont="1"/>
    <xf numFmtId="0" fontId="9" fillId="2" borderId="14" xfId="1" applyFont="1" applyFill="1" applyBorder="1" applyAlignment="1"/>
    <xf numFmtId="167" fontId="9" fillId="2" borderId="13" xfId="1" applyNumberFormat="1" applyFont="1" applyFill="1" applyBorder="1" applyAlignment="1"/>
    <xf numFmtId="166" fontId="9" fillId="2" borderId="13" xfId="1" applyNumberFormat="1" applyFont="1" applyFill="1" applyBorder="1" applyAlignment="1"/>
    <xf numFmtId="166" fontId="9" fillId="2" borderId="12" xfId="1" applyNumberFormat="1" applyFont="1" applyFill="1" applyBorder="1" applyAlignment="1"/>
    <xf numFmtId="0" fontId="9" fillId="0" borderId="0" xfId="1" applyFont="1" applyAlignment="1">
      <alignment horizontal="left"/>
    </xf>
    <xf numFmtId="0" fontId="9" fillId="2" borderId="16" xfId="1" applyFont="1" applyFill="1" applyBorder="1"/>
    <xf numFmtId="0" fontId="9" fillId="2" borderId="0" xfId="1" applyFont="1" applyFill="1" applyBorder="1"/>
    <xf numFmtId="0" fontId="9" fillId="2" borderId="0" xfId="1" applyFont="1" applyFill="1" applyBorder="1" applyAlignment="1">
      <alignment horizontal="center"/>
    </xf>
    <xf numFmtId="0" fontId="9" fillId="0" borderId="0" xfId="1" applyFont="1" applyAlignment="1">
      <alignment horizontal="center"/>
    </xf>
    <xf numFmtId="0" fontId="9" fillId="2" borderId="15" xfId="1" applyFont="1" applyFill="1" applyBorder="1"/>
    <xf numFmtId="0" fontId="11" fillId="0" borderId="0" xfId="1" applyFont="1"/>
    <xf numFmtId="0" fontId="9" fillId="2" borderId="16" xfId="1" applyFont="1" applyFill="1" applyBorder="1" applyAlignment="1">
      <alignment horizontal="center"/>
    </xf>
    <xf numFmtId="0" fontId="8" fillId="2" borderId="9" xfId="1" applyFont="1" applyFill="1" applyBorder="1" applyAlignment="1">
      <alignment horizontal="center" vertical="center" wrapText="1"/>
    </xf>
    <xf numFmtId="0" fontId="12" fillId="2" borderId="9" xfId="1" applyFont="1" applyFill="1" applyBorder="1" applyAlignment="1">
      <alignment horizontal="center" vertical="center"/>
    </xf>
    <xf numFmtId="0" fontId="9" fillId="2" borderId="26" xfId="1" applyFont="1" applyFill="1" applyBorder="1" applyAlignment="1">
      <alignment horizontal="center" vertical="center" wrapText="1"/>
    </xf>
    <xf numFmtId="0" fontId="9" fillId="2" borderId="14" xfId="1" applyFont="1" applyFill="1" applyBorder="1"/>
    <xf numFmtId="0" fontId="9" fillId="2" borderId="13" xfId="1" applyFont="1" applyFill="1" applyBorder="1"/>
    <xf numFmtId="0" fontId="9" fillId="2" borderId="12" xfId="1" applyFont="1" applyFill="1" applyBorder="1"/>
    <xf numFmtId="0" fontId="12" fillId="2" borderId="9" xfId="1" applyFont="1" applyFill="1" applyBorder="1" applyAlignment="1">
      <alignment horizontal="left" vertical="center"/>
    </xf>
    <xf numFmtId="0" fontId="13" fillId="2" borderId="0" xfId="1" applyFont="1" applyFill="1" applyBorder="1"/>
    <xf numFmtId="0" fontId="9" fillId="2" borderId="0" xfId="1" applyFont="1" applyFill="1" applyAlignment="1">
      <alignment horizontal="center"/>
    </xf>
    <xf numFmtId="0" fontId="9" fillId="2" borderId="0" xfId="1" applyFont="1" applyFill="1"/>
    <xf numFmtId="0" fontId="14" fillId="2" borderId="16" xfId="1" applyFont="1" applyFill="1" applyBorder="1"/>
    <xf numFmtId="0" fontId="8" fillId="2" borderId="4" xfId="1" applyFont="1" applyFill="1" applyBorder="1" applyAlignment="1">
      <alignment horizontal="center"/>
    </xf>
    <xf numFmtId="0" fontId="9" fillId="2" borderId="26" xfId="1" applyFont="1" applyFill="1" applyBorder="1" applyAlignment="1">
      <alignment horizontal="center"/>
    </xf>
    <xf numFmtId="0" fontId="9" fillId="2" borderId="9" xfId="1" applyFont="1" applyFill="1" applyBorder="1" applyAlignment="1">
      <alignment horizontal="center"/>
    </xf>
    <xf numFmtId="0" fontId="14" fillId="2" borderId="14" xfId="1" applyFont="1" applyFill="1" applyBorder="1"/>
    <xf numFmtId="0" fontId="14" fillId="2" borderId="13" xfId="1" applyFont="1" applyFill="1" applyBorder="1"/>
    <xf numFmtId="0" fontId="9" fillId="2" borderId="4" xfId="2" applyNumberFormat="1" applyFont="1" applyFill="1" applyBorder="1" applyAlignment="1">
      <alignment horizontal="center"/>
    </xf>
    <xf numFmtId="0" fontId="13" fillId="2" borderId="15" xfId="1" applyFont="1" applyFill="1" applyBorder="1"/>
    <xf numFmtId="0" fontId="9" fillId="0" borderId="29" xfId="1" applyFont="1" applyBorder="1"/>
    <xf numFmtId="0" fontId="9" fillId="0" borderId="15" xfId="1" applyFont="1" applyBorder="1"/>
    <xf numFmtId="0" fontId="9" fillId="0" borderId="12" xfId="1" applyFont="1" applyBorder="1"/>
    <xf numFmtId="0" fontId="9" fillId="2" borderId="13" xfId="1" applyFont="1" applyFill="1" applyBorder="1" applyAlignment="1">
      <alignment horizontal="left"/>
    </xf>
    <xf numFmtId="0" fontId="9" fillId="2" borderId="12" xfId="1" applyFont="1" applyFill="1" applyBorder="1" applyAlignment="1">
      <alignment horizontal="left"/>
    </xf>
    <xf numFmtId="0" fontId="9" fillId="2" borderId="0" xfId="1" applyFont="1" applyFill="1" applyBorder="1" applyAlignment="1">
      <alignment horizontal="left"/>
    </xf>
    <xf numFmtId="167" fontId="9" fillId="2" borderId="0" xfId="2" applyNumberFormat="1" applyFont="1" applyFill="1" applyBorder="1" applyAlignment="1">
      <alignment horizontal="right"/>
    </xf>
    <xf numFmtId="166" fontId="9" fillId="2" borderId="0" xfId="1" applyNumberFormat="1" applyFont="1" applyFill="1" applyBorder="1" applyAlignment="1">
      <alignment horizontal="right"/>
    </xf>
    <xf numFmtId="166" fontId="9" fillId="2" borderId="2" xfId="1" applyNumberFormat="1" applyFont="1" applyFill="1" applyBorder="1" applyAlignment="1">
      <alignment horizontal="right"/>
    </xf>
    <xf numFmtId="0" fontId="9" fillId="2" borderId="1" xfId="1" applyFont="1" applyFill="1" applyBorder="1" applyAlignment="1">
      <alignment horizontal="left"/>
    </xf>
    <xf numFmtId="167" fontId="9" fillId="2" borderId="1" xfId="2" applyNumberFormat="1" applyFont="1" applyFill="1" applyBorder="1" applyAlignment="1">
      <alignment horizontal="right"/>
    </xf>
    <xf numFmtId="0" fontId="9" fillId="2" borderId="1" xfId="1" applyFont="1" applyFill="1" applyBorder="1" applyAlignment="1">
      <alignment horizontal="center"/>
    </xf>
    <xf numFmtId="166" fontId="9" fillId="2" borderId="1" xfId="1" applyNumberFormat="1" applyFont="1" applyFill="1" applyBorder="1" applyAlignment="1">
      <alignment horizontal="right"/>
    </xf>
    <xf numFmtId="166" fontId="9" fillId="2" borderId="7" xfId="1" applyNumberFormat="1" applyFont="1" applyFill="1" applyBorder="1" applyAlignment="1">
      <alignment horizontal="right"/>
    </xf>
    <xf numFmtId="0" fontId="9" fillId="2" borderId="3" xfId="1" applyFont="1" applyFill="1" applyBorder="1" applyAlignment="1">
      <alignment horizontal="left"/>
    </xf>
    <xf numFmtId="167" fontId="9" fillId="2" borderId="3" xfId="2" applyNumberFormat="1" applyFont="1" applyFill="1" applyBorder="1" applyAlignment="1">
      <alignment horizontal="right"/>
    </xf>
    <xf numFmtId="0" fontId="9" fillId="2" borderId="3" xfId="1" applyFont="1" applyFill="1" applyBorder="1" applyAlignment="1">
      <alignment horizontal="center"/>
    </xf>
    <xf numFmtId="166" fontId="9" fillId="2" borderId="3" xfId="1" applyNumberFormat="1" applyFont="1" applyFill="1" applyBorder="1" applyAlignment="1">
      <alignment horizontal="right"/>
    </xf>
    <xf numFmtId="166" fontId="9" fillId="2" borderId="6" xfId="1" applyNumberFormat="1" applyFont="1" applyFill="1" applyBorder="1" applyAlignment="1">
      <alignment horizontal="right"/>
    </xf>
    <xf numFmtId="168" fontId="9" fillId="2" borderId="0" xfId="1" applyNumberFormat="1" applyFont="1" applyFill="1" applyBorder="1" applyAlignment="1">
      <alignment horizontal="right"/>
    </xf>
    <xf numFmtId="0" fontId="9" fillId="7" borderId="0" xfId="1" applyFont="1" applyFill="1" applyBorder="1" applyAlignment="1">
      <alignment horizontal="center"/>
    </xf>
    <xf numFmtId="0" fontId="9" fillId="2" borderId="28" xfId="1" applyFont="1" applyFill="1" applyBorder="1" applyAlignment="1">
      <alignment horizontal="center"/>
    </xf>
    <xf numFmtId="0" fontId="3" fillId="6" borderId="0" xfId="3" applyFont="1" applyFill="1"/>
    <xf numFmtId="0" fontId="3" fillId="2" borderId="16" xfId="3" applyFont="1" applyFill="1" applyBorder="1"/>
    <xf numFmtId="0" fontId="17" fillId="2" borderId="0" xfId="3" applyFont="1" applyFill="1" applyBorder="1"/>
    <xf numFmtId="0" fontId="3" fillId="2" borderId="0" xfId="3" applyFont="1" applyFill="1" applyBorder="1"/>
    <xf numFmtId="0" fontId="3" fillId="2" borderId="15" xfId="3" applyFont="1" applyFill="1" applyBorder="1"/>
    <xf numFmtId="0" fontId="3" fillId="3" borderId="28" xfId="3" applyFont="1" applyFill="1" applyBorder="1"/>
    <xf numFmtId="0" fontId="3" fillId="2" borderId="7" xfId="3" applyFont="1" applyFill="1" applyBorder="1" applyAlignment="1">
      <alignment horizontal="center"/>
    </xf>
    <xf numFmtId="0" fontId="3" fillId="3" borderId="27" xfId="3" applyFont="1" applyFill="1" applyBorder="1"/>
    <xf numFmtId="0" fontId="3" fillId="2" borderId="2" xfId="1" applyFont="1" applyFill="1" applyBorder="1" applyAlignment="1">
      <alignment horizontal="center"/>
    </xf>
    <xf numFmtId="0" fontId="3" fillId="3" borderId="27" xfId="1" applyFont="1" applyFill="1" applyBorder="1"/>
    <xf numFmtId="173" fontId="3" fillId="2" borderId="2" xfId="1" applyNumberFormat="1" applyFont="1" applyFill="1" applyBorder="1" applyAlignment="1">
      <alignment horizontal="center"/>
    </xf>
    <xf numFmtId="0" fontId="3" fillId="3" borderId="26" xfId="1" applyFont="1" applyFill="1" applyBorder="1"/>
    <xf numFmtId="0" fontId="3" fillId="2" borderId="6" xfId="1" applyFont="1" applyFill="1" applyBorder="1" applyAlignment="1">
      <alignment horizontal="center"/>
    </xf>
    <xf numFmtId="0" fontId="17" fillId="3" borderId="28" xfId="1" applyFont="1" applyFill="1" applyBorder="1" applyAlignment="1">
      <alignment horizontal="right"/>
    </xf>
    <xf numFmtId="0" fontId="17" fillId="3" borderId="26" xfId="1" applyFont="1" applyFill="1" applyBorder="1" applyAlignment="1">
      <alignment horizontal="right"/>
    </xf>
    <xf numFmtId="172" fontId="3" fillId="4" borderId="7" xfId="1" applyNumberFormat="1" applyFont="1" applyFill="1" applyBorder="1" applyAlignment="1">
      <alignment horizontal="center"/>
    </xf>
    <xf numFmtId="0" fontId="17" fillId="3" borderId="27" xfId="1" applyFont="1" applyFill="1" applyBorder="1" applyAlignment="1">
      <alignment horizontal="right"/>
    </xf>
    <xf numFmtId="3" fontId="3" fillId="4" borderId="2" xfId="1" applyNumberFormat="1" applyFont="1" applyFill="1" applyBorder="1" applyAlignment="1">
      <alignment horizontal="center"/>
    </xf>
    <xf numFmtId="11" fontId="3" fillId="4" borderId="2" xfId="1" applyNumberFormat="1" applyFont="1" applyFill="1" applyBorder="1" applyAlignment="1">
      <alignment horizontal="center"/>
    </xf>
    <xf numFmtId="0" fontId="3" fillId="4" borderId="2" xfId="1" applyFont="1" applyFill="1" applyBorder="1" applyAlignment="1">
      <alignment horizontal="center"/>
    </xf>
    <xf numFmtId="0" fontId="3" fillId="4" borderId="6" xfId="1" applyFont="1" applyFill="1" applyBorder="1" applyAlignment="1">
      <alignment horizontal="center"/>
    </xf>
    <xf numFmtId="166" fontId="3" fillId="2" borderId="28" xfId="1" applyNumberFormat="1" applyFont="1" applyFill="1" applyBorder="1" applyAlignment="1">
      <alignment horizontal="right"/>
    </xf>
    <xf numFmtId="169" fontId="3" fillId="2" borderId="7" xfId="1" applyNumberFormat="1" applyFont="1" applyFill="1" applyBorder="1" applyAlignment="1">
      <alignment horizontal="center"/>
    </xf>
    <xf numFmtId="166" fontId="3" fillId="2" borderId="27" xfId="1" applyNumberFormat="1" applyFont="1" applyFill="1" applyBorder="1" applyAlignment="1">
      <alignment horizontal="right"/>
    </xf>
    <xf numFmtId="170" fontId="3" fillId="2" borderId="27" xfId="1" applyNumberFormat="1" applyFont="1" applyFill="1" applyBorder="1" applyAlignment="1">
      <alignment horizontal="right"/>
    </xf>
    <xf numFmtId="178" fontId="9" fillId="0" borderId="0" xfId="1" applyNumberFormat="1" applyFont="1"/>
    <xf numFmtId="0" fontId="9" fillId="2" borderId="8" xfId="1" applyFont="1" applyFill="1" applyBorder="1" applyAlignment="1">
      <alignment horizontal="left"/>
    </xf>
    <xf numFmtId="0" fontId="9" fillId="2" borderId="5" xfId="1" applyFont="1" applyFill="1" applyBorder="1" applyAlignment="1">
      <alignment horizontal="left"/>
    </xf>
    <xf numFmtId="0" fontId="9" fillId="2" borderId="4" xfId="1" applyFont="1" applyFill="1" applyBorder="1" applyAlignment="1">
      <alignment horizontal="left"/>
    </xf>
    <xf numFmtId="0" fontId="9" fillId="2" borderId="28" xfId="1" applyNumberFormat="1" applyFont="1" applyFill="1" applyBorder="1" applyAlignment="1">
      <alignment horizontal="center"/>
    </xf>
    <xf numFmtId="0" fontId="9" fillId="2" borderId="27" xfId="1" applyNumberFormat="1" applyFont="1" applyFill="1" applyBorder="1" applyAlignment="1">
      <alignment horizontal="center"/>
    </xf>
    <xf numFmtId="0" fontId="9" fillId="2" borderId="26" xfId="1" applyNumberFormat="1" applyFont="1" applyFill="1" applyBorder="1" applyAlignment="1">
      <alignment horizontal="center"/>
    </xf>
    <xf numFmtId="0" fontId="8" fillId="2" borderId="26" xfId="1" applyFont="1" applyFill="1" applyBorder="1" applyAlignment="1">
      <alignment horizontal="center"/>
    </xf>
    <xf numFmtId="180" fontId="9" fillId="2" borderId="26" xfId="1" applyNumberFormat="1" applyFont="1" applyFill="1" applyBorder="1" applyAlignment="1">
      <alignment horizontal="center"/>
    </xf>
    <xf numFmtId="0" fontId="8" fillId="2" borderId="5" xfId="1" applyFont="1" applyFill="1" applyBorder="1" applyAlignment="1">
      <alignment horizontal="center"/>
    </xf>
    <xf numFmtId="0" fontId="9" fillId="2" borderId="27" xfId="1" applyFont="1" applyFill="1" applyBorder="1" applyAlignment="1">
      <alignment horizontal="center"/>
    </xf>
    <xf numFmtId="180" fontId="9" fillId="2" borderId="27" xfId="1" applyNumberFormat="1" applyFont="1" applyFill="1" applyBorder="1" applyAlignment="1">
      <alignment horizontal="center"/>
    </xf>
    <xf numFmtId="0" fontId="9" fillId="2" borderId="5" xfId="2" applyNumberFormat="1" applyFont="1" applyFill="1" applyBorder="1" applyAlignment="1">
      <alignment horizontal="center"/>
    </xf>
    <xf numFmtId="0" fontId="9" fillId="7" borderId="27" xfId="1" applyFont="1" applyFill="1" applyBorder="1" applyAlignment="1">
      <alignment horizontal="center"/>
    </xf>
    <xf numFmtId="167" fontId="9" fillId="2" borderId="27" xfId="1" applyNumberFormat="1" applyFont="1" applyFill="1" applyBorder="1" applyAlignment="1"/>
    <xf numFmtId="0" fontId="9" fillId="2" borderId="27" xfId="1" applyFont="1" applyFill="1" applyBorder="1" applyAlignment="1"/>
    <xf numFmtId="0" fontId="9" fillId="7" borderId="26" xfId="1" applyFont="1" applyFill="1" applyBorder="1" applyAlignment="1">
      <alignment horizontal="center"/>
    </xf>
    <xf numFmtId="167" fontId="9" fillId="2" borderId="26" xfId="1" applyNumberFormat="1" applyFont="1" applyFill="1" applyBorder="1" applyAlignment="1"/>
    <xf numFmtId="0" fontId="9" fillId="2" borderId="26" xfId="1" applyFont="1" applyFill="1" applyBorder="1" applyAlignment="1"/>
    <xf numFmtId="0" fontId="9" fillId="7" borderId="28" xfId="1" applyFont="1" applyFill="1" applyBorder="1" applyAlignment="1">
      <alignment horizontal="center"/>
    </xf>
    <xf numFmtId="167" fontId="9" fillId="2" borderId="28" xfId="1" applyNumberFormat="1" applyFont="1" applyFill="1" applyBorder="1" applyAlignment="1"/>
    <xf numFmtId="0" fontId="9" fillId="0" borderId="0" xfId="1" applyNumberFormat="1" applyFont="1" applyAlignment="1">
      <alignment horizontal="center"/>
    </xf>
    <xf numFmtId="0" fontId="9" fillId="2" borderId="13" xfId="1" applyNumberFormat="1" applyFont="1" applyFill="1" applyBorder="1"/>
    <xf numFmtId="175" fontId="9" fillId="7" borderId="4" xfId="1" applyNumberFormat="1" applyFont="1" applyFill="1" applyBorder="1" applyAlignment="1">
      <alignment horizontal="left"/>
    </xf>
    <xf numFmtId="0" fontId="9" fillId="2" borderId="6" xfId="1" applyNumberFormat="1" applyFont="1" applyFill="1" applyBorder="1" applyAlignment="1">
      <alignment horizontal="left"/>
    </xf>
    <xf numFmtId="0" fontId="9" fillId="7" borderId="11" xfId="1" applyNumberFormat="1" applyFont="1" applyFill="1" applyBorder="1" applyAlignment="1"/>
    <xf numFmtId="0" fontId="9" fillId="7" borderId="10" xfId="1" applyNumberFormat="1" applyFont="1" applyFill="1" applyBorder="1" applyAlignment="1">
      <alignment horizontal="left"/>
    </xf>
    <xf numFmtId="175" fontId="9" fillId="2" borderId="2" xfId="2" applyNumberFormat="1" applyFont="1" applyFill="1" applyBorder="1" applyAlignment="1">
      <alignment horizontal="center"/>
    </xf>
    <xf numFmtId="175" fontId="9" fillId="2" borderId="6" xfId="2" applyNumberFormat="1" applyFont="1" applyFill="1" applyBorder="1" applyAlignment="1">
      <alignment horizontal="center"/>
    </xf>
    <xf numFmtId="0" fontId="9" fillId="2" borderId="2" xfId="2" applyNumberFormat="1" applyFont="1" applyFill="1" applyBorder="1" applyAlignment="1">
      <alignment horizontal="center"/>
    </xf>
    <xf numFmtId="0" fontId="9" fillId="2" borderId="6" xfId="2" applyNumberFormat="1" applyFont="1" applyFill="1" applyBorder="1" applyAlignment="1">
      <alignment horizontal="center"/>
    </xf>
    <xf numFmtId="0" fontId="9" fillId="2" borderId="5" xfId="1" applyFont="1" applyFill="1" applyBorder="1" applyAlignment="1"/>
    <xf numFmtId="0" fontId="9" fillId="2" borderId="4" xfId="1" applyFont="1" applyFill="1" applyBorder="1" applyAlignment="1"/>
    <xf numFmtId="0" fontId="9" fillId="2" borderId="2" xfId="1" applyNumberFormat="1" applyFont="1" applyFill="1" applyBorder="1" applyAlignment="1">
      <alignment horizontal="center"/>
    </xf>
    <xf numFmtId="0" fontId="9" fillId="2" borderId="6" xfId="1" applyNumberFormat="1" applyFont="1" applyFill="1" applyBorder="1" applyAlignment="1">
      <alignment horizontal="center"/>
    </xf>
    <xf numFmtId="0" fontId="9" fillId="7" borderId="2" xfId="1" applyFont="1" applyFill="1" applyBorder="1"/>
    <xf numFmtId="0" fontId="9" fillId="2" borderId="5" xfId="1" applyFont="1" applyFill="1" applyBorder="1" applyAlignment="1">
      <alignment horizontal="center"/>
    </xf>
    <xf numFmtId="0" fontId="9" fillId="2" borderId="4" xfId="1" applyFont="1" applyFill="1" applyBorder="1" applyAlignment="1">
      <alignment horizontal="center"/>
    </xf>
    <xf numFmtId="0" fontId="20" fillId="2" borderId="16" xfId="20" applyFont="1" applyFill="1" applyBorder="1"/>
    <xf numFmtId="0" fontId="20" fillId="2" borderId="0" xfId="20" applyFont="1" applyFill="1" applyBorder="1"/>
    <xf numFmtId="0" fontId="20" fillId="2" borderId="15" xfId="20" applyFont="1" applyFill="1" applyBorder="1"/>
    <xf numFmtId="0" fontId="20" fillId="3" borderId="9" xfId="20" applyNumberFormat="1" applyFont="1" applyFill="1" applyBorder="1"/>
    <xf numFmtId="173" fontId="20" fillId="9" borderId="10" xfId="20" applyNumberFormat="1" applyFont="1" applyFill="1" applyBorder="1" applyAlignment="1" applyProtection="1">
      <alignment horizontal="center"/>
    </xf>
    <xf numFmtId="15" fontId="20" fillId="2" borderId="15" xfId="20" applyNumberFormat="1" applyFont="1" applyFill="1" applyBorder="1"/>
    <xf numFmtId="173" fontId="20" fillId="9" borderId="10" xfId="20" quotePrefix="1" applyNumberFormat="1" applyFont="1" applyFill="1" applyBorder="1" applyAlignment="1" applyProtection="1">
      <alignment horizontal="left"/>
    </xf>
    <xf numFmtId="173" fontId="20" fillId="9" borderId="10" xfId="20" quotePrefix="1" applyNumberFormat="1" applyFont="1" applyFill="1" applyBorder="1" applyAlignment="1" applyProtection="1">
      <alignment horizontal="center"/>
    </xf>
    <xf numFmtId="0" fontId="20" fillId="2" borderId="14" xfId="20" applyFont="1" applyFill="1" applyBorder="1"/>
    <xf numFmtId="0" fontId="20" fillId="2" borderId="13" xfId="20" applyFont="1" applyFill="1" applyBorder="1"/>
    <xf numFmtId="0" fontId="20" fillId="2" borderId="12" xfId="20" applyFont="1" applyFill="1" applyBorder="1"/>
    <xf numFmtId="0" fontId="3" fillId="2" borderId="2" xfId="1" quotePrefix="1" applyFont="1" applyFill="1" applyBorder="1" applyAlignment="1">
      <alignment horizontal="center"/>
    </xf>
    <xf numFmtId="0" fontId="3" fillId="6" borderId="0" xfId="46" applyFill="1"/>
    <xf numFmtId="0" fontId="3" fillId="6" borderId="0" xfId="46" applyFont="1" applyFill="1"/>
    <xf numFmtId="0" fontId="3" fillId="2" borderId="16" xfId="46" applyFont="1" applyFill="1" applyBorder="1"/>
    <xf numFmtId="0" fontId="3" fillId="3" borderId="27" xfId="46" applyFont="1" applyFill="1" applyBorder="1"/>
    <xf numFmtId="0" fontId="3" fillId="2" borderId="0" xfId="46" applyFont="1" applyFill="1" applyBorder="1"/>
    <xf numFmtId="0" fontId="3" fillId="2" borderId="15" xfId="46" applyFont="1" applyFill="1" applyBorder="1"/>
    <xf numFmtId="0" fontId="21" fillId="2" borderId="16" xfId="20" applyFont="1" applyFill="1" applyBorder="1"/>
    <xf numFmtId="0" fontId="21" fillId="2" borderId="0" xfId="20" applyFont="1" applyFill="1" applyBorder="1"/>
    <xf numFmtId="0" fontId="21" fillId="2" borderId="15" xfId="20" applyFont="1" applyFill="1" applyBorder="1"/>
    <xf numFmtId="0" fontId="22" fillId="3" borderId="9" xfId="20" applyFont="1" applyFill="1" applyBorder="1"/>
    <xf numFmtId="171" fontId="3" fillId="2" borderId="0" xfId="46" applyNumberFormat="1" applyFont="1" applyFill="1" applyBorder="1" applyAlignment="1">
      <alignment horizontal="center"/>
    </xf>
    <xf numFmtId="172" fontId="3" fillId="9" borderId="7" xfId="1" quotePrefix="1" applyNumberFormat="1" applyFont="1" applyFill="1" applyBorder="1" applyAlignment="1">
      <alignment horizontal="center"/>
    </xf>
    <xf numFmtId="1" fontId="18" fillId="9" borderId="6" xfId="1" applyNumberFormat="1" applyFont="1" applyFill="1" applyBorder="1" applyAlignment="1">
      <alignment horizontal="left"/>
    </xf>
    <xf numFmtId="0" fontId="3" fillId="2" borderId="2" xfId="46" applyFont="1" applyFill="1" applyBorder="1" applyAlignment="1">
      <alignment horizontal="center"/>
    </xf>
    <xf numFmtId="0" fontId="19" fillId="2" borderId="14" xfId="20" applyFill="1" applyBorder="1"/>
    <xf numFmtId="0" fontId="19" fillId="2" borderId="13" xfId="20" applyFill="1" applyBorder="1"/>
    <xf numFmtId="0" fontId="19" fillId="2" borderId="12" xfId="20" applyFill="1" applyBorder="1"/>
    <xf numFmtId="167" fontId="3" fillId="2" borderId="7" xfId="1" applyNumberFormat="1" applyFont="1" applyFill="1" applyBorder="1" applyAlignment="1">
      <alignment horizontal="center"/>
    </xf>
    <xf numFmtId="167" fontId="3" fillId="2" borderId="2" xfId="1" applyNumberFormat="1" applyFont="1" applyFill="1" applyBorder="1" applyAlignment="1">
      <alignment horizontal="center"/>
    </xf>
    <xf numFmtId="169" fontId="3" fillId="2" borderId="2" xfId="1" applyNumberFormat="1" applyFont="1" applyFill="1" applyBorder="1" applyAlignment="1">
      <alignment horizontal="center"/>
    </xf>
    <xf numFmtId="0" fontId="3" fillId="2" borderId="2" xfId="1" applyFont="1" applyFill="1" applyBorder="1" applyAlignment="1">
      <alignment horizontal="left"/>
    </xf>
    <xf numFmtId="15" fontId="3" fillId="2" borderId="32" xfId="46" applyNumberFormat="1" applyFont="1" applyFill="1" applyBorder="1" applyAlignment="1">
      <alignment horizontal="right" vertical="center"/>
    </xf>
    <xf numFmtId="0" fontId="3" fillId="2" borderId="32" xfId="46" applyFont="1" applyFill="1" applyBorder="1" applyAlignment="1">
      <alignment horizontal="center" vertical="center"/>
    </xf>
    <xf numFmtId="15" fontId="3" fillId="2" borderId="27" xfId="46" applyNumberFormat="1" applyFont="1" applyFill="1" applyBorder="1" applyAlignment="1">
      <alignment horizontal="right" vertical="center"/>
    </xf>
    <xf numFmtId="0" fontId="3" fillId="2" borderId="2" xfId="46" applyFont="1" applyFill="1" applyBorder="1" applyAlignment="1">
      <alignment horizontal="center" vertical="center"/>
    </xf>
    <xf numFmtId="15" fontId="3" fillId="2" borderId="26" xfId="46" applyNumberFormat="1" applyFont="1" applyFill="1" applyBorder="1" applyAlignment="1">
      <alignment horizontal="right" vertical="center"/>
    </xf>
    <xf numFmtId="0" fontId="3" fillId="2" borderId="14" xfId="46" applyFont="1" applyFill="1" applyBorder="1"/>
    <xf numFmtId="15" fontId="23" fillId="2" borderId="13" xfId="46" applyNumberFormat="1" applyFont="1" applyFill="1" applyBorder="1" applyAlignment="1">
      <alignment horizontal="left" vertical="center"/>
    </xf>
    <xf numFmtId="0" fontId="3" fillId="2" borderId="13" xfId="46" applyFont="1" applyFill="1" applyBorder="1" applyAlignment="1">
      <alignment horizontal="center" vertical="center"/>
    </xf>
    <xf numFmtId="0" fontId="3" fillId="2" borderId="13" xfId="46" applyFont="1" applyFill="1" applyBorder="1"/>
    <xf numFmtId="0" fontId="3" fillId="2" borderId="12" xfId="46" applyFont="1" applyFill="1" applyBorder="1"/>
    <xf numFmtId="0" fontId="8" fillId="8" borderId="11" xfId="1" applyFont="1" applyFill="1" applyBorder="1" applyAlignment="1">
      <alignment horizontal="center" vertical="center" wrapText="1"/>
    </xf>
    <xf numFmtId="0" fontId="8" fillId="8" borderId="9" xfId="1" applyFont="1" applyFill="1" applyBorder="1" applyAlignment="1">
      <alignment horizontal="center" vertical="center" wrapText="1"/>
    </xf>
    <xf numFmtId="0" fontId="8" fillId="8" borderId="10" xfId="1" applyFont="1" applyFill="1" applyBorder="1" applyAlignment="1">
      <alignment horizontal="center" vertical="center" wrapText="1"/>
    </xf>
    <xf numFmtId="0" fontId="8" fillId="8" borderId="8" xfId="1" applyFont="1" applyFill="1" applyBorder="1" applyAlignment="1">
      <alignment vertical="center" wrapText="1"/>
    </xf>
    <xf numFmtId="0" fontId="9" fillId="9" borderId="9" xfId="1" applyNumberFormat="1" applyFont="1" applyFill="1" applyBorder="1" applyAlignment="1" applyProtection="1">
      <alignment horizontal="center" vertical="center"/>
    </xf>
    <xf numFmtId="0" fontId="10" fillId="9" borderId="9" xfId="1" applyNumberFormat="1" applyFont="1" applyFill="1" applyBorder="1" applyAlignment="1" applyProtection="1">
      <alignment horizontal="left" vertical="center"/>
    </xf>
    <xf numFmtId="0" fontId="10" fillId="9" borderId="2" xfId="1" applyNumberFormat="1" applyFont="1" applyFill="1" applyBorder="1" applyAlignment="1" applyProtection="1">
      <alignment horizontal="left" vertical="center"/>
    </xf>
    <xf numFmtId="174" fontId="10" fillId="9" borderId="2" xfId="1" applyNumberFormat="1" applyFont="1" applyFill="1" applyBorder="1" applyAlignment="1" applyProtection="1">
      <alignment horizontal="left"/>
    </xf>
    <xf numFmtId="174" fontId="10" fillId="9" borderId="6" xfId="1" applyNumberFormat="1" applyFont="1" applyFill="1" applyBorder="1" applyAlignment="1" applyProtection="1">
      <alignment horizontal="left"/>
    </xf>
    <xf numFmtId="0" fontId="11" fillId="11" borderId="0" xfId="1" applyFont="1" applyFill="1"/>
    <xf numFmtId="174" fontId="11" fillId="11" borderId="0" xfId="1" applyNumberFormat="1" applyFont="1" applyFill="1"/>
    <xf numFmtId="0" fontId="9" fillId="2" borderId="8" xfId="1" applyFont="1" applyFill="1" applyBorder="1" applyAlignment="1"/>
    <xf numFmtId="0" fontId="9" fillId="7" borderId="7" xfId="1" applyFont="1" applyFill="1" applyBorder="1"/>
    <xf numFmtId="0" fontId="9" fillId="2" borderId="7" xfId="1" applyNumberFormat="1" applyFont="1" applyFill="1" applyBorder="1" applyAlignment="1">
      <alignment horizontal="center"/>
    </xf>
    <xf numFmtId="0" fontId="9" fillId="2" borderId="9" xfId="1" applyFont="1" applyFill="1" applyBorder="1"/>
    <xf numFmtId="0" fontId="8" fillId="8" borderId="11" xfId="1" applyFont="1" applyFill="1" applyBorder="1" applyAlignment="1">
      <alignment vertical="center" wrapText="1"/>
    </xf>
    <xf numFmtId="0" fontId="9" fillId="9" borderId="9" xfId="1" applyNumberFormat="1" applyFont="1" applyFill="1" applyBorder="1" applyAlignment="1" applyProtection="1">
      <alignment horizontal="left" vertical="center"/>
    </xf>
    <xf numFmtId="174" fontId="10" fillId="9" borderId="9" xfId="1" applyNumberFormat="1" applyFont="1" applyFill="1" applyBorder="1" applyAlignment="1" applyProtection="1">
      <alignment horizontal="left"/>
    </xf>
    <xf numFmtId="0" fontId="9" fillId="9" borderId="28" xfId="1" applyNumberFormat="1" applyFont="1" applyFill="1" applyBorder="1" applyAlignment="1" applyProtection="1">
      <alignment horizontal="left" vertical="center"/>
    </xf>
    <xf numFmtId="0" fontId="9" fillId="9" borderId="27" xfId="1" applyNumberFormat="1" applyFont="1" applyFill="1" applyBorder="1" applyAlignment="1" applyProtection="1">
      <alignment horizontal="left" vertical="center"/>
    </xf>
    <xf numFmtId="0" fontId="9" fillId="9" borderId="26" xfId="1" applyNumberFormat="1" applyFont="1" applyFill="1" applyBorder="1" applyAlignment="1" applyProtection="1">
      <alignment horizontal="left" vertical="center"/>
    </xf>
    <xf numFmtId="0" fontId="9" fillId="7" borderId="6" xfId="1" applyFont="1" applyFill="1" applyBorder="1"/>
    <xf numFmtId="0" fontId="9" fillId="7" borderId="28" xfId="1" applyFont="1" applyFill="1" applyBorder="1"/>
    <xf numFmtId="0" fontId="9" fillId="7" borderId="27" xfId="1" applyFont="1" applyFill="1" applyBorder="1"/>
    <xf numFmtId="0" fontId="9" fillId="7" borderId="26" xfId="1" applyFont="1" applyFill="1" applyBorder="1"/>
    <xf numFmtId="0" fontId="9" fillId="11" borderId="0" xfId="1" applyFont="1" applyFill="1"/>
    <xf numFmtId="0" fontId="9" fillId="11" borderId="0" xfId="1" applyFont="1" applyFill="1" applyAlignment="1">
      <alignment horizontal="left"/>
    </xf>
    <xf numFmtId="0" fontId="8" fillId="8" borderId="11" xfId="1" applyNumberFormat="1" applyFont="1" applyFill="1" applyBorder="1" applyAlignment="1">
      <alignment vertical="center" wrapText="1"/>
    </xf>
    <xf numFmtId="0" fontId="9" fillId="9" borderId="10" xfId="1" applyNumberFormat="1" applyFont="1" applyFill="1" applyBorder="1" applyAlignment="1" applyProtection="1">
      <alignment horizontal="center" vertical="center"/>
    </xf>
    <xf numFmtId="0" fontId="9" fillId="9" borderId="6" xfId="1" applyNumberFormat="1" applyFont="1" applyFill="1" applyBorder="1" applyAlignment="1" applyProtection="1">
      <alignment horizontal="center" vertical="center"/>
    </xf>
    <xf numFmtId="0" fontId="10" fillId="9" borderId="26" xfId="1" applyNumberFormat="1" applyFont="1" applyFill="1" applyBorder="1" applyAlignment="1" applyProtection="1">
      <alignment horizontal="left" vertical="center"/>
    </xf>
    <xf numFmtId="174" fontId="10" fillId="9" borderId="26" xfId="1" applyNumberFormat="1" applyFont="1" applyFill="1" applyBorder="1" applyAlignment="1" applyProtection="1">
      <alignment horizontal="left"/>
    </xf>
    <xf numFmtId="0" fontId="11" fillId="11" borderId="0" xfId="1" applyNumberFormat="1" applyFont="1" applyFill="1"/>
    <xf numFmtId="170" fontId="11" fillId="11" borderId="0" xfId="1" applyNumberFormat="1" applyFont="1" applyFill="1"/>
    <xf numFmtId="0" fontId="24" fillId="2" borderId="13" xfId="1" applyFont="1" applyFill="1" applyBorder="1"/>
    <xf numFmtId="0" fontId="8" fillId="8" borderId="33" xfId="1" applyFont="1" applyFill="1" applyBorder="1" applyAlignment="1">
      <alignment horizontal="center" vertical="center" wrapText="1"/>
    </xf>
    <xf numFmtId="0" fontId="9" fillId="0" borderId="13" xfId="1" applyFont="1" applyBorder="1" applyAlignment="1">
      <alignment horizontal="left"/>
    </xf>
    <xf numFmtId="0" fontId="9" fillId="11" borderId="18" xfId="1" applyFont="1" applyFill="1" applyBorder="1"/>
    <xf numFmtId="0" fontId="9" fillId="11" borderId="17" xfId="1" applyFont="1" applyFill="1" applyBorder="1"/>
    <xf numFmtId="0" fontId="8" fillId="8" borderId="23" xfId="1" applyFont="1" applyFill="1" applyBorder="1" applyAlignment="1">
      <alignment horizontal="center" vertical="center" wrapText="1"/>
    </xf>
    <xf numFmtId="0" fontId="8" fillId="8" borderId="22" xfId="1" applyFont="1" applyFill="1" applyBorder="1" applyAlignment="1">
      <alignment horizontal="center" vertical="center" wrapText="1"/>
    </xf>
    <xf numFmtId="0" fontId="8" fillId="8" borderId="21" xfId="1" applyFont="1" applyFill="1" applyBorder="1" applyAlignment="1">
      <alignment horizontal="center" vertical="center" wrapText="1"/>
    </xf>
    <xf numFmtId="0" fontId="8" fillId="8" borderId="25" xfId="1" applyFont="1" applyFill="1" applyBorder="1" applyAlignment="1">
      <alignment horizontal="center" vertical="center" wrapText="1"/>
    </xf>
    <xf numFmtId="0" fontId="9" fillId="2" borderId="11" xfId="1" applyFont="1" applyFill="1" applyBorder="1" applyAlignment="1">
      <alignment horizontal="left"/>
    </xf>
    <xf numFmtId="0" fontId="24" fillId="2" borderId="13" xfId="1" applyFont="1" applyFill="1" applyBorder="1" applyAlignment="1">
      <alignment horizontal="left"/>
    </xf>
    <xf numFmtId="0" fontId="24" fillId="11" borderId="0" xfId="1" applyFont="1" applyFill="1"/>
    <xf numFmtId="0" fontId="8" fillId="8" borderId="34" xfId="1" applyFont="1" applyFill="1" applyBorder="1" applyAlignment="1">
      <alignment horizontal="center" vertical="center" wrapText="1"/>
    </xf>
    <xf numFmtId="11" fontId="9" fillId="2" borderId="0" xfId="1" applyNumberFormat="1" applyFont="1" applyFill="1" applyBorder="1" applyAlignment="1"/>
    <xf numFmtId="11" fontId="9" fillId="2" borderId="13" xfId="1" applyNumberFormat="1" applyFont="1" applyFill="1" applyBorder="1" applyAlignment="1"/>
    <xf numFmtId="0" fontId="15" fillId="7" borderId="30" xfId="0" applyFont="1" applyFill="1" applyBorder="1"/>
    <xf numFmtId="0" fontId="15" fillId="7" borderId="29" xfId="0" applyFont="1" applyFill="1" applyBorder="1"/>
    <xf numFmtId="0" fontId="15" fillId="11" borderId="0" xfId="0" applyFont="1" applyFill="1"/>
    <xf numFmtId="0" fontId="15" fillId="8" borderId="18" xfId="0" applyFont="1" applyFill="1" applyBorder="1"/>
    <xf numFmtId="0" fontId="15" fillId="8" borderId="9" xfId="0" applyFont="1" applyFill="1" applyBorder="1"/>
    <xf numFmtId="0" fontId="15" fillId="7" borderId="0" xfId="0" applyFont="1" applyFill="1" applyBorder="1"/>
    <xf numFmtId="167" fontId="15" fillId="8" borderId="9" xfId="0" applyNumberFormat="1" applyFont="1" applyFill="1" applyBorder="1"/>
    <xf numFmtId="0" fontId="15" fillId="7" borderId="15" xfId="0" applyFont="1" applyFill="1" applyBorder="1"/>
    <xf numFmtId="0" fontId="15" fillId="7" borderId="39" xfId="0" applyFont="1" applyFill="1" applyBorder="1"/>
    <xf numFmtId="170" fontId="9" fillId="7" borderId="27" xfId="1" applyNumberFormat="1" applyFont="1" applyFill="1" applyBorder="1" applyAlignment="1"/>
    <xf numFmtId="167" fontId="15" fillId="7" borderId="27" xfId="0" applyNumberFormat="1" applyFont="1" applyFill="1" applyBorder="1"/>
    <xf numFmtId="0" fontId="15" fillId="7" borderId="27" xfId="0" applyFont="1" applyFill="1" applyBorder="1"/>
    <xf numFmtId="168" fontId="15" fillId="7" borderId="27" xfId="0" applyNumberFormat="1" applyFont="1" applyFill="1" applyBorder="1"/>
    <xf numFmtId="169" fontId="9" fillId="7" borderId="27" xfId="1" applyNumberFormat="1" applyFont="1" applyFill="1" applyBorder="1" applyAlignment="1"/>
    <xf numFmtId="0" fontId="15" fillId="7" borderId="40" xfId="0" applyFont="1" applyFill="1" applyBorder="1"/>
    <xf numFmtId="0" fontId="15" fillId="7" borderId="41" xfId="0" applyFont="1" applyFill="1" applyBorder="1"/>
    <xf numFmtId="0" fontId="15" fillId="7" borderId="42" xfId="0" applyFont="1" applyFill="1" applyBorder="1"/>
    <xf numFmtId="178" fontId="15" fillId="12" borderId="27" xfId="0" applyNumberFormat="1" applyFont="1" applyFill="1" applyBorder="1"/>
    <xf numFmtId="14" fontId="15" fillId="11" borderId="0" xfId="0" applyNumberFormat="1" applyFont="1" applyFill="1"/>
    <xf numFmtId="167" fontId="9" fillId="0" borderId="0" xfId="1" applyNumberFormat="1" applyFont="1"/>
    <xf numFmtId="0" fontId="8" fillId="8" borderId="43" xfId="1" applyFont="1" applyFill="1" applyBorder="1" applyAlignment="1">
      <alignment horizontal="center" vertical="center" wrapText="1"/>
    </xf>
    <xf numFmtId="0" fontId="3" fillId="2" borderId="6" xfId="46" applyFont="1" applyFill="1" applyBorder="1" applyAlignment="1">
      <alignment horizontal="center" vertical="center"/>
    </xf>
    <xf numFmtId="0" fontId="9" fillId="2" borderId="28" xfId="2" applyNumberFormat="1" applyFont="1" applyFill="1" applyBorder="1" applyAlignment="1">
      <alignment horizontal="center"/>
    </xf>
    <xf numFmtId="0" fontId="9" fillId="2" borderId="27" xfId="2" applyNumberFormat="1" applyFont="1" applyFill="1" applyBorder="1" applyAlignment="1">
      <alignment horizontal="center"/>
    </xf>
    <xf numFmtId="0" fontId="9" fillId="2" borderId="26" xfId="2" applyNumberFormat="1" applyFont="1" applyFill="1" applyBorder="1" applyAlignment="1">
      <alignment horizontal="center"/>
    </xf>
    <xf numFmtId="170" fontId="9" fillId="11" borderId="0" xfId="1" applyNumberFormat="1" applyFont="1" applyFill="1"/>
    <xf numFmtId="0" fontId="16" fillId="8" borderId="25" xfId="3" applyFont="1" applyFill="1" applyBorder="1" applyAlignment="1">
      <alignment horizontal="center"/>
    </xf>
    <xf numFmtId="0" fontId="16" fillId="8" borderId="31" xfId="3" applyFont="1" applyFill="1" applyBorder="1" applyAlignment="1">
      <alignment horizontal="center"/>
    </xf>
    <xf numFmtId="0" fontId="16" fillId="8" borderId="24" xfId="1" applyFont="1" applyFill="1" applyBorder="1" applyAlignment="1"/>
    <xf numFmtId="0" fontId="16" fillId="8" borderId="24" xfId="3" applyFont="1" applyFill="1" applyBorder="1" applyAlignment="1">
      <alignment horizontal="center"/>
    </xf>
    <xf numFmtId="0" fontId="16" fillId="8" borderId="25" xfId="46" applyFont="1" applyFill="1" applyBorder="1" applyAlignment="1">
      <alignment horizontal="center"/>
    </xf>
    <xf numFmtId="0" fontId="16" fillId="8" borderId="31" xfId="46" applyFont="1" applyFill="1" applyBorder="1" applyAlignment="1">
      <alignment horizontal="center"/>
    </xf>
    <xf numFmtId="0" fontId="16" fillId="8" borderId="24" xfId="46" applyFont="1" applyFill="1" applyBorder="1" applyAlignment="1">
      <alignment horizontal="center"/>
    </xf>
    <xf numFmtId="0" fontId="8" fillId="8" borderId="25" xfId="1" applyFont="1" applyFill="1" applyBorder="1" applyAlignment="1">
      <alignment horizontal="center" vertical="center" wrapText="1"/>
    </xf>
    <xf numFmtId="0" fontId="8" fillId="8" borderId="24" xfId="1" applyFont="1" applyFill="1" applyBorder="1" applyAlignment="1">
      <alignment horizontal="center" vertical="center" wrapText="1"/>
    </xf>
    <xf numFmtId="0" fontId="9" fillId="10" borderId="35" xfId="1" applyNumberFormat="1" applyFont="1" applyFill="1" applyBorder="1" applyAlignment="1" applyProtection="1">
      <alignment horizontal="center" vertical="center"/>
    </xf>
    <xf numFmtId="0" fontId="9" fillId="10" borderId="36" xfId="1" applyNumberFormat="1" applyFont="1" applyFill="1" applyBorder="1" applyAlignment="1" applyProtection="1">
      <alignment horizontal="center" vertical="center"/>
    </xf>
    <xf numFmtId="0" fontId="9" fillId="10" borderId="37" xfId="1" applyNumberFormat="1" applyFont="1" applyFill="1" applyBorder="1" applyAlignment="1" applyProtection="1">
      <alignment horizontal="center" vertical="center"/>
    </xf>
    <xf numFmtId="0" fontId="9" fillId="10" borderId="38" xfId="1" applyNumberFormat="1" applyFont="1" applyFill="1" applyBorder="1" applyAlignment="1" applyProtection="1">
      <alignment horizontal="center" vertical="center"/>
    </xf>
  </cellXfs>
  <cellStyles count="47">
    <cellStyle name="Comma 2" xfId="45"/>
    <cellStyle name="Euro" xfId="14"/>
    <cellStyle name="Euro 2" xfId="30"/>
    <cellStyle name="Migliaia (0)_AZIONI" xfId="4"/>
    <cellStyle name="Migliaia_AZIONI" xfId="5"/>
    <cellStyle name="Normal" xfId="0" builtinId="0"/>
    <cellStyle name="Normal 2" xfId="1"/>
    <cellStyle name="Normal 2 2" xfId="10"/>
    <cellStyle name="Normal 2 2 2" xfId="32"/>
    <cellStyle name="Normal 3" xfId="11"/>
    <cellStyle name="Normal 3 2" xfId="20"/>
    <cellStyle name="Normal 3 2 2" xfId="36"/>
    <cellStyle name="Normal 3 2 2 2" xfId="39"/>
    <cellStyle name="Normal 3 2 3" xfId="37"/>
    <cellStyle name="Normal 3 2 4" xfId="27"/>
    <cellStyle name="Normal 3 3" xfId="33"/>
    <cellStyle name="Normal 3 4" xfId="38"/>
    <cellStyle name="Normal 3 5" xfId="24"/>
    <cellStyle name="Normal 3 6" xfId="15"/>
    <cellStyle name="Normal 4" xfId="17"/>
    <cellStyle name="Normal 5" xfId="23"/>
    <cellStyle name="Normal 6" xfId="29"/>
    <cellStyle name="Normal 6 2" xfId="41"/>
    <cellStyle name="Normal 7" xfId="22"/>
    <cellStyle name="Normal 8" xfId="42"/>
    <cellStyle name="Normal_SwaptionATMVols" xfId="3"/>
    <cellStyle name="Normal_SwaptionATMVols 2" xfId="46"/>
    <cellStyle name="Normale_AZIONI" xfId="6"/>
    <cellStyle name="Percent 2" xfId="2"/>
    <cellStyle name="Percent 2 2" xfId="35"/>
    <cellStyle name="Percent 2 2 2" xfId="40"/>
    <cellStyle name="Percent 2 2 3" xfId="44"/>
    <cellStyle name="Percent 2 3" xfId="25"/>
    <cellStyle name="Percent 3" xfId="12"/>
    <cellStyle name="Percent 3 2" xfId="21"/>
    <cellStyle name="Percent 3 2 2" xfId="28"/>
    <cellStyle name="Percent 3 3" xfId="34"/>
    <cellStyle name="Percent 3 4" xfId="16"/>
    <cellStyle name="Percent 4" xfId="13"/>
    <cellStyle name="Percent 4 2" xfId="18"/>
    <cellStyle name="Percent 5" xfId="19"/>
    <cellStyle name="Percent 5 2" xfId="26"/>
    <cellStyle name="Percent 6" xfId="31"/>
    <cellStyle name="Percent 7" xfId="43"/>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EUR_Market_LCH.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Euribor"/>
      <sheetName val="1M"/>
      <sheetName val="3M"/>
      <sheetName val="6M"/>
      <sheetName val="1Y"/>
      <sheetName val="ON"/>
      <sheetName val="STD"/>
    </sheetNames>
    <sheetDataSet>
      <sheetData sheetId="0"/>
      <sheetData sheetId="1"/>
      <sheetData sheetId="2"/>
      <sheetData sheetId="3">
        <row r="3">
          <cell r="B3" t="str">
            <v>EUR3MD</v>
          </cell>
          <cell r="C3">
            <v>42286</v>
          </cell>
          <cell r="E3">
            <v>-1.8000000000000001E-4</v>
          </cell>
        </row>
        <row r="4">
          <cell r="B4" t="str">
            <v>FEIU5</v>
          </cell>
          <cell r="C4">
            <v>42354</v>
          </cell>
          <cell r="E4">
            <v>1.47E-4</v>
          </cell>
        </row>
        <row r="5">
          <cell r="B5" t="str">
            <v>FEIZ5</v>
          </cell>
          <cell r="C5">
            <v>42445</v>
          </cell>
          <cell r="E5">
            <v>1.4200000000000001E-4</v>
          </cell>
        </row>
        <row r="6">
          <cell r="B6" t="str">
            <v>FEIH6</v>
          </cell>
          <cell r="C6">
            <v>42536</v>
          </cell>
          <cell r="E6">
            <v>1.3499820000000001E-4</v>
          </cell>
        </row>
        <row r="7">
          <cell r="B7" t="str">
            <v>FEIM6</v>
          </cell>
          <cell r="C7">
            <v>42634</v>
          </cell>
          <cell r="E7">
            <v>1.7399399999999999E-4</v>
          </cell>
        </row>
        <row r="8">
          <cell r="B8" t="str">
            <v>FEIU6</v>
          </cell>
          <cell r="C8">
            <v>42725</v>
          </cell>
          <cell r="E8">
            <v>3.1199999999999999E-4</v>
          </cell>
        </row>
        <row r="9">
          <cell r="B9" t="str">
            <v>FEIZ6</v>
          </cell>
          <cell r="C9">
            <v>42809</v>
          </cell>
          <cell r="E9">
            <v>5.5001819999999995E-4</v>
          </cell>
        </row>
        <row r="10">
          <cell r="B10" t="str">
            <v>FEIH7</v>
          </cell>
          <cell r="C10">
            <v>42907</v>
          </cell>
          <cell r="E10">
            <v>8.8298459999999995E-4</v>
          </cell>
        </row>
        <row r="11">
          <cell r="B11" t="str">
            <v>FEIM7</v>
          </cell>
          <cell r="C11">
            <v>42998</v>
          </cell>
          <cell r="E11">
            <v>1.2649898000000001E-3</v>
          </cell>
        </row>
        <row r="12">
          <cell r="B12" t="str">
            <v>FEIU7</v>
          </cell>
          <cell r="C12">
            <v>43089</v>
          </cell>
          <cell r="E12">
            <v>1.6949999999999999E-3</v>
          </cell>
        </row>
        <row r="13">
          <cell r="B13" t="str">
            <v>FEIZ7</v>
          </cell>
          <cell r="C13">
            <v>43180</v>
          </cell>
          <cell r="E13">
            <v>2.2989998000000002E-3</v>
          </cell>
        </row>
        <row r="14">
          <cell r="B14" t="str">
            <v>FEIH8</v>
          </cell>
          <cell r="C14">
            <v>43271</v>
          </cell>
          <cell r="E14">
            <v>2.9000001999999999E-3</v>
          </cell>
        </row>
        <row r="15">
          <cell r="B15" t="str">
            <v>FEIM8</v>
          </cell>
          <cell r="C15">
            <v>43362</v>
          </cell>
          <cell r="E15">
            <v>3.6749999999999999E-3</v>
          </cell>
        </row>
        <row r="16">
          <cell r="B16" t="str">
            <v>EUR3E6E4Y</v>
          </cell>
          <cell r="C16">
            <v>43655</v>
          </cell>
          <cell r="E16">
            <v>2.14935E-3</v>
          </cell>
        </row>
        <row r="17">
          <cell r="B17" t="str">
            <v>EUR3E6E5Y</v>
          </cell>
          <cell r="C17">
            <v>44021</v>
          </cell>
          <cell r="E17">
            <v>3.5059499999999999E-3</v>
          </cell>
        </row>
        <row r="18">
          <cell r="B18" t="str">
            <v>EUR3E6E6Y</v>
          </cell>
          <cell r="C18">
            <v>44386</v>
          </cell>
          <cell r="E18">
            <v>4.85675E-3</v>
          </cell>
        </row>
        <row r="19">
          <cell r="B19" t="str">
            <v>EUR3E6E7Y</v>
          </cell>
          <cell r="C19">
            <v>44753</v>
          </cell>
          <cell r="E19">
            <v>6.1834999999999998E-3</v>
          </cell>
        </row>
        <row r="20">
          <cell r="B20" t="str">
            <v>EUR3E6E8Y</v>
          </cell>
          <cell r="C20">
            <v>45117</v>
          </cell>
          <cell r="E20">
            <v>7.4541499999999997E-3</v>
          </cell>
        </row>
        <row r="21">
          <cell r="B21" t="str">
            <v>EUR3E6E9Y</v>
          </cell>
          <cell r="C21">
            <v>45482</v>
          </cell>
          <cell r="E21">
            <v>8.6288000000000007E-3</v>
          </cell>
        </row>
        <row r="22">
          <cell r="B22" t="str">
            <v>EUR3E6E10Y</v>
          </cell>
          <cell r="C22">
            <v>45847</v>
          </cell>
          <cell r="E22">
            <v>9.6754500000000004E-3</v>
          </cell>
        </row>
        <row r="23">
          <cell r="B23" t="str">
            <v>EUR3E6E12Y</v>
          </cell>
          <cell r="C23">
            <v>46577</v>
          </cell>
          <cell r="E23">
            <v>1.146225E-2</v>
          </cell>
        </row>
        <row r="24">
          <cell r="B24" t="str">
            <v>EUR3E6E15Y</v>
          </cell>
          <cell r="C24">
            <v>47673</v>
          </cell>
          <cell r="E24">
            <v>1.3295049999999999E-2</v>
          </cell>
        </row>
        <row r="25">
          <cell r="B25" t="str">
            <v>EUR3E6E20Y</v>
          </cell>
          <cell r="C25">
            <v>49499</v>
          </cell>
          <cell r="E25">
            <v>1.4817149999999999E-2</v>
          </cell>
        </row>
        <row r="26">
          <cell r="B26" t="str">
            <v>EUR3E6E25Y</v>
          </cell>
          <cell r="C26">
            <v>51326</v>
          </cell>
          <cell r="E26">
            <v>1.521515E-2</v>
          </cell>
        </row>
        <row r="27">
          <cell r="B27" t="str">
            <v>EUR3E6E30Y</v>
          </cell>
          <cell r="C27">
            <v>53153</v>
          </cell>
          <cell r="E27">
            <v>1.535215E-2</v>
          </cell>
        </row>
        <row r="28">
          <cell r="B28" t="str">
            <v>EUR3E6E40Y</v>
          </cell>
          <cell r="C28">
            <v>56804</v>
          </cell>
          <cell r="E28">
            <v>1.552775E-2</v>
          </cell>
        </row>
        <row r="29">
          <cell r="B29" t="str">
            <v>EUR3E6E50Y</v>
          </cell>
          <cell r="C29">
            <v>60457</v>
          </cell>
          <cell r="E29">
            <v>1.513275E-2</v>
          </cell>
        </row>
        <row r="30">
          <cell r="B30" t="str">
            <v>EUR3E6E60Y</v>
          </cell>
          <cell r="C30">
            <v>64109</v>
          </cell>
          <cell r="E30">
            <v>1.4892499999999999E-2</v>
          </cell>
        </row>
      </sheetData>
      <sheetData sheetId="4"/>
      <sheetData sheetId="5"/>
      <sheetData sheetId="6"/>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K33"/>
  <sheetViews>
    <sheetView tabSelected="1" workbookViewId="0">
      <selection activeCell="D11" sqref="D11"/>
    </sheetView>
  </sheetViews>
  <sheetFormatPr defaultColWidth="8" defaultRowHeight="11.25" x14ac:dyDescent="0.2"/>
  <cols>
    <col min="1" max="2" width="2.7109375" style="142" customWidth="1"/>
    <col min="3" max="3" width="18" style="142" bestFit="1" customWidth="1"/>
    <col min="4" max="4" width="23.85546875" style="142" bestFit="1" customWidth="1"/>
    <col min="5" max="5" width="22" style="142" bestFit="1" customWidth="1"/>
    <col min="6" max="8" width="2.7109375" style="142" customWidth="1"/>
    <col min="9" max="9" width="18.5703125" style="142" bestFit="1" customWidth="1"/>
    <col min="10" max="10" width="13.5703125" style="142" bestFit="1" customWidth="1"/>
    <col min="11" max="11" width="2.7109375" style="142" customWidth="1"/>
    <col min="12" max="16384" width="8" style="142"/>
  </cols>
  <sheetData>
    <row r="1" spans="2:11" s="66" customFormat="1" ht="12" thickBot="1" x14ac:dyDescent="0.25">
      <c r="B1" s="66" t="str">
        <f>_xll.qlxlVersion(TRUE,Trigger)</f>
        <v>QuantLibXL 1.7.0 - MS VC++ (version unknown) - Multithreaded Dynamic Runtime library - Release Configuration - Aug 31 2015 19:54:36</v>
      </c>
    </row>
    <row r="2" spans="2:11" s="66" customFormat="1" ht="18.75" thickBot="1" x14ac:dyDescent="0.3">
      <c r="B2" s="247" t="s">
        <v>48</v>
      </c>
      <c r="C2" s="248"/>
      <c r="D2" s="248"/>
      <c r="E2" s="248"/>
      <c r="F2" s="249"/>
      <c r="H2" s="247" t="s">
        <v>59</v>
      </c>
      <c r="I2" s="248"/>
      <c r="J2" s="248"/>
      <c r="K2" s="250"/>
    </row>
    <row r="3" spans="2:11" s="66" customFormat="1" x14ac:dyDescent="0.2">
      <c r="B3" s="67"/>
      <c r="C3" s="68"/>
      <c r="D3" s="69"/>
      <c r="E3" s="69"/>
      <c r="F3" s="70"/>
      <c r="H3" s="129"/>
      <c r="I3" s="130"/>
      <c r="J3" s="130"/>
      <c r="K3" s="131"/>
    </row>
    <row r="4" spans="2:11" s="66" customFormat="1" x14ac:dyDescent="0.2">
      <c r="B4" s="67"/>
      <c r="C4" s="71" t="s">
        <v>47</v>
      </c>
      <c r="D4" s="72" t="s">
        <v>114</v>
      </c>
      <c r="E4" s="69"/>
      <c r="F4" s="70"/>
      <c r="H4" s="129"/>
      <c r="I4" s="132" t="s">
        <v>58</v>
      </c>
      <c r="J4" s="133" t="b">
        <v>0</v>
      </c>
      <c r="K4" s="134"/>
    </row>
    <row r="5" spans="2:11" s="66" customFormat="1" x14ac:dyDescent="0.2">
      <c r="B5" s="67"/>
      <c r="C5" s="73" t="s">
        <v>46</v>
      </c>
      <c r="D5" s="74">
        <v>3</v>
      </c>
      <c r="E5" s="69"/>
      <c r="F5" s="70"/>
      <c r="H5" s="129"/>
      <c r="I5" s="132" t="s">
        <v>57</v>
      </c>
      <c r="J5" s="135"/>
      <c r="K5" s="134"/>
    </row>
    <row r="6" spans="2:11" s="66" customFormat="1" x14ac:dyDescent="0.2">
      <c r="B6" s="67"/>
      <c r="C6" s="73" t="s">
        <v>45</v>
      </c>
      <c r="D6" s="74" t="str">
        <f>_xll.qlPeriodEquivalent(D5&amp;"M")</f>
        <v>3M</v>
      </c>
      <c r="E6" s="69"/>
      <c r="F6" s="70"/>
      <c r="H6" s="129"/>
      <c r="I6" s="132" t="s">
        <v>56</v>
      </c>
      <c r="J6" s="136" t="b">
        <v>1</v>
      </c>
      <c r="K6" s="134"/>
    </row>
    <row r="7" spans="2:11" s="66" customFormat="1" ht="12" thickBot="1" x14ac:dyDescent="0.25">
      <c r="B7" s="67"/>
      <c r="C7" s="73" t="s">
        <v>44</v>
      </c>
      <c r="D7" s="74" t="str">
        <f>Months&amp;IF(UPPER(Currency)="EUR","E","L")</f>
        <v>3E</v>
      </c>
      <c r="E7" s="69"/>
      <c r="F7" s="70"/>
      <c r="H7" s="137"/>
      <c r="I7" s="138"/>
      <c r="J7" s="138"/>
      <c r="K7" s="139"/>
    </row>
    <row r="8" spans="2:11" ht="12" thickBot="1" x14ac:dyDescent="0.25">
      <c r="B8" s="67"/>
      <c r="C8" s="73" t="s">
        <v>43</v>
      </c>
      <c r="D8" s="140" t="s">
        <v>115</v>
      </c>
      <c r="E8" s="69"/>
      <c r="F8" s="70"/>
      <c r="G8" s="66"/>
      <c r="H8" s="141"/>
      <c r="I8" s="141"/>
      <c r="J8" s="141"/>
      <c r="K8" s="141"/>
    </row>
    <row r="9" spans="2:11" ht="18.75" thickBot="1" x14ac:dyDescent="0.3">
      <c r="B9" s="143"/>
      <c r="C9" s="144" t="s">
        <v>42</v>
      </c>
      <c r="D9" s="74" t="str">
        <f>Currency&amp;"_YC"&amp;IndexTenor&amp;"RH"</f>
        <v>EUR_YC3MRH</v>
      </c>
      <c r="E9" s="145"/>
      <c r="F9" s="146"/>
      <c r="H9" s="251" t="s">
        <v>55</v>
      </c>
      <c r="I9" s="252"/>
      <c r="J9" s="252"/>
      <c r="K9" s="253"/>
    </row>
    <row r="10" spans="2:11" ht="12.75" x14ac:dyDescent="0.2">
      <c r="B10" s="143"/>
      <c r="C10" s="75" t="s">
        <v>41</v>
      </c>
      <c r="D10" s="74" t="b">
        <v>1</v>
      </c>
      <c r="E10" s="145"/>
      <c r="F10" s="146"/>
      <c r="H10" s="147"/>
      <c r="I10" s="148"/>
      <c r="J10" s="148"/>
      <c r="K10" s="149"/>
    </row>
    <row r="11" spans="2:11" ht="12.75" x14ac:dyDescent="0.2">
      <c r="B11" s="143"/>
      <c r="C11" s="75" t="s">
        <v>40</v>
      </c>
      <c r="D11" s="76"/>
      <c r="E11" s="145"/>
      <c r="F11" s="146"/>
      <c r="H11" s="147"/>
      <c r="I11" s="150" t="s">
        <v>54</v>
      </c>
      <c r="J11" s="133" t="s">
        <v>117</v>
      </c>
      <c r="K11" s="149"/>
    </row>
    <row r="12" spans="2:11" ht="12.75" x14ac:dyDescent="0.2">
      <c r="B12" s="143"/>
      <c r="C12" s="77" t="s">
        <v>39</v>
      </c>
      <c r="D12" s="78" t="b">
        <v>1</v>
      </c>
      <c r="E12" s="145"/>
      <c r="F12" s="146"/>
      <c r="H12" s="147"/>
      <c r="I12" s="150" t="s">
        <v>53</v>
      </c>
      <c r="J12" s="136" t="s">
        <v>52</v>
      </c>
      <c r="K12" s="149"/>
    </row>
    <row r="13" spans="2:11" ht="12.75" x14ac:dyDescent="0.2">
      <c r="B13" s="143"/>
      <c r="C13" s="151"/>
      <c r="D13" s="151"/>
      <c r="E13" s="145"/>
      <c r="F13" s="146"/>
      <c r="H13" s="147"/>
      <c r="I13" s="150" t="s">
        <v>87</v>
      </c>
      <c r="J13" s="136" t="s">
        <v>88</v>
      </c>
      <c r="K13" s="149"/>
    </row>
    <row r="14" spans="2:11" ht="12.75" x14ac:dyDescent="0.2">
      <c r="B14" s="143"/>
      <c r="C14" s="79" t="s">
        <v>38</v>
      </c>
      <c r="D14" s="152" t="str">
        <f>_xll.qlPiecewiseYieldCurve(D16,NDays,Calendar,_xll.ohPack(Selected!D2:D126),DayCounter,,,Accuracy,TraitsID,InterpolatorID,Permanent,,ObjectOverwrite)</f>
        <v>_EURYC3M_linearLCH#0002</v>
      </c>
      <c r="E14" s="152" t="str">
        <f>_xll.qlPiecewiseYieldCurve(E16,E17,E18,_xll.ohPack(Selected!E2:E126),DayCounter,,,E20,E21,E22,Permanent,Trigger,ObjectOverwrite)</f>
        <v>_EURYC3M_cubicLCH#0002</v>
      </c>
      <c r="F14" s="146"/>
      <c r="H14" s="147"/>
      <c r="I14" s="150" t="s">
        <v>89</v>
      </c>
      <c r="J14" s="136" t="s">
        <v>90</v>
      </c>
      <c r="K14" s="149"/>
    </row>
    <row r="15" spans="2:11" ht="12.75" x14ac:dyDescent="0.2">
      <c r="B15" s="143"/>
      <c r="C15" s="80" t="s">
        <v>21</v>
      </c>
      <c r="D15" s="153" t="str">
        <f>_xll.ohRangeRetrieveError(YieldCurve1)</f>
        <v/>
      </c>
      <c r="E15" s="153"/>
      <c r="F15" s="146"/>
      <c r="H15" s="147"/>
      <c r="I15" s="150" t="s">
        <v>91</v>
      </c>
      <c r="J15" s="136" t="s">
        <v>92</v>
      </c>
      <c r="K15" s="149"/>
    </row>
    <row r="16" spans="2:11" ht="12.75" x14ac:dyDescent="0.2">
      <c r="B16" s="143"/>
      <c r="C16" s="79" t="s">
        <v>37</v>
      </c>
      <c r="D16" s="81" t="str">
        <f>"_"&amp;Currency&amp;"YC"&amp;IndexTenor&amp;LCHlinear</f>
        <v>_EURYC3M_linearLCH</v>
      </c>
      <c r="E16" s="81" t="str">
        <f>"_"&amp;Currency&amp;"YC"&amp;IndexTenor&amp;LCHcubic</f>
        <v>_EURYC3M_cubicLCH</v>
      </c>
      <c r="F16" s="146"/>
      <c r="H16" s="147"/>
      <c r="I16" s="150" t="s">
        <v>74</v>
      </c>
      <c r="J16" s="133" t="s">
        <v>118</v>
      </c>
      <c r="K16" s="149"/>
    </row>
    <row r="17" spans="2:11" ht="12.75" x14ac:dyDescent="0.2">
      <c r="B17" s="143"/>
      <c r="C17" s="82" t="s">
        <v>36</v>
      </c>
      <c r="D17" s="83">
        <v>0</v>
      </c>
      <c r="E17" s="83">
        <v>0</v>
      </c>
      <c r="F17" s="146"/>
      <c r="H17" s="147"/>
      <c r="I17" s="150" t="s">
        <v>73</v>
      </c>
      <c r="J17" s="133" t="s">
        <v>119</v>
      </c>
      <c r="K17" s="149"/>
    </row>
    <row r="18" spans="2:11" ht="12.75" x14ac:dyDescent="0.2">
      <c r="B18" s="143"/>
      <c r="C18" s="82" t="s">
        <v>35</v>
      </c>
      <c r="D18" s="154" t="s">
        <v>116</v>
      </c>
      <c r="E18" s="154" t="s">
        <v>116</v>
      </c>
      <c r="F18" s="146"/>
      <c r="H18" s="147"/>
      <c r="I18" s="150" t="s">
        <v>93</v>
      </c>
      <c r="J18" s="133" t="str">
        <f>UPPER(Currency)&amp;"ON"&amp;LCHlinear</f>
        <v>EURON_linearLCH</v>
      </c>
      <c r="K18" s="149"/>
    </row>
    <row r="19" spans="2:11" ht="12.75" x14ac:dyDescent="0.2">
      <c r="B19" s="143"/>
      <c r="C19" s="82" t="s">
        <v>34</v>
      </c>
      <c r="D19" s="154"/>
      <c r="E19" s="154"/>
      <c r="F19" s="146"/>
      <c r="H19" s="147"/>
      <c r="I19" s="150" t="s">
        <v>71</v>
      </c>
      <c r="J19" s="133" t="str">
        <f>UPPER(Currency)&amp;"ON"&amp;LCHcubic</f>
        <v>EURON_cubicLCH</v>
      </c>
      <c r="K19" s="149"/>
    </row>
    <row r="20" spans="2:11" ht="12.75" x14ac:dyDescent="0.2">
      <c r="B20" s="143"/>
      <c r="C20" s="82" t="s">
        <v>33</v>
      </c>
      <c r="D20" s="84" t="e">
        <f>NA()</f>
        <v>#N/A</v>
      </c>
      <c r="E20" s="84" t="e">
        <f>NA()</f>
        <v>#N/A</v>
      </c>
      <c r="F20" s="146"/>
      <c r="H20" s="147"/>
      <c r="I20" s="150" t="s">
        <v>94</v>
      </c>
      <c r="J20" s="133" t="str">
        <f>UPPER(Currency)&amp;"STD"&amp;LCHlinear</f>
        <v>EURSTD_linearLCH</v>
      </c>
      <c r="K20" s="149"/>
    </row>
    <row r="21" spans="2:11" ht="15.75" thickBot="1" x14ac:dyDescent="0.3">
      <c r="B21" s="143"/>
      <c r="C21" s="82" t="s">
        <v>32</v>
      </c>
      <c r="D21" s="85" t="s">
        <v>85</v>
      </c>
      <c r="E21" s="85" t="s">
        <v>31</v>
      </c>
      <c r="F21" s="146"/>
      <c r="H21" s="155"/>
      <c r="I21" s="156"/>
      <c r="J21" s="156"/>
      <c r="K21" s="157"/>
    </row>
    <row r="22" spans="2:11" x14ac:dyDescent="0.2">
      <c r="B22" s="143"/>
      <c r="C22" s="80" t="s">
        <v>30</v>
      </c>
      <c r="D22" s="86" t="s">
        <v>84</v>
      </c>
      <c r="E22" s="86" t="s">
        <v>86</v>
      </c>
      <c r="F22" s="146"/>
    </row>
    <row r="23" spans="2:11" x14ac:dyDescent="0.2">
      <c r="B23" s="143"/>
      <c r="C23" s="151"/>
      <c r="D23" s="151"/>
      <c r="E23" s="145"/>
      <c r="F23" s="146"/>
    </row>
    <row r="24" spans="2:11" x14ac:dyDescent="0.2">
      <c r="B24" s="143"/>
      <c r="C24" s="87">
        <f>_xll.qlTermStructureReferenceDate(YieldCurve1)</f>
        <v>42192</v>
      </c>
      <c r="D24" s="158">
        <f>MAX(_xll.ohPack(Selected!M1:M126))</f>
        <v>1.5793355030483808E-2</v>
      </c>
      <c r="E24" s="88">
        <f>MAX(_xll.ohPack(Selected!N1:N126))</f>
        <v>1.0000476944381678</v>
      </c>
      <c r="F24" s="146"/>
    </row>
    <row r="25" spans="2:11" x14ac:dyDescent="0.2">
      <c r="B25" s="143"/>
      <c r="C25" s="89">
        <f>MAX(_xll.ohPack(Selected!L2:L126))</f>
        <v>64109</v>
      </c>
      <c r="D25" s="159">
        <f>MIN(_xll.ohPack(Selected!M1:M126))</f>
        <v>-1.8250419762991349E-4</v>
      </c>
      <c r="E25" s="160">
        <f>MIN(_xll.ohPack(Selected!N1:N126))</f>
        <v>0.41165995624190699</v>
      </c>
      <c r="F25" s="146"/>
    </row>
    <row r="26" spans="2:11" x14ac:dyDescent="0.2">
      <c r="B26" s="143"/>
      <c r="C26" s="90" t="s">
        <v>21</v>
      </c>
      <c r="D26" s="161" t="str">
        <f>_xll.ohRangeRetrieveError(Selected!M1)</f>
        <v/>
      </c>
      <c r="E26" s="161" t="str">
        <f>_xll.ohRangeRetrieveError(Selected!N1)</f>
        <v/>
      </c>
      <c r="F26" s="146"/>
    </row>
    <row r="27" spans="2:11" x14ac:dyDescent="0.2">
      <c r="B27" s="143"/>
      <c r="C27" s="162"/>
      <c r="D27" s="163" t="str">
        <f>UPPER(Currency)&amp;IndexTenor&amp;LCHlinear</f>
        <v>EUR3M_linearLCH</v>
      </c>
      <c r="E27" s="163" t="str">
        <f>UPPER(Currency)&amp;IndexTenor&amp;LCHcubic</f>
        <v>EUR3M_cubicLCH</v>
      </c>
      <c r="F27" s="146"/>
    </row>
    <row r="28" spans="2:11" x14ac:dyDescent="0.2">
      <c r="B28" s="143"/>
      <c r="C28" s="164" t="s">
        <v>95</v>
      </c>
      <c r="D28" s="165" t="b">
        <f>_xll.qlRelinkableHandleLinkTo(D27,YieldCurve1)</f>
        <v>1</v>
      </c>
      <c r="E28" s="165" t="b">
        <f>_xll.qlRelinkableHandleLinkTo(E27,YieldCurve2)</f>
        <v>1</v>
      </c>
      <c r="F28" s="146"/>
    </row>
    <row r="29" spans="2:11" x14ac:dyDescent="0.2">
      <c r="B29" s="143"/>
      <c r="C29" s="166" t="s">
        <v>75</v>
      </c>
      <c r="D29" s="242" t="b">
        <v>0</v>
      </c>
      <c r="E29" s="242" t="b">
        <v>0</v>
      </c>
      <c r="F29" s="146"/>
    </row>
    <row r="30" spans="2:11" ht="12" thickBot="1" x14ac:dyDescent="0.25">
      <c r="B30" s="167"/>
      <c r="C30" s="168"/>
      <c r="D30" s="169"/>
      <c r="E30" s="170"/>
      <c r="F30" s="171"/>
    </row>
    <row r="31" spans="2:11" ht="11.25" customHeight="1" x14ac:dyDescent="0.2"/>
    <row r="33" ht="14.25" customHeight="1" x14ac:dyDescent="0.2"/>
  </sheetData>
  <mergeCells count="3">
    <mergeCell ref="B2:F2"/>
    <mergeCell ref="H2:K2"/>
    <mergeCell ref="H9:K9"/>
  </mergeCells>
  <dataValidations count="3">
    <dataValidation type="list" allowBlank="1" showInputMessage="1" showErrorMessage="1" sqref="D4">
      <formula1>"EUR,USD,GBP,JPY,CHF,AUD,CNY,CNH,HKD,RMB,SEK,PLN,HUF,CZK"</formula1>
    </dataValidation>
    <dataValidation type="list" allowBlank="1" showInputMessage="1" showErrorMessage="1" sqref="D18:E18">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J16:J17">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N45"/>
  <sheetViews>
    <sheetView showGridLines="0" topLeftCell="C1" workbookViewId="0">
      <selection activeCell="C1" sqref="C1"/>
    </sheetView>
  </sheetViews>
  <sheetFormatPr defaultRowHeight="11.25" outlineLevelCol="1" x14ac:dyDescent="0.2"/>
  <cols>
    <col min="1" max="2" width="14.85546875" style="198" hidden="1" customWidth="1" outlineLevel="1"/>
    <col min="3" max="3" width="22.42578125" style="198" bestFit="1" customWidth="1" collapsed="1"/>
    <col min="4" max="4" width="9" style="198" bestFit="1" customWidth="1"/>
    <col min="5" max="5" width="12.140625" style="198" customWidth="1"/>
    <col min="6" max="6" width="7.7109375" style="198" customWidth="1"/>
    <col min="7" max="7" width="9.42578125" style="198" customWidth="1"/>
    <col min="8" max="8" width="9.140625" style="198" customWidth="1"/>
    <col min="9" max="10" width="17.28515625" style="198" bestFit="1" customWidth="1"/>
    <col min="11" max="11" width="8" style="197" bestFit="1" customWidth="1"/>
    <col min="12" max="12" width="13.7109375" style="197" bestFit="1" customWidth="1"/>
    <col min="13" max="13" width="20.28515625" style="197" hidden="1" customWidth="1"/>
    <col min="14" max="14" width="31.7109375" style="197" hidden="1" customWidth="1"/>
    <col min="15" max="16384" width="9.140625" style="197"/>
  </cols>
  <sheetData>
    <row r="1" spans="1:14" ht="25.5" customHeight="1" x14ac:dyDescent="0.2">
      <c r="A1" s="207" t="s">
        <v>97</v>
      </c>
      <c r="B1" s="207" t="s">
        <v>98</v>
      </c>
      <c r="C1" s="207" t="s">
        <v>76</v>
      </c>
      <c r="D1" s="207" t="s">
        <v>20</v>
      </c>
      <c r="E1" s="207" t="s">
        <v>19</v>
      </c>
      <c r="F1" s="207" t="s">
        <v>18</v>
      </c>
      <c r="G1" s="207" t="s">
        <v>17</v>
      </c>
      <c r="H1" s="207" t="s">
        <v>16</v>
      </c>
      <c r="I1" s="207" t="s">
        <v>15</v>
      </c>
      <c r="J1" s="207" t="s">
        <v>81</v>
      </c>
      <c r="K1" s="44"/>
    </row>
    <row r="2" spans="1:14" x14ac:dyDescent="0.2">
      <c r="A2" s="215" t="str">
        <f>Deposits!F4</f>
        <v>obj_0066a#0002</v>
      </c>
      <c r="B2" s="58" t="str">
        <f>A2</f>
        <v>obj_0066a#0002</v>
      </c>
      <c r="C2" s="58" t="str">
        <f>_xll.qlRateHelperQuoteName(A2)</f>
        <v>EUR3MD_LCHQuote</v>
      </c>
      <c r="D2" s="59">
        <f>_xll.qlRateHelperQuoteValue($A2,Trigger)</f>
        <v>-1.8000000000000001E-4</v>
      </c>
      <c r="E2" s="59"/>
      <c r="F2" s="60" t="b">
        <v>1</v>
      </c>
      <c r="G2" s="60">
        <v>10</v>
      </c>
      <c r="H2" s="60">
        <v>1</v>
      </c>
      <c r="I2" s="61">
        <f>_xll.qlRateHelperEarliestDate($A2,Trigger)</f>
        <v>42194</v>
      </c>
      <c r="J2" s="62">
        <f>_xll.qlRateHelperMaturityDate($A2,Trigger)</f>
        <v>42286</v>
      </c>
      <c r="K2" s="45"/>
    </row>
    <row r="3" spans="1:14" x14ac:dyDescent="0.2">
      <c r="A3" s="93" t="str">
        <f>Futures!L4</f>
        <v>obj_0066b#0001</v>
      </c>
      <c r="B3" s="49" t="str">
        <f>A3</f>
        <v>obj_0066b#0001</v>
      </c>
      <c r="C3" s="49" t="str">
        <f>_xll.qlRateHelperQuoteName(A3)</f>
        <v>FEIU5_LCHQuote</v>
      </c>
      <c r="D3" s="63">
        <f>_xll.qlRateHelperQuoteValue($A3,Trigger)</f>
        <v>99.985299999999995</v>
      </c>
      <c r="E3" s="50">
        <f>_xll.qlFuturesRateHelperConvexityAdjustment($A3,Trigger)</f>
        <v>0</v>
      </c>
      <c r="F3" s="64" t="b">
        <v>1</v>
      </c>
      <c r="G3" s="21">
        <v>10</v>
      </c>
      <c r="H3" s="21">
        <v>1</v>
      </c>
      <c r="I3" s="51">
        <f>_xll.qlRateHelperEarliestDate($A3,Trigger)</f>
        <v>42263</v>
      </c>
      <c r="J3" s="52">
        <f>_xll.qlRateHelperMaturityDate($A3,Trigger)</f>
        <v>42354</v>
      </c>
      <c r="K3" s="45"/>
    </row>
    <row r="4" spans="1:14" x14ac:dyDescent="0.2">
      <c r="A4" s="93" t="str">
        <f>Futures!L5</f>
        <v>obj_00623#0001</v>
      </c>
      <c r="B4" s="49" t="str">
        <f t="shared" ref="B4:B14" si="0">A4</f>
        <v>obj_00623#0001</v>
      </c>
      <c r="C4" s="49" t="str">
        <f>_xll.qlRateHelperQuoteName(A4)</f>
        <v>FEIZ5_LCHQuote</v>
      </c>
      <c r="D4" s="63">
        <f>_xll.qlRateHelperQuoteValue($A4,Trigger)</f>
        <v>99.985799999999998</v>
      </c>
      <c r="E4" s="50">
        <f>_xll.qlFuturesRateHelperConvexityAdjustment($A4,Trigger)</f>
        <v>0</v>
      </c>
      <c r="F4" s="64" t="b">
        <v>1</v>
      </c>
      <c r="G4" s="21">
        <v>10</v>
      </c>
      <c r="H4" s="21">
        <v>1</v>
      </c>
      <c r="I4" s="51">
        <f>_xll.qlRateHelperEarliestDate($A4,Trigger)</f>
        <v>42354</v>
      </c>
      <c r="J4" s="52">
        <f>_xll.qlRateHelperMaturityDate($A4,Trigger)</f>
        <v>42445</v>
      </c>
      <c r="K4" s="45"/>
    </row>
    <row r="5" spans="1:14" x14ac:dyDescent="0.2">
      <c r="A5" s="93" t="str">
        <f>Futures!L6</f>
        <v>obj_00626#0001</v>
      </c>
      <c r="B5" s="49" t="str">
        <f t="shared" si="0"/>
        <v>obj_00626#0001</v>
      </c>
      <c r="C5" s="49" t="str">
        <f>_xll.qlRateHelperQuoteName(A5)</f>
        <v>FEIH6_LCHQuote</v>
      </c>
      <c r="D5" s="63">
        <f>_xll.qlRateHelperQuoteValue($A5,Trigger)</f>
        <v>99.986500180000007</v>
      </c>
      <c r="E5" s="50">
        <f>_xll.qlFuturesRateHelperConvexityAdjustment($A5,Trigger)</f>
        <v>0</v>
      </c>
      <c r="F5" s="64" t="b">
        <v>1</v>
      </c>
      <c r="G5" s="21">
        <v>10</v>
      </c>
      <c r="H5" s="21">
        <v>1</v>
      </c>
      <c r="I5" s="51">
        <f>_xll.qlRateHelperEarliestDate($A5,Trigger)</f>
        <v>42445</v>
      </c>
      <c r="J5" s="52">
        <f>_xll.qlRateHelperMaturityDate($A5,Trigger)</f>
        <v>42536</v>
      </c>
      <c r="K5" s="45"/>
    </row>
    <row r="6" spans="1:14" x14ac:dyDescent="0.2">
      <c r="A6" s="93" t="str">
        <f>Futures!L7</f>
        <v>obj_0062b#0001</v>
      </c>
      <c r="B6" s="49" t="str">
        <f t="shared" si="0"/>
        <v>obj_0062b#0001</v>
      </c>
      <c r="C6" s="49" t="str">
        <f>_xll.qlRateHelperQuoteName(A6)</f>
        <v>FEIM6_LCHQuote</v>
      </c>
      <c r="D6" s="63">
        <f>_xll.qlRateHelperQuoteValue($A6,Trigger)</f>
        <v>99.982600599999998</v>
      </c>
      <c r="E6" s="50">
        <f>_xll.qlFuturesRateHelperConvexityAdjustment($A6,Trigger)</f>
        <v>0</v>
      </c>
      <c r="F6" s="64" t="b">
        <v>1</v>
      </c>
      <c r="G6" s="21">
        <v>10</v>
      </c>
      <c r="H6" s="21">
        <v>1</v>
      </c>
      <c r="I6" s="51">
        <f>_xll.qlRateHelperEarliestDate($A6,Trigger)</f>
        <v>42536</v>
      </c>
      <c r="J6" s="52">
        <f>_xll.qlRateHelperMaturityDate($A6,Trigger)</f>
        <v>42634</v>
      </c>
      <c r="K6" s="45"/>
    </row>
    <row r="7" spans="1:14" x14ac:dyDescent="0.2">
      <c r="A7" s="93" t="str">
        <f>Futures!L8</f>
        <v>obj_0062c#0001</v>
      </c>
      <c r="B7" s="49" t="str">
        <f t="shared" si="0"/>
        <v>obj_0062c#0001</v>
      </c>
      <c r="C7" s="49" t="str">
        <f>_xll.qlRateHelperQuoteName(A7)</f>
        <v>FEIU6_LCHQuote</v>
      </c>
      <c r="D7" s="63">
        <f>_xll.qlRateHelperQuoteValue($A7,Trigger)</f>
        <v>99.968800000000002</v>
      </c>
      <c r="E7" s="50">
        <f>_xll.qlFuturesRateHelperConvexityAdjustment($A7,Trigger)</f>
        <v>0</v>
      </c>
      <c r="F7" s="64" t="b">
        <v>1</v>
      </c>
      <c r="G7" s="21">
        <v>10</v>
      </c>
      <c r="H7" s="21">
        <v>1</v>
      </c>
      <c r="I7" s="51">
        <f>_xll.qlRateHelperEarliestDate($A7,Trigger)</f>
        <v>42634</v>
      </c>
      <c r="J7" s="52">
        <f>_xll.qlRateHelperMaturityDate($A7,Trigger)</f>
        <v>42725</v>
      </c>
      <c r="K7" s="45"/>
    </row>
    <row r="8" spans="1:14" x14ac:dyDescent="0.2">
      <c r="A8" s="93" t="str">
        <f>Futures!L9</f>
        <v>obj_00628#0001</v>
      </c>
      <c r="B8" s="49" t="str">
        <f t="shared" si="0"/>
        <v>obj_00628#0001</v>
      </c>
      <c r="C8" s="49" t="str">
        <f>_xll.qlRateHelperQuoteName(A8)</f>
        <v>FEIZ6_LCHQuote</v>
      </c>
      <c r="D8" s="63">
        <f>_xll.qlRateHelperQuoteValue($A8,Trigger)</f>
        <v>99.944998179999999</v>
      </c>
      <c r="E8" s="50">
        <f>_xll.qlFuturesRateHelperConvexityAdjustment($A8,Trigger)</f>
        <v>0</v>
      </c>
      <c r="F8" s="64" t="b">
        <v>1</v>
      </c>
      <c r="G8" s="21">
        <v>10</v>
      </c>
      <c r="H8" s="21">
        <v>1</v>
      </c>
      <c r="I8" s="51">
        <f>_xll.qlRateHelperEarliestDate($A8,Trigger)</f>
        <v>42725</v>
      </c>
      <c r="J8" s="52">
        <f>_xll.qlRateHelperMaturityDate($A8,Trigger)</f>
        <v>42809</v>
      </c>
      <c r="K8" s="45"/>
    </row>
    <row r="9" spans="1:14" x14ac:dyDescent="0.2">
      <c r="A9" s="93" t="str">
        <f>Futures!L10</f>
        <v>obj_00624#0001</v>
      </c>
      <c r="B9" s="49" t="str">
        <f t="shared" si="0"/>
        <v>obj_00624#0001</v>
      </c>
      <c r="C9" s="49" t="str">
        <f>_xll.qlRateHelperQuoteName(A9)</f>
        <v>FEIH7_LCHQuote</v>
      </c>
      <c r="D9" s="63">
        <f>_xll.qlRateHelperQuoteValue($A9,Trigger)</f>
        <v>99.911701539999996</v>
      </c>
      <c r="E9" s="50">
        <f>_xll.qlFuturesRateHelperConvexityAdjustment($A9,Trigger)</f>
        <v>0</v>
      </c>
      <c r="F9" s="64" t="b">
        <v>1</v>
      </c>
      <c r="G9" s="21">
        <v>10</v>
      </c>
      <c r="H9" s="21">
        <v>1</v>
      </c>
      <c r="I9" s="51">
        <f>_xll.qlRateHelperEarliestDate($A9,Trigger)</f>
        <v>42809</v>
      </c>
      <c r="J9" s="52">
        <f>_xll.qlRateHelperMaturityDate($A9,Trigger)</f>
        <v>42907</v>
      </c>
      <c r="K9" s="45"/>
    </row>
    <row r="10" spans="1:14" x14ac:dyDescent="0.2">
      <c r="A10" s="93" t="str">
        <f>Futures!L11</f>
        <v>obj_00627#0001</v>
      </c>
      <c r="B10" s="49" t="str">
        <f t="shared" si="0"/>
        <v>obj_00627#0001</v>
      </c>
      <c r="C10" s="49" t="str">
        <f>_xll.qlRateHelperQuoteName(A10)</f>
        <v>FEIM7_LCHQuote</v>
      </c>
      <c r="D10" s="63">
        <f>_xll.qlRateHelperQuoteValue($A10,Trigger)</f>
        <v>99.873501020000006</v>
      </c>
      <c r="E10" s="50">
        <f>_xll.qlFuturesRateHelperConvexityAdjustment($A10,Trigger)</f>
        <v>0</v>
      </c>
      <c r="F10" s="64" t="b">
        <v>1</v>
      </c>
      <c r="G10" s="21">
        <v>10</v>
      </c>
      <c r="H10" s="21">
        <v>1</v>
      </c>
      <c r="I10" s="51">
        <f>_xll.qlRateHelperEarliestDate($A10,Trigger)</f>
        <v>42907</v>
      </c>
      <c r="J10" s="52">
        <f>_xll.qlRateHelperMaturityDate($A10,Trigger)</f>
        <v>42998</v>
      </c>
      <c r="K10" s="45"/>
    </row>
    <row r="11" spans="1:14" x14ac:dyDescent="0.2">
      <c r="A11" s="93" t="str">
        <f>Futures!L12</f>
        <v>obj_00625#0001</v>
      </c>
      <c r="B11" s="49" t="str">
        <f t="shared" si="0"/>
        <v>obj_00625#0001</v>
      </c>
      <c r="C11" s="49" t="str">
        <f>_xll.qlRateHelperQuoteName(A11)</f>
        <v>FEIU7_LCHQuote</v>
      </c>
      <c r="D11" s="63">
        <f>_xll.qlRateHelperQuoteValue($A11,Trigger)</f>
        <v>99.830500000000001</v>
      </c>
      <c r="E11" s="50">
        <f>_xll.qlFuturesRateHelperConvexityAdjustment($A11,Trigger)</f>
        <v>0</v>
      </c>
      <c r="F11" s="64" t="b">
        <v>1</v>
      </c>
      <c r="G11" s="21">
        <v>10</v>
      </c>
      <c r="H11" s="21">
        <v>1</v>
      </c>
      <c r="I11" s="51">
        <f>_xll.qlRateHelperEarliestDate($A11,Trigger)</f>
        <v>42998</v>
      </c>
      <c r="J11" s="52">
        <f>_xll.qlRateHelperMaturityDate($A11,Trigger)</f>
        <v>43089</v>
      </c>
      <c r="K11" s="45"/>
    </row>
    <row r="12" spans="1:14" x14ac:dyDescent="0.2">
      <c r="A12" s="93" t="str">
        <f>Futures!L13</f>
        <v>obj_00622#0001</v>
      </c>
      <c r="B12" s="49" t="str">
        <f t="shared" si="0"/>
        <v>obj_00622#0001</v>
      </c>
      <c r="C12" s="49" t="str">
        <f>_xll.qlRateHelperQuoteName(A12)</f>
        <v>FEIZ7_LCHQuote</v>
      </c>
      <c r="D12" s="63">
        <f>_xll.qlRateHelperQuoteValue($A12,Trigger)</f>
        <v>99.770100020000001</v>
      </c>
      <c r="E12" s="50">
        <f>_xll.qlFuturesRateHelperConvexityAdjustment($A12,Trigger)</f>
        <v>0</v>
      </c>
      <c r="F12" s="64" t="b">
        <v>1</v>
      </c>
      <c r="G12" s="21">
        <v>10</v>
      </c>
      <c r="H12" s="21">
        <v>1</v>
      </c>
      <c r="I12" s="51">
        <f>_xll.qlRateHelperEarliestDate($A12,Trigger)</f>
        <v>43089</v>
      </c>
      <c r="J12" s="52">
        <f>_xll.qlRateHelperMaturityDate($A12,Trigger)</f>
        <v>43180</v>
      </c>
      <c r="K12" s="45"/>
    </row>
    <row r="13" spans="1:14" x14ac:dyDescent="0.2">
      <c r="A13" s="93" t="str">
        <f>Futures!L14</f>
        <v>obj_00629#0001</v>
      </c>
      <c r="B13" s="49" t="str">
        <f t="shared" si="0"/>
        <v>obj_00629#0001</v>
      </c>
      <c r="C13" s="49" t="str">
        <f>_xll.qlRateHelperQuoteName(A13)</f>
        <v>FEIH8_LCHQuote</v>
      </c>
      <c r="D13" s="63">
        <f>_xll.qlRateHelperQuoteValue($A13,Trigger)</f>
        <v>99.709999979999992</v>
      </c>
      <c r="E13" s="50">
        <f>_xll.qlFuturesRateHelperConvexityAdjustment($A13,Trigger)</f>
        <v>0</v>
      </c>
      <c r="F13" s="64" t="b">
        <v>1</v>
      </c>
      <c r="G13" s="21">
        <v>10</v>
      </c>
      <c r="H13" s="21">
        <v>1</v>
      </c>
      <c r="I13" s="51">
        <f>_xll.qlRateHelperEarliestDate($A13,Trigger)</f>
        <v>43180</v>
      </c>
      <c r="J13" s="52">
        <f>_xll.qlRateHelperMaturityDate($A13,Trigger)</f>
        <v>43271</v>
      </c>
      <c r="K13" s="45"/>
    </row>
    <row r="14" spans="1:14" x14ac:dyDescent="0.2">
      <c r="A14" s="93" t="str">
        <f>Futures!L15</f>
        <v>obj_0062a#0001</v>
      </c>
      <c r="B14" s="49" t="str">
        <f t="shared" si="0"/>
        <v>obj_0062a#0001</v>
      </c>
      <c r="C14" s="49" t="str">
        <f>_xll.qlRateHelperQuoteName(A14)</f>
        <v>FEIM8_LCHQuote</v>
      </c>
      <c r="D14" s="63">
        <f>_xll.qlRateHelperQuoteValue($A14,Trigger)</f>
        <v>99.632500000000007</v>
      </c>
      <c r="E14" s="50">
        <f>_xll.qlFuturesRateHelperConvexityAdjustment($A14,Trigger)</f>
        <v>0</v>
      </c>
      <c r="F14" s="64" t="b">
        <v>1</v>
      </c>
      <c r="G14" s="21">
        <v>10</v>
      </c>
      <c r="H14" s="21">
        <v>1</v>
      </c>
      <c r="I14" s="51">
        <f>_xll.qlRateHelperEarliestDate($A14,Trigger)</f>
        <v>43271</v>
      </c>
      <c r="J14" s="52">
        <f>_xll.qlRateHelperMaturityDate($A14,Trigger)</f>
        <v>43362</v>
      </c>
      <c r="K14" s="45"/>
    </row>
    <row r="15" spans="1:14" x14ac:dyDescent="0.2">
      <c r="A15" s="92" t="str">
        <f>SwapsFromBasis!M4</f>
        <v>obj_00637#0001</v>
      </c>
      <c r="B15" s="53" t="str">
        <f>SwapsFromBasis!N4</f>
        <v>obj_00635#0001</v>
      </c>
      <c r="C15" s="53" t="str">
        <f>_xll.qlRateHelperQuoteName(A15)</f>
        <v>EUR3E6E4Y_LCHQuote</v>
      </c>
      <c r="D15" s="54">
        <f>_xll.qlRateHelperQuoteValue($A15,Trigger)</f>
        <v>2.14935E-3</v>
      </c>
      <c r="E15" s="54"/>
      <c r="F15" s="55" t="b">
        <v>0</v>
      </c>
      <c r="G15" s="55">
        <v>10</v>
      </c>
      <c r="H15" s="55">
        <v>1</v>
      </c>
      <c r="I15" s="56">
        <f>_xll.qlRateHelperEarliestDate($A15,Trigger)</f>
        <v>42194</v>
      </c>
      <c r="J15" s="57">
        <f>_xll.qlRateHelperMaturityDate($A15,Trigger)</f>
        <v>43655</v>
      </c>
      <c r="K15" s="45"/>
      <c r="M15" s="209" t="e">
        <f>AND(_xll.qlIMMIsIMMdate(#REF!),NOT(ISERROR(#REF!)))</f>
        <v>#NUM!</v>
      </c>
      <c r="N15" s="210" t="e">
        <f>AND(NOT(_xll.qlIMMIsIMMdate(#REF!)),NOT(ISERROR(#REF!)))</f>
        <v>#NUM!</v>
      </c>
    </row>
    <row r="16" spans="1:14" x14ac:dyDescent="0.2">
      <c r="A16" s="93" t="str">
        <f>SwapsFromBasis!M5</f>
        <v>obj_00649#0001</v>
      </c>
      <c r="B16" s="49" t="str">
        <f>SwapsFromBasis!N5</f>
        <v>obj_00639#0001</v>
      </c>
      <c r="C16" s="49" t="str">
        <f>_xll.qlRateHelperQuoteName(A16)</f>
        <v>EUR3E6E5Y_LCHQuote</v>
      </c>
      <c r="D16" s="50">
        <f>_xll.qlRateHelperQuoteValue($A16,Trigger)</f>
        <v>3.5059499999999999E-3</v>
      </c>
      <c r="E16" s="50"/>
      <c r="F16" s="21" t="b">
        <v>0</v>
      </c>
      <c r="G16" s="21">
        <v>10</v>
      </c>
      <c r="H16" s="21">
        <v>1</v>
      </c>
      <c r="I16" s="51">
        <f>_xll.qlRateHelperEarliestDate($A16,Trigger)</f>
        <v>42194</v>
      </c>
      <c r="J16" s="52">
        <f>_xll.qlRateHelperMaturityDate($A16,Trigger)</f>
        <v>44021</v>
      </c>
      <c r="K16" s="45"/>
      <c r="M16" s="209" t="e">
        <f>AND(_xll.qlIMMIsIMMdate(#REF!),NOT(ISERROR(#REF!)))</f>
        <v>#NUM!</v>
      </c>
      <c r="N16" s="210" t="e">
        <f>AND(NOT(_xll.qlIMMIsIMMdate(#REF!)),NOT(ISERROR(#REF!)))</f>
        <v>#NUM!</v>
      </c>
    </row>
    <row r="17" spans="1:14" x14ac:dyDescent="0.2">
      <c r="A17" s="93" t="str">
        <f>SwapsFromBasis!M6</f>
        <v>obj_00631#0001</v>
      </c>
      <c r="B17" s="49" t="str">
        <f>SwapsFromBasis!N6</f>
        <v>obj_00646#0001</v>
      </c>
      <c r="C17" s="49" t="str">
        <f>_xll.qlRateHelperQuoteName(A17)</f>
        <v>EUR3E6E6Y_LCHQuote</v>
      </c>
      <c r="D17" s="50">
        <f>_xll.qlRateHelperQuoteValue($A17,Trigger)</f>
        <v>4.85675E-3</v>
      </c>
      <c r="E17" s="50"/>
      <c r="F17" s="21" t="b">
        <v>0</v>
      </c>
      <c r="G17" s="21">
        <v>10</v>
      </c>
      <c r="H17" s="21">
        <v>1</v>
      </c>
      <c r="I17" s="51">
        <f>_xll.qlRateHelperEarliestDate($A17,Trigger)</f>
        <v>42194</v>
      </c>
      <c r="J17" s="52">
        <f>_xll.qlRateHelperMaturityDate($A17,Trigger)</f>
        <v>44386</v>
      </c>
      <c r="K17" s="45"/>
      <c r="M17" s="209" t="e">
        <f>AND(_xll.qlIMMIsIMMdate(#REF!),NOT(ISERROR(#REF!)))</f>
        <v>#NUM!</v>
      </c>
      <c r="N17" s="210" t="e">
        <f>AND(NOT(_xll.qlIMMIsIMMdate(#REF!)),NOT(ISERROR(#REF!)))</f>
        <v>#NUM!</v>
      </c>
    </row>
    <row r="18" spans="1:14" x14ac:dyDescent="0.2">
      <c r="A18" s="93" t="str">
        <f>SwapsFromBasis!M7</f>
        <v>obj_00638#0001</v>
      </c>
      <c r="B18" s="49" t="str">
        <f>SwapsFromBasis!N7</f>
        <v>obj_00633#0001</v>
      </c>
      <c r="C18" s="49" t="str">
        <f>_xll.qlRateHelperQuoteName(A18)</f>
        <v>EUR3E6E7Y_LCHQuote</v>
      </c>
      <c r="D18" s="50">
        <f>_xll.qlRateHelperQuoteValue($A18,Trigger)</f>
        <v>6.1834999999999998E-3</v>
      </c>
      <c r="E18" s="50"/>
      <c r="F18" s="21" t="b">
        <v>0</v>
      </c>
      <c r="G18" s="21">
        <v>10</v>
      </c>
      <c r="H18" s="21">
        <v>1</v>
      </c>
      <c r="I18" s="51">
        <f>_xll.qlRateHelperEarliestDate($A18,Trigger)</f>
        <v>42194</v>
      </c>
      <c r="J18" s="52">
        <f>_xll.qlRateHelperMaturityDate($A18,Trigger)</f>
        <v>44753</v>
      </c>
      <c r="K18" s="45"/>
      <c r="M18" s="209" t="e">
        <f>AND(_xll.qlIMMIsIMMdate(#REF!),NOT(ISERROR(#REF!)))</f>
        <v>#NUM!</v>
      </c>
      <c r="N18" s="210" t="e">
        <f>AND(NOT(_xll.qlIMMIsIMMdate(#REF!)),NOT(ISERROR(#REF!)))</f>
        <v>#NUM!</v>
      </c>
    </row>
    <row r="19" spans="1:14" x14ac:dyDescent="0.2">
      <c r="A19" s="93" t="str">
        <f>SwapsFromBasis!M8</f>
        <v>obj_0063f#0001</v>
      </c>
      <c r="B19" s="49" t="str">
        <f>SwapsFromBasis!N8</f>
        <v>obj_00636#0001</v>
      </c>
      <c r="C19" s="49" t="str">
        <f>_xll.qlRateHelperQuoteName(A19)</f>
        <v>EUR3E6E8Y_LCHQuote</v>
      </c>
      <c r="D19" s="50">
        <f>_xll.qlRateHelperQuoteValue($A19,Trigger)</f>
        <v>7.4541499999999997E-3</v>
      </c>
      <c r="E19" s="50"/>
      <c r="F19" s="21" t="b">
        <v>0</v>
      </c>
      <c r="G19" s="21">
        <v>10</v>
      </c>
      <c r="H19" s="21">
        <v>1</v>
      </c>
      <c r="I19" s="51">
        <f>_xll.qlRateHelperEarliestDate($A19,Trigger)</f>
        <v>42194</v>
      </c>
      <c r="J19" s="52">
        <f>_xll.qlRateHelperMaturityDate($A19,Trigger)</f>
        <v>45117</v>
      </c>
      <c r="K19" s="45"/>
      <c r="M19" s="209" t="e">
        <f>AND(_xll.qlIMMIsIMMdate(#REF!),NOT(ISERROR(#REF!)))</f>
        <v>#NUM!</v>
      </c>
      <c r="N19" s="210" t="e">
        <f>AND(NOT(_xll.qlIMMIsIMMdate(#REF!)),NOT(ISERROR(#REF!)))</f>
        <v>#NUM!</v>
      </c>
    </row>
    <row r="20" spans="1:14" x14ac:dyDescent="0.2">
      <c r="A20" s="93" t="str">
        <f>SwapsFromBasis!M9</f>
        <v>obj_0063b#0001</v>
      </c>
      <c r="B20" s="49" t="str">
        <f>SwapsFromBasis!N9</f>
        <v>obj_00641#0001</v>
      </c>
      <c r="C20" s="49" t="str">
        <f>_xll.qlRateHelperQuoteName(A20)</f>
        <v>EUR3E6E9Y_LCHQuote</v>
      </c>
      <c r="D20" s="50">
        <f>_xll.qlRateHelperQuoteValue($A20,Trigger)</f>
        <v>8.6288000000000007E-3</v>
      </c>
      <c r="E20" s="50"/>
      <c r="F20" s="21" t="b">
        <v>0</v>
      </c>
      <c r="G20" s="21">
        <v>10</v>
      </c>
      <c r="H20" s="21">
        <v>1</v>
      </c>
      <c r="I20" s="51">
        <f>_xll.qlRateHelperEarliestDate($A20,Trigger)</f>
        <v>42194</v>
      </c>
      <c r="J20" s="52">
        <f>_xll.qlRateHelperMaturityDate($A20,Trigger)</f>
        <v>45482</v>
      </c>
      <c r="K20" s="45"/>
      <c r="M20" s="209" t="e">
        <f>AND(_xll.qlIMMIsIMMdate(#REF!),NOT(ISERROR(#REF!)))</f>
        <v>#NUM!</v>
      </c>
      <c r="N20" s="210" t="e">
        <f>AND(NOT(_xll.qlIMMIsIMMdate(#REF!)),NOT(ISERROR(#REF!)))</f>
        <v>#NUM!</v>
      </c>
    </row>
    <row r="21" spans="1:14" x14ac:dyDescent="0.2">
      <c r="A21" s="93" t="str">
        <f>SwapsFromBasis!M10</f>
        <v>obj_0062e#0001</v>
      </c>
      <c r="B21" s="49" t="str">
        <f>SwapsFromBasis!N10</f>
        <v>obj_00645#0001</v>
      </c>
      <c r="C21" s="49" t="str">
        <f>_xll.qlRateHelperQuoteName(A21)</f>
        <v>EUR3E6E10Y_LCHQuote</v>
      </c>
      <c r="D21" s="50">
        <f>_xll.qlRateHelperQuoteValue($A21,Trigger)</f>
        <v>9.6754500000000004E-3</v>
      </c>
      <c r="E21" s="50"/>
      <c r="F21" s="21" t="b">
        <v>0</v>
      </c>
      <c r="G21" s="21">
        <v>10</v>
      </c>
      <c r="H21" s="21">
        <v>1</v>
      </c>
      <c r="I21" s="51">
        <f>_xll.qlRateHelperEarliestDate($A21,Trigger)</f>
        <v>42194</v>
      </c>
      <c r="J21" s="52">
        <f>_xll.qlRateHelperMaturityDate($A21,Trigger)</f>
        <v>45847</v>
      </c>
      <c r="K21" s="45"/>
      <c r="M21" s="209" t="e">
        <f>AND(_xll.qlIMMIsIMMdate(#REF!),NOT(ISERROR(#REF!)))</f>
        <v>#NUM!</v>
      </c>
      <c r="N21" s="210" t="e">
        <f>AND(NOT(_xll.qlIMMIsIMMdate(#REF!)),NOT(ISERROR(#REF!)))</f>
        <v>#NUM!</v>
      </c>
    </row>
    <row r="22" spans="1:14" x14ac:dyDescent="0.2">
      <c r="A22" s="93" t="str">
        <f>SwapsFromBasis!M11</f>
        <v>obj_0063e#0001</v>
      </c>
      <c r="B22" s="49" t="str">
        <f>SwapsFromBasis!N11</f>
        <v>obj_0063d#0001</v>
      </c>
      <c r="C22" s="49" t="str">
        <f>_xll.qlRateHelperQuoteName(A22)</f>
        <v>EUR3E6E12Y_LCHQuote</v>
      </c>
      <c r="D22" s="50">
        <f>_xll.qlRateHelperQuoteValue($A22,Trigger)</f>
        <v>1.146225E-2</v>
      </c>
      <c r="E22" s="50"/>
      <c r="F22" s="21" t="b">
        <v>0</v>
      </c>
      <c r="G22" s="21">
        <v>10</v>
      </c>
      <c r="H22" s="21">
        <v>1</v>
      </c>
      <c r="I22" s="51">
        <f>_xll.qlRateHelperEarliestDate($A22,Trigger)</f>
        <v>42194</v>
      </c>
      <c r="J22" s="52">
        <f>_xll.qlRateHelperMaturityDate($A22,Trigger)</f>
        <v>46577</v>
      </c>
      <c r="K22" s="45"/>
      <c r="M22" s="209" t="e">
        <f>AND(_xll.qlIMMIsIMMdate(#REF!),NOT(ISERROR(#REF!)))</f>
        <v>#NUM!</v>
      </c>
      <c r="N22" s="210" t="e">
        <f>AND(NOT(_xll.qlIMMIsIMMdate(#REF!)),NOT(ISERROR(#REF!)))</f>
        <v>#NUM!</v>
      </c>
    </row>
    <row r="23" spans="1:14" x14ac:dyDescent="0.2">
      <c r="A23" s="93" t="str">
        <f>SwapsFromBasis!M12</f>
        <v>obj_00647#0001</v>
      </c>
      <c r="B23" s="49" t="str">
        <f>SwapsFromBasis!N12</f>
        <v>obj_00640#0001</v>
      </c>
      <c r="C23" s="49" t="str">
        <f>_xll.qlRateHelperQuoteName(A23)</f>
        <v>EUR3E6E15Y_LCHQuote</v>
      </c>
      <c r="D23" s="50">
        <f>_xll.qlRateHelperQuoteValue($A23,Trigger)</f>
        <v>1.3295049999999999E-2</v>
      </c>
      <c r="E23" s="50"/>
      <c r="F23" s="21" t="b">
        <v>0</v>
      </c>
      <c r="G23" s="21">
        <v>10</v>
      </c>
      <c r="H23" s="21">
        <v>1</v>
      </c>
      <c r="I23" s="51">
        <f>_xll.qlRateHelperEarliestDate($A23,Trigger)</f>
        <v>42194</v>
      </c>
      <c r="J23" s="52">
        <f>_xll.qlRateHelperMaturityDate($A23,Trigger)</f>
        <v>47673</v>
      </c>
      <c r="K23" s="45"/>
      <c r="M23" s="209" t="e">
        <f>AND(_xll.qlIMMIsIMMdate(#REF!),NOT(ISERROR(#REF!)))</f>
        <v>#NUM!</v>
      </c>
      <c r="N23" s="210" t="e">
        <f>AND(NOT(_xll.qlIMMIsIMMdate(#REF!)),NOT(ISERROR(#REF!)))</f>
        <v>#NUM!</v>
      </c>
    </row>
    <row r="24" spans="1:14" x14ac:dyDescent="0.2">
      <c r="A24" s="93" t="str">
        <f>SwapsFromBasis!M13</f>
        <v>obj_0062d#0001</v>
      </c>
      <c r="B24" s="49" t="str">
        <f>SwapsFromBasis!N13</f>
        <v>obj_00648#0001</v>
      </c>
      <c r="C24" s="49" t="str">
        <f>_xll.qlRateHelperQuoteName(A24)</f>
        <v>EUR3E6E20Y_LCHQuote</v>
      </c>
      <c r="D24" s="50">
        <f>_xll.qlRateHelperQuoteValue($A24,Trigger)</f>
        <v>1.4817149999999999E-2</v>
      </c>
      <c r="E24" s="50"/>
      <c r="F24" s="21" t="b">
        <v>0</v>
      </c>
      <c r="G24" s="21">
        <v>10</v>
      </c>
      <c r="H24" s="21">
        <v>1</v>
      </c>
      <c r="I24" s="51">
        <f>_xll.qlRateHelperEarliestDate($A24,Trigger)</f>
        <v>42194</v>
      </c>
      <c r="J24" s="52">
        <f>_xll.qlRateHelperMaturityDate($A24,Trigger)</f>
        <v>49499</v>
      </c>
      <c r="K24" s="45"/>
      <c r="M24" s="209" t="e">
        <f>AND(_xll.qlIMMIsIMMdate(#REF!),NOT(ISERROR(#REF!)))</f>
        <v>#NUM!</v>
      </c>
      <c r="N24" s="210" t="e">
        <f>AND(NOT(_xll.qlIMMIsIMMdate(#REF!)),NOT(ISERROR(#REF!)))</f>
        <v>#NUM!</v>
      </c>
    </row>
    <row r="25" spans="1:14" x14ac:dyDescent="0.2">
      <c r="A25" s="93" t="str">
        <f>SwapsFromBasis!M14</f>
        <v>obj_00634#0001</v>
      </c>
      <c r="B25" s="49" t="str">
        <f>SwapsFromBasis!N14</f>
        <v>obj_0064a#0001</v>
      </c>
      <c r="C25" s="49" t="str">
        <f>_xll.qlRateHelperQuoteName(A25)</f>
        <v>EUR3E6E25Y_LCHQuote</v>
      </c>
      <c r="D25" s="50">
        <f>_xll.qlRateHelperQuoteValue($A25,Trigger)</f>
        <v>1.521515E-2</v>
      </c>
      <c r="E25" s="50"/>
      <c r="F25" s="21" t="b">
        <v>0</v>
      </c>
      <c r="G25" s="21">
        <v>10</v>
      </c>
      <c r="H25" s="21">
        <v>1</v>
      </c>
      <c r="I25" s="51">
        <f>_xll.qlRateHelperEarliestDate($A25,Trigger)</f>
        <v>42194</v>
      </c>
      <c r="J25" s="52">
        <f>_xll.qlRateHelperMaturityDate($A25,Trigger)</f>
        <v>51326</v>
      </c>
      <c r="K25" s="45"/>
      <c r="M25" s="209" t="e">
        <f>AND(_xll.qlIMMIsIMMdate(#REF!),NOT(ISERROR(#REF!)))</f>
        <v>#NUM!</v>
      </c>
      <c r="N25" s="210" t="e">
        <f>AND(NOT(_xll.qlIMMIsIMMdate(#REF!)),NOT(ISERROR(#REF!)))</f>
        <v>#NUM!</v>
      </c>
    </row>
    <row r="26" spans="1:14" x14ac:dyDescent="0.2">
      <c r="A26" s="93" t="str">
        <f>SwapsFromBasis!M15</f>
        <v>obj_0063c#0001</v>
      </c>
      <c r="B26" s="49" t="str">
        <f>SwapsFromBasis!N15</f>
        <v>obj_0062f#0001</v>
      </c>
      <c r="C26" s="49" t="str">
        <f>_xll.qlRateHelperQuoteName(A26)</f>
        <v>EUR3E6E30Y_LCHQuote</v>
      </c>
      <c r="D26" s="50">
        <f>_xll.qlRateHelperQuoteValue($A26,Trigger)</f>
        <v>1.535215E-2</v>
      </c>
      <c r="E26" s="50"/>
      <c r="F26" s="21" t="b">
        <v>0</v>
      </c>
      <c r="G26" s="21">
        <v>10</v>
      </c>
      <c r="H26" s="21">
        <v>1</v>
      </c>
      <c r="I26" s="51">
        <f>_xll.qlRateHelperEarliestDate($A26,Trigger)</f>
        <v>42194</v>
      </c>
      <c r="J26" s="52">
        <f>_xll.qlRateHelperMaturityDate($A26,Trigger)</f>
        <v>53153</v>
      </c>
      <c r="K26" s="45"/>
      <c r="M26" s="209" t="e">
        <f>AND(_xll.qlIMMIsIMMdate(#REF!),NOT(ISERROR(#REF!)))</f>
        <v>#NUM!</v>
      </c>
      <c r="N26" s="210" t="e">
        <f>AND(NOT(_xll.qlIMMIsIMMdate(#REF!)),NOT(ISERROR(#REF!)))</f>
        <v>#NUM!</v>
      </c>
    </row>
    <row r="27" spans="1:14" x14ac:dyDescent="0.2">
      <c r="A27" s="93" t="str">
        <f>SwapsFromBasis!M16</f>
        <v>obj_00642#0001</v>
      </c>
      <c r="B27" s="49" t="str">
        <f>SwapsFromBasis!N16</f>
        <v>obj_0063a#0001</v>
      </c>
      <c r="C27" s="49" t="str">
        <f>_xll.qlRateHelperQuoteName(A27)</f>
        <v>EUR3E6E40Y_LCHQuote</v>
      </c>
      <c r="D27" s="50">
        <f>_xll.qlRateHelperQuoteValue($A27,Trigger)</f>
        <v>1.552775E-2</v>
      </c>
      <c r="E27" s="50"/>
      <c r="F27" s="21" t="b">
        <v>0</v>
      </c>
      <c r="G27" s="21">
        <v>10</v>
      </c>
      <c r="H27" s="21">
        <v>1</v>
      </c>
      <c r="I27" s="51">
        <f>_xll.qlRateHelperEarliestDate($A27,Trigger)</f>
        <v>42194</v>
      </c>
      <c r="J27" s="52">
        <f>_xll.qlRateHelperMaturityDate($A27,Trigger)</f>
        <v>56804</v>
      </c>
      <c r="K27" s="45"/>
      <c r="M27" s="209" t="e">
        <f>AND(_xll.qlIMMIsIMMdate(#REF!),NOT(ISERROR(#REF!)))</f>
        <v>#NUM!</v>
      </c>
      <c r="N27" s="210" t="e">
        <f>AND(NOT(_xll.qlIMMIsIMMdate(#REF!)),NOT(ISERROR(#REF!)))</f>
        <v>#NUM!</v>
      </c>
    </row>
    <row r="28" spans="1:14" x14ac:dyDescent="0.2">
      <c r="A28" s="93" t="str">
        <f>SwapsFromBasis!M17</f>
        <v>obj_00644#0001</v>
      </c>
      <c r="B28" s="49" t="str">
        <f>SwapsFromBasis!N17</f>
        <v>obj_00643#0001</v>
      </c>
      <c r="C28" s="49" t="str">
        <f>_xll.qlRateHelperQuoteName(A28)</f>
        <v>EUR3E6E50Y_LCHQuote</v>
      </c>
      <c r="D28" s="50">
        <f>_xll.qlRateHelperQuoteValue($A28,Trigger)</f>
        <v>1.513275E-2</v>
      </c>
      <c r="E28" s="50"/>
      <c r="F28" s="21" t="b">
        <v>0</v>
      </c>
      <c r="G28" s="21">
        <v>10</v>
      </c>
      <c r="H28" s="21">
        <v>1</v>
      </c>
      <c r="I28" s="51">
        <f>_xll.qlRateHelperEarliestDate($A28,Trigger)</f>
        <v>42194</v>
      </c>
      <c r="J28" s="52">
        <f>_xll.qlRateHelperMaturityDate($A28,Trigger)</f>
        <v>60457</v>
      </c>
      <c r="K28" s="45"/>
      <c r="M28" s="209" t="e">
        <f>AND(_xll.qlIMMIsIMMdate(#REF!),NOT(ISERROR(#REF!)))</f>
        <v>#NUM!</v>
      </c>
      <c r="N28" s="210" t="e">
        <f>AND(NOT(_xll.qlIMMIsIMMdate(#REF!)),NOT(ISERROR(#REF!)))</f>
        <v>#NUM!</v>
      </c>
    </row>
    <row r="29" spans="1:14" x14ac:dyDescent="0.2">
      <c r="A29" s="93" t="str">
        <f>SwapsFromBasis!M18</f>
        <v>obj_00632#0001</v>
      </c>
      <c r="B29" s="49" t="str">
        <f>SwapsFromBasis!N18</f>
        <v>obj_00630#0001</v>
      </c>
      <c r="C29" s="49" t="str">
        <f>_xll.qlRateHelperQuoteName(A29)</f>
        <v>EUR3E6E60Y_LCHQuote</v>
      </c>
      <c r="D29" s="50">
        <f>_xll.qlRateHelperQuoteValue($A29,Trigger)</f>
        <v>1.4892499999999999E-2</v>
      </c>
      <c r="E29" s="50"/>
      <c r="F29" s="21" t="b">
        <v>0</v>
      </c>
      <c r="G29" s="21">
        <v>10</v>
      </c>
      <c r="H29" s="21">
        <v>1</v>
      </c>
      <c r="I29" s="51">
        <f>_xll.qlRateHelperEarliestDate($A29,Trigger)</f>
        <v>42194</v>
      </c>
      <c r="J29" s="52">
        <f>_xll.qlRateHelperMaturityDate($A29,Trigger)</f>
        <v>64109</v>
      </c>
      <c r="K29" s="45"/>
      <c r="M29" s="209" t="e">
        <f>AND(_xll.qlIMMIsIMMdate(#REF!),NOT(ISERROR(#REF!)))</f>
        <v>#NUM!</v>
      </c>
      <c r="N29" s="210" t="e">
        <f>AND(NOT(_xll.qlIMMIsIMMdate(#REF!)),NOT(ISERROR(#REF!)))</f>
        <v>#NUM!</v>
      </c>
    </row>
    <row r="30" spans="1:14" x14ac:dyDescent="0.2">
      <c r="A30" s="92" t="str">
        <f>Swaps!M4</f>
        <v>obj_0065b#0001</v>
      </c>
      <c r="B30" s="53" t="str">
        <f>Swaps!N4</f>
        <v>obj_00657#0001</v>
      </c>
      <c r="C30" s="53" t="str">
        <f>_xll.qlRateHelperQuoteName(A30)</f>
        <v>EUR3E6E4Y_LCHQuote</v>
      </c>
      <c r="D30" s="54">
        <f>_xll.qlRateHelperQuoteValue($A30,Trigger)</f>
        <v>2.14935E-3</v>
      </c>
      <c r="E30" s="54"/>
      <c r="F30" s="55" t="b">
        <v>1</v>
      </c>
      <c r="G30" s="55">
        <v>10</v>
      </c>
      <c r="H30" s="55">
        <v>1</v>
      </c>
      <c r="I30" s="56">
        <f>_xll.qlRateHelperEarliestDate($A30,Trigger)</f>
        <v>42194</v>
      </c>
      <c r="J30" s="57">
        <f>_xll.qlRateHelperMaturityDate($A30,Trigger)</f>
        <v>43655</v>
      </c>
      <c r="K30" s="45"/>
    </row>
    <row r="31" spans="1:14" x14ac:dyDescent="0.2">
      <c r="A31" s="93" t="str">
        <f>Swaps!M5</f>
        <v>obj_00661#0001</v>
      </c>
      <c r="B31" s="49" t="str">
        <f>Swaps!N5</f>
        <v>obj_0065f#0001</v>
      </c>
      <c r="C31" s="49" t="str">
        <f>_xll.qlRateHelperQuoteName(A31)</f>
        <v>EUR3E6E5Y_LCHQuote</v>
      </c>
      <c r="D31" s="50">
        <f>_xll.qlRateHelperQuoteValue($A31,Trigger)</f>
        <v>3.5059499999999999E-3</v>
      </c>
      <c r="E31" s="50"/>
      <c r="F31" s="21" t="b">
        <v>1</v>
      </c>
      <c r="G31" s="21">
        <v>10</v>
      </c>
      <c r="H31" s="21">
        <v>1</v>
      </c>
      <c r="I31" s="51">
        <f>_xll.qlRateHelperEarliestDate($A31,Trigger)</f>
        <v>42194</v>
      </c>
      <c r="J31" s="52">
        <f>_xll.qlRateHelperMaturityDate($A31,Trigger)</f>
        <v>44021</v>
      </c>
      <c r="K31" s="45"/>
    </row>
    <row r="32" spans="1:14" x14ac:dyDescent="0.2">
      <c r="A32" s="93" t="str">
        <f>Swaps!M6</f>
        <v>obj_00659#0001</v>
      </c>
      <c r="B32" s="49" t="str">
        <f>Swaps!N6</f>
        <v>obj_00655#0001</v>
      </c>
      <c r="C32" s="49" t="str">
        <f>_xll.qlRateHelperQuoteName(A32)</f>
        <v>EUR3E6E6Y_LCHQuote</v>
      </c>
      <c r="D32" s="50">
        <f>_xll.qlRateHelperQuoteValue($A32,Trigger)</f>
        <v>4.85675E-3</v>
      </c>
      <c r="E32" s="50"/>
      <c r="F32" s="21" t="b">
        <v>1</v>
      </c>
      <c r="G32" s="21">
        <v>10</v>
      </c>
      <c r="H32" s="21">
        <v>1</v>
      </c>
      <c r="I32" s="51">
        <f>_xll.qlRateHelperEarliestDate($A32,Trigger)</f>
        <v>42194</v>
      </c>
      <c r="J32" s="52">
        <f>_xll.qlRateHelperMaturityDate($A32,Trigger)</f>
        <v>44386</v>
      </c>
      <c r="K32" s="45"/>
    </row>
    <row r="33" spans="1:11" x14ac:dyDescent="0.2">
      <c r="A33" s="93" t="str">
        <f>Swaps!M7</f>
        <v>obj_0064d#0001</v>
      </c>
      <c r="B33" s="49" t="str">
        <f>Swaps!N7</f>
        <v>obj_00668#0001</v>
      </c>
      <c r="C33" s="49" t="str">
        <f>_xll.qlRateHelperQuoteName(A33)</f>
        <v>EUR3E6E7Y_LCHQuote</v>
      </c>
      <c r="D33" s="50">
        <f>_xll.qlRateHelperQuoteValue($A33,Trigger)</f>
        <v>6.1834999999999998E-3</v>
      </c>
      <c r="E33" s="50"/>
      <c r="F33" s="21" t="b">
        <v>1</v>
      </c>
      <c r="G33" s="21">
        <v>10</v>
      </c>
      <c r="H33" s="21">
        <v>1</v>
      </c>
      <c r="I33" s="51">
        <f>_xll.qlRateHelperEarliestDate($A33,Trigger)</f>
        <v>42194</v>
      </c>
      <c r="J33" s="52">
        <f>_xll.qlRateHelperMaturityDate($A33,Trigger)</f>
        <v>44753</v>
      </c>
      <c r="K33" s="45"/>
    </row>
    <row r="34" spans="1:11" x14ac:dyDescent="0.2">
      <c r="A34" s="93" t="str">
        <f>Swaps!M8</f>
        <v>obj_0064c#0001</v>
      </c>
      <c r="B34" s="49" t="str">
        <f>Swaps!N8</f>
        <v>obj_00667#0001</v>
      </c>
      <c r="C34" s="49" t="str">
        <f>_xll.qlRateHelperQuoteName(A34)</f>
        <v>EUR3E6E8Y_LCHQuote</v>
      </c>
      <c r="D34" s="50">
        <f>_xll.qlRateHelperQuoteValue($A34,Trigger)</f>
        <v>7.4541499999999997E-3</v>
      </c>
      <c r="E34" s="50"/>
      <c r="F34" s="21" t="b">
        <v>1</v>
      </c>
      <c r="G34" s="21">
        <v>10</v>
      </c>
      <c r="H34" s="21">
        <v>1</v>
      </c>
      <c r="I34" s="51">
        <f>_xll.qlRateHelperEarliestDate($A34,Trigger)</f>
        <v>42194</v>
      </c>
      <c r="J34" s="52">
        <f>_xll.qlRateHelperMaturityDate($A34,Trigger)</f>
        <v>45117</v>
      </c>
      <c r="K34" s="45"/>
    </row>
    <row r="35" spans="1:11" x14ac:dyDescent="0.2">
      <c r="A35" s="93" t="str">
        <f>Swaps!M9</f>
        <v>obj_0064b#0001</v>
      </c>
      <c r="B35" s="49" t="str">
        <f>Swaps!N9</f>
        <v>obj_00666#0001</v>
      </c>
      <c r="C35" s="49" t="str">
        <f>_xll.qlRateHelperQuoteName(A35)</f>
        <v>EUR3E6E9Y_LCHQuote</v>
      </c>
      <c r="D35" s="50">
        <f>_xll.qlRateHelperQuoteValue($A35,Trigger)</f>
        <v>8.6288000000000007E-3</v>
      </c>
      <c r="E35" s="50"/>
      <c r="F35" s="21" t="b">
        <v>1</v>
      </c>
      <c r="G35" s="21">
        <v>10</v>
      </c>
      <c r="H35" s="21">
        <v>1</v>
      </c>
      <c r="I35" s="51">
        <f>_xll.qlRateHelperEarliestDate($A35,Trigger)</f>
        <v>42194</v>
      </c>
      <c r="J35" s="52">
        <f>_xll.qlRateHelperMaturityDate($A35,Trigger)</f>
        <v>45482</v>
      </c>
      <c r="K35" s="45"/>
    </row>
    <row r="36" spans="1:11" x14ac:dyDescent="0.2">
      <c r="A36" s="93" t="str">
        <f>Swaps!M10</f>
        <v>obj_00663#0001</v>
      </c>
      <c r="B36" s="49" t="str">
        <f>Swaps!N10</f>
        <v>obj_00658#0001</v>
      </c>
      <c r="C36" s="49" t="str">
        <f>_xll.qlRateHelperQuoteName(A36)</f>
        <v>EUR3E6E10Y_LCHQuote</v>
      </c>
      <c r="D36" s="50">
        <f>_xll.qlRateHelperQuoteValue($A36,Trigger)</f>
        <v>9.6754500000000004E-3</v>
      </c>
      <c r="E36" s="50"/>
      <c r="F36" s="21" t="b">
        <v>1</v>
      </c>
      <c r="G36" s="21">
        <v>10</v>
      </c>
      <c r="H36" s="21">
        <v>1</v>
      </c>
      <c r="I36" s="51">
        <f>_xll.qlRateHelperEarliestDate($A36,Trigger)</f>
        <v>42194</v>
      </c>
      <c r="J36" s="52">
        <f>_xll.qlRateHelperMaturityDate($A36,Trigger)</f>
        <v>45847</v>
      </c>
      <c r="K36" s="45"/>
    </row>
    <row r="37" spans="1:11" x14ac:dyDescent="0.2">
      <c r="A37" s="93" t="str">
        <f>Swaps!M11</f>
        <v>obj_0065a#0001</v>
      </c>
      <c r="B37" s="49" t="str">
        <f>Swaps!N11</f>
        <v>obj_00656#0001</v>
      </c>
      <c r="C37" s="49" t="str">
        <f>_xll.qlRateHelperQuoteName(A37)</f>
        <v>EUR3E6E12Y_LCHQuote</v>
      </c>
      <c r="D37" s="50">
        <f>_xll.qlRateHelperQuoteValue($A37,Trigger)</f>
        <v>1.146225E-2</v>
      </c>
      <c r="E37" s="50"/>
      <c r="F37" s="21" t="b">
        <v>1</v>
      </c>
      <c r="G37" s="21">
        <v>10</v>
      </c>
      <c r="H37" s="21">
        <v>1</v>
      </c>
      <c r="I37" s="51">
        <f>_xll.qlRateHelperEarliestDate($A37,Trigger)</f>
        <v>42194</v>
      </c>
      <c r="J37" s="52">
        <f>_xll.qlRateHelperMaturityDate($A37,Trigger)</f>
        <v>46577</v>
      </c>
      <c r="K37" s="45"/>
    </row>
    <row r="38" spans="1:11" x14ac:dyDescent="0.2">
      <c r="A38" s="93" t="str">
        <f>Swaps!M12</f>
        <v>obj_00665#0001</v>
      </c>
      <c r="B38" s="49" t="str">
        <f>Swaps!N12</f>
        <v>obj_0065e#0001</v>
      </c>
      <c r="C38" s="49" t="str">
        <f>_xll.qlRateHelperQuoteName(A38)</f>
        <v>EUR3E6E15Y_LCHQuote</v>
      </c>
      <c r="D38" s="50">
        <f>_xll.qlRateHelperQuoteValue($A38,Trigger)</f>
        <v>1.3295049999999999E-2</v>
      </c>
      <c r="E38" s="50"/>
      <c r="F38" s="21" t="b">
        <v>1</v>
      </c>
      <c r="G38" s="21">
        <v>10</v>
      </c>
      <c r="H38" s="21">
        <v>1</v>
      </c>
      <c r="I38" s="51">
        <f>_xll.qlRateHelperEarliestDate($A38,Trigger)</f>
        <v>42194</v>
      </c>
      <c r="J38" s="52">
        <f>_xll.qlRateHelperMaturityDate($A38,Trigger)</f>
        <v>47673</v>
      </c>
      <c r="K38" s="45"/>
    </row>
    <row r="39" spans="1:11" x14ac:dyDescent="0.2">
      <c r="A39" s="93" t="str">
        <f>Swaps!M13</f>
        <v>obj_0064e#0001</v>
      </c>
      <c r="B39" s="49" t="str">
        <f>Swaps!N13</f>
        <v>obj_00662#0001</v>
      </c>
      <c r="C39" s="49" t="str">
        <f>_xll.qlRateHelperQuoteName(A39)</f>
        <v>EUR3E6E20Y_LCHQuote</v>
      </c>
      <c r="D39" s="50">
        <f>_xll.qlRateHelperQuoteValue($A39,Trigger)</f>
        <v>1.4817149999999999E-2</v>
      </c>
      <c r="E39" s="50"/>
      <c r="F39" s="21" t="b">
        <v>1</v>
      </c>
      <c r="G39" s="21">
        <v>10</v>
      </c>
      <c r="H39" s="21">
        <v>1</v>
      </c>
      <c r="I39" s="51">
        <f>_xll.qlRateHelperEarliestDate($A39,Trigger)</f>
        <v>42194</v>
      </c>
      <c r="J39" s="52">
        <f>_xll.qlRateHelperMaturityDate($A39,Trigger)</f>
        <v>49499</v>
      </c>
      <c r="K39" s="45"/>
    </row>
    <row r="40" spans="1:11" x14ac:dyDescent="0.2">
      <c r="A40" s="93" t="str">
        <f>Swaps!M14</f>
        <v>obj_00660#0001</v>
      </c>
      <c r="B40" s="49" t="str">
        <f>Swaps!N14</f>
        <v>obj_0065d#0001</v>
      </c>
      <c r="C40" s="49" t="str">
        <f>_xll.qlRateHelperQuoteName(A40)</f>
        <v>EUR3E6E25Y_LCHQuote</v>
      </c>
      <c r="D40" s="50">
        <f>_xll.qlRateHelperQuoteValue($A40,Trigger)</f>
        <v>1.521515E-2</v>
      </c>
      <c r="E40" s="50"/>
      <c r="F40" s="21" t="b">
        <v>1</v>
      </c>
      <c r="G40" s="21">
        <v>10</v>
      </c>
      <c r="H40" s="21">
        <v>1</v>
      </c>
      <c r="I40" s="51">
        <f>_xll.qlRateHelperEarliestDate($A40,Trigger)</f>
        <v>42194</v>
      </c>
      <c r="J40" s="52">
        <f>_xll.qlRateHelperMaturityDate($A40,Trigger)</f>
        <v>51326</v>
      </c>
      <c r="K40" s="45"/>
    </row>
    <row r="41" spans="1:11" x14ac:dyDescent="0.2">
      <c r="A41" s="93" t="str">
        <f>Swaps!M15</f>
        <v>obj_00664#0001</v>
      </c>
      <c r="B41" s="49" t="str">
        <f>Swaps!N15</f>
        <v>obj_0065c#0001</v>
      </c>
      <c r="C41" s="49" t="str">
        <f>_xll.qlRateHelperQuoteName(A41)</f>
        <v>EUR3E6E30Y_LCHQuote</v>
      </c>
      <c r="D41" s="50">
        <f>_xll.qlRateHelperQuoteValue($A41,Trigger)</f>
        <v>1.535215E-2</v>
      </c>
      <c r="E41" s="50"/>
      <c r="F41" s="21" t="b">
        <v>1</v>
      </c>
      <c r="G41" s="21">
        <v>10</v>
      </c>
      <c r="H41" s="21">
        <v>1</v>
      </c>
      <c r="I41" s="51">
        <f>_xll.qlRateHelperEarliestDate($A41,Trigger)</f>
        <v>42194</v>
      </c>
      <c r="J41" s="52">
        <f>_xll.qlRateHelperMaturityDate($A41,Trigger)</f>
        <v>53153</v>
      </c>
      <c r="K41" s="45"/>
    </row>
    <row r="42" spans="1:11" x14ac:dyDescent="0.2">
      <c r="A42" s="93" t="str">
        <f>Swaps!M16</f>
        <v>obj_00654#0001</v>
      </c>
      <c r="B42" s="49" t="str">
        <f>Swaps!N16</f>
        <v>obj_00651#0001</v>
      </c>
      <c r="C42" s="49" t="str">
        <f>_xll.qlRateHelperQuoteName(A42)</f>
        <v>EUR3E6E40Y_LCHQuote</v>
      </c>
      <c r="D42" s="50">
        <f>_xll.qlRateHelperQuoteValue($A42,Trigger)</f>
        <v>1.552775E-2</v>
      </c>
      <c r="E42" s="50"/>
      <c r="F42" s="21" t="b">
        <v>1</v>
      </c>
      <c r="G42" s="21">
        <v>10</v>
      </c>
      <c r="H42" s="21">
        <v>1</v>
      </c>
      <c r="I42" s="51">
        <f>_xll.qlRateHelperEarliestDate($A42,Trigger)</f>
        <v>42194</v>
      </c>
      <c r="J42" s="52">
        <f>_xll.qlRateHelperMaturityDate($A42,Trigger)</f>
        <v>56804</v>
      </c>
      <c r="K42" s="45"/>
    </row>
    <row r="43" spans="1:11" x14ac:dyDescent="0.2">
      <c r="A43" s="93" t="str">
        <f>Swaps!M17</f>
        <v>obj_00653#0001</v>
      </c>
      <c r="B43" s="49" t="str">
        <f>Swaps!N17</f>
        <v>obj_00650#0001</v>
      </c>
      <c r="C43" s="49" t="str">
        <f>_xll.qlRateHelperQuoteName(A43)</f>
        <v>EUR3E6E50Y_LCHQuote</v>
      </c>
      <c r="D43" s="50">
        <f>_xll.qlRateHelperQuoteValue($A43,Trigger)</f>
        <v>1.513275E-2</v>
      </c>
      <c r="E43" s="50"/>
      <c r="F43" s="21" t="b">
        <v>1</v>
      </c>
      <c r="G43" s="21">
        <v>10</v>
      </c>
      <c r="H43" s="21">
        <v>1</v>
      </c>
      <c r="I43" s="51">
        <f>_xll.qlRateHelperEarliestDate($A43,Trigger)</f>
        <v>42194</v>
      </c>
      <c r="J43" s="52">
        <f>_xll.qlRateHelperMaturityDate($A43,Trigger)</f>
        <v>60457</v>
      </c>
      <c r="K43" s="45"/>
    </row>
    <row r="44" spans="1:11" x14ac:dyDescent="0.2">
      <c r="A44" s="94" t="str">
        <f>Swaps!M18</f>
        <v>obj_00652#0001</v>
      </c>
      <c r="B44" s="58" t="str">
        <f>Swaps!N18</f>
        <v>obj_0064f#0001</v>
      </c>
      <c r="C44" s="58" t="str">
        <f>_xll.qlRateHelperQuoteName(A44)</f>
        <v>EUR3E6E60Y_LCHQuote</v>
      </c>
      <c r="D44" s="59">
        <f>_xll.qlRateHelperQuoteValue($A44,Trigger)</f>
        <v>1.4892499999999999E-2</v>
      </c>
      <c r="E44" s="59"/>
      <c r="F44" s="60" t="b">
        <v>1</v>
      </c>
      <c r="G44" s="60">
        <v>10</v>
      </c>
      <c r="H44" s="60">
        <v>1</v>
      </c>
      <c r="I44" s="61">
        <f>_xll.qlRateHelperEarliestDate($A44,Trigger)</f>
        <v>42194</v>
      </c>
      <c r="J44" s="62">
        <f>_xll.qlRateHelperMaturityDate($A44,Trigger)</f>
        <v>64109</v>
      </c>
      <c r="K44" s="45"/>
    </row>
    <row r="45" spans="1:11" ht="12" thickBot="1" x14ac:dyDescent="0.25">
      <c r="A45" s="208"/>
      <c r="B45" s="208"/>
      <c r="C45" s="208"/>
      <c r="D45" s="208"/>
      <c r="E45" s="208"/>
      <c r="F45" s="208"/>
      <c r="G45" s="208"/>
      <c r="H45" s="208"/>
      <c r="I45" s="208"/>
      <c r="J45" s="208"/>
      <c r="K45" s="46"/>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P126"/>
  <sheetViews>
    <sheetView workbookViewId="0">
      <selection activeCell="I1" sqref="I1"/>
    </sheetView>
  </sheetViews>
  <sheetFormatPr defaultRowHeight="11.25" outlineLevelCol="1" x14ac:dyDescent="0.2"/>
  <cols>
    <col min="1" max="1" width="24.42578125" style="1" bestFit="1" customWidth="1"/>
    <col min="2" max="2" width="9" style="1" bestFit="1" customWidth="1"/>
    <col min="3" max="3" width="2.7109375" style="1" customWidth="1"/>
    <col min="4" max="5" width="18" style="18" hidden="1" customWidth="1" outlineLevel="1"/>
    <col min="6" max="6" width="25.5703125" style="18" bestFit="1" customWidth="1" collapsed="1"/>
    <col min="7" max="7" width="22.42578125" style="18" hidden="1" customWidth="1"/>
    <col min="8" max="8" width="9" style="18" bestFit="1" customWidth="1"/>
    <col min="9" max="9" width="8" style="18" bestFit="1" customWidth="1"/>
    <col min="10" max="10" width="17.28515625" style="18" bestFit="1" customWidth="1"/>
    <col min="11" max="11" width="17.28515625" style="18" customWidth="1"/>
    <col min="12" max="12" width="17.28515625" style="18" bestFit="1" customWidth="1"/>
    <col min="13" max="13" width="13.140625" style="1" bestFit="1" customWidth="1"/>
    <col min="14" max="14" width="12" style="1" bestFit="1" customWidth="1"/>
    <col min="15" max="15" width="23.28515625" style="1" bestFit="1" customWidth="1"/>
    <col min="16" max="16384" width="9.140625" style="1"/>
  </cols>
  <sheetData>
    <row r="1" spans="1:16" ht="24.75" customHeight="1" thickBot="1" x14ac:dyDescent="0.25">
      <c r="A1" s="254" t="s">
        <v>29</v>
      </c>
      <c r="B1" s="255"/>
      <c r="D1" s="214" t="s">
        <v>28</v>
      </c>
      <c r="E1" s="214" t="s">
        <v>28</v>
      </c>
      <c r="F1" s="211" t="s">
        <v>76</v>
      </c>
      <c r="G1" s="218"/>
      <c r="H1" s="212" t="s">
        <v>27</v>
      </c>
      <c r="I1" s="212"/>
      <c r="J1" s="212" t="s">
        <v>15</v>
      </c>
      <c r="K1" s="241" t="s">
        <v>81</v>
      </c>
      <c r="L1" s="213" t="s">
        <v>113</v>
      </c>
      <c r="M1" s="240">
        <f t="array" ref="M1:M126">_xll.qlPiecewiseYieldCurveData(YieldCurve1)</f>
        <v>-1.8250419762991349E-4</v>
      </c>
      <c r="N1" s="2">
        <f t="array" ref="N1:N126">_xll.qlPiecewiseYieldCurveData(YieldCurve2)</f>
        <v>1</v>
      </c>
      <c r="O1" s="91"/>
    </row>
    <row r="2" spans="1:16" x14ac:dyDescent="0.2">
      <c r="A2" s="3" t="s">
        <v>26</v>
      </c>
      <c r="B2" s="4">
        <v>12</v>
      </c>
      <c r="D2" s="5" t="str">
        <f t="array" ref="D2:D126">_xll.qlRateHelperSelection(_xll.ohFilter(RateHelpers1,RateHelpersIncluded),_xll.ohFilter(RateHelpersPriority,RateHelpersIncluded),nIMMFutures,nSerialFutures,FrontFuturesRollingDays,DepoInclusionCriteria,_xll.ohFilter(MinDistance,RateHelpersIncluded),Trigger)</f>
        <v>obj_0066a</v>
      </c>
      <c r="E2" s="5" t="str">
        <f t="array" ref="E2:E126">_xll.qlRateHelperSelection(_xll.ohFilter(RateHelpers2,RateHelpersIncluded),_xll.ohFilter(RateHelpersPriority,RateHelpersIncluded),nIMMFutures,nSerialFutures,FrontFuturesRollingDays,DepoInclusionCriteria,_xll.ohFilter(MinDistance,RateHelpersIncluded),Trigger)</f>
        <v>obj_0066a</v>
      </c>
      <c r="F2" s="5" t="str">
        <f>_xll.qlRateHelperQuoteName(E2)</f>
        <v>EUR3MD_LCHQuote</v>
      </c>
      <c r="G2" s="219">
        <f>_xll.qlRateHelperRate(D2,Trigger)-H2</f>
        <v>0</v>
      </c>
      <c r="H2" s="6">
        <f>_xll.qlRateHelperRate($E2)</f>
        <v>-1.8000000000000001E-4</v>
      </c>
      <c r="I2" s="6" t="str">
        <f>IF(ISERROR(_xll.qlSwapRateHelperSpread($E2)),IF(ISERROR(_xll.qlFuturesRateHelperConvexityAdjustment($E2)),"--",_xll.qlFuturesRateHelperConvexityAdjustment($E2)),_xll.qlSwapRateHelperSpread($E2))</f>
        <v>--</v>
      </c>
      <c r="J2" s="7">
        <f>_xll.qlRateHelperEarliestDate($E2)</f>
        <v>42194</v>
      </c>
      <c r="K2" s="7">
        <f>_xll.qlRateHelperMaturityDate(E2)</f>
        <v>42286</v>
      </c>
      <c r="L2" s="8">
        <f>_xll.qlRateHelperPillarDate($E2)</f>
        <v>42286</v>
      </c>
      <c r="M2" s="240">
        <v>-1.8250419762991349E-4</v>
      </c>
      <c r="N2" s="2">
        <v>1.0000476944381678</v>
      </c>
      <c r="O2" s="91"/>
      <c r="P2" s="9"/>
    </row>
    <row r="3" spans="1:16" x14ac:dyDescent="0.2">
      <c r="A3" s="10" t="s">
        <v>25</v>
      </c>
      <c r="B3" s="11">
        <v>0</v>
      </c>
      <c r="D3" s="5" t="str">
        <v>obj_0066b</v>
      </c>
      <c r="E3" s="5" t="str">
        <v>obj_0066b</v>
      </c>
      <c r="F3" s="5" t="str">
        <f>_xll.qlRateHelperQuoteName(E3)</f>
        <v>FEIU5_LCHQuote</v>
      </c>
      <c r="G3" s="219">
        <f>_xll.qlRateHelperRate(D3,Trigger)-H3</f>
        <v>0</v>
      </c>
      <c r="H3" s="6">
        <f>_xll.qlRateHelperRate($E3)</f>
        <v>1.4700000000000824E-4</v>
      </c>
      <c r="I3" s="6">
        <f>IF(ISERROR(_xll.qlSwapRateHelperSpread($E3)),IF(ISERROR(_xll.qlFuturesRateHelperConvexityAdjustment($E3)),"--",_xll.qlFuturesRateHelperConvexityAdjustment($E3)),_xll.qlSwapRateHelperSpread($E3))</f>
        <v>0</v>
      </c>
      <c r="J3" s="7">
        <f>_xll.qlRateHelperEarliestDate($E3)</f>
        <v>42263</v>
      </c>
      <c r="K3" s="7">
        <f>_xll.qlRateHelperMaturityDate(E3)</f>
        <v>42354</v>
      </c>
      <c r="L3" s="8">
        <f>_xll.qlRateHelperPillarDate($E3)</f>
        <v>42354</v>
      </c>
      <c r="M3" s="240">
        <v>3.7329731806033761E-6</v>
      </c>
      <c r="N3" s="2">
        <v>1.0000092004568444</v>
      </c>
      <c r="O3" s="91"/>
      <c r="P3" s="9"/>
    </row>
    <row r="4" spans="1:16" x14ac:dyDescent="0.2">
      <c r="A4" s="10" t="s">
        <v>24</v>
      </c>
      <c r="B4" s="11">
        <v>1</v>
      </c>
      <c r="D4" s="5" t="str">
        <v>obj_00623</v>
      </c>
      <c r="E4" s="5" t="str">
        <v>obj_00623</v>
      </c>
      <c r="F4" s="5" t="str">
        <f>_xll.qlRateHelperQuoteName(E4)</f>
        <v>FEIZ5_LCHQuote</v>
      </c>
      <c r="G4" s="219">
        <f>_xll.qlRateHelperRate(D4,Trigger)-H4</f>
        <v>0</v>
      </c>
      <c r="H4" s="6">
        <f>_xll.qlRateHelperRate($E4)</f>
        <v>1.4199999999997548E-4</v>
      </c>
      <c r="I4" s="6">
        <f>IF(ISERROR(_xll.qlSwapRateHelperSpread($E4)),IF(ISERROR(_xll.qlFuturesRateHelperConvexityAdjustment($E4)),"--",_xll.qlFuturesRateHelperConvexityAdjustment($E4)),_xll.qlSwapRateHelperSpread($E4))</f>
        <v>0</v>
      </c>
      <c r="J4" s="7">
        <f>_xll.qlRateHelperEarliestDate($E4)</f>
        <v>42354</v>
      </c>
      <c r="K4" s="7">
        <f>_xll.qlRateHelperMaturityDate(E4)</f>
        <v>42445</v>
      </c>
      <c r="L4" s="8">
        <f>_xll.qlRateHelperPillarDate($E4)</f>
        <v>42445</v>
      </c>
      <c r="M4" s="240">
        <v>5.4173829044014751E-5</v>
      </c>
      <c r="N4" s="2">
        <v>0.99997330697053133</v>
      </c>
      <c r="O4" s="91"/>
      <c r="P4" s="9"/>
    </row>
    <row r="5" spans="1:16" x14ac:dyDescent="0.2">
      <c r="A5" s="10" t="s">
        <v>23</v>
      </c>
      <c r="B5" s="12" t="s">
        <v>22</v>
      </c>
      <c r="D5" s="5" t="str">
        <v>obj_00626</v>
      </c>
      <c r="E5" s="5" t="str">
        <v>obj_00626</v>
      </c>
      <c r="F5" s="5" t="str">
        <f>_xll.qlRateHelperQuoteName(E5)</f>
        <v>FEIH6_LCHQuote</v>
      </c>
      <c r="G5" s="219">
        <f>_xll.qlRateHelperRate(D5,Trigger)-H5</f>
        <v>0</v>
      </c>
      <c r="H5" s="6">
        <f>_xll.qlRateHelperRate($E5)</f>
        <v>1.3499819999995832E-4</v>
      </c>
      <c r="I5" s="6">
        <f>IF(ISERROR(_xll.qlSwapRateHelperSpread($E5)),IF(ISERROR(_xll.qlFuturesRateHelperConvexityAdjustment($E5)),"--",_xll.qlFuturesRateHelperConvexityAdjustment($E5)),_xll.qlSwapRateHelperSpread($E5))</f>
        <v>0</v>
      </c>
      <c r="J5" s="7">
        <f>_xll.qlRateHelperEarliestDate($E5)</f>
        <v>42445</v>
      </c>
      <c r="K5" s="7">
        <f>_xll.qlRateHelperMaturityDate(E5)</f>
        <v>42536</v>
      </c>
      <c r="L5" s="8">
        <f>_xll.qlRateHelperPillarDate($E5)</f>
        <v>42536</v>
      </c>
      <c r="M5" s="240">
        <v>7.6050073138211245E-5</v>
      </c>
      <c r="N5" s="2">
        <v>0.99993918450083252</v>
      </c>
      <c r="O5" s="91"/>
      <c r="P5" s="9"/>
    </row>
    <row r="6" spans="1:16" x14ac:dyDescent="0.2">
      <c r="D6" s="5" t="str">
        <v>obj_0062b</v>
      </c>
      <c r="E6" s="5" t="str">
        <v>obj_0062b</v>
      </c>
      <c r="F6" s="5" t="str">
        <f>_xll.qlRateHelperQuoteName(E6)</f>
        <v>FEIM6_LCHQuote</v>
      </c>
      <c r="G6" s="219">
        <f>_xll.qlRateHelperRate(D6,Trigger)-H6</f>
        <v>0</v>
      </c>
      <c r="H6" s="6">
        <f>_xll.qlRateHelperRate($E6)</f>
        <v>1.7399400000006615E-4</v>
      </c>
      <c r="I6" s="6">
        <f>IF(ISERROR(_xll.qlSwapRateHelperSpread($E6)),IF(ISERROR(_xll.qlFuturesRateHelperConvexityAdjustment($E6)),"--",_xll.qlFuturesRateHelperConvexityAdjustment($E6)),_xll.qlSwapRateHelperSpread($E6))</f>
        <v>0</v>
      </c>
      <c r="J6" s="7">
        <f>_xll.qlRateHelperEarliestDate($E6)</f>
        <v>42536</v>
      </c>
      <c r="K6" s="7">
        <f>_xll.qlRateHelperMaturityDate(E6)</f>
        <v>42634</v>
      </c>
      <c r="L6" s="8">
        <f>_xll.qlRateHelperPillarDate($E6)</f>
        <v>42634</v>
      </c>
      <c r="M6" s="240">
        <v>9.8301024683756293E-5</v>
      </c>
      <c r="N6" s="2">
        <v>0.99989182459123094</v>
      </c>
      <c r="O6" s="91"/>
    </row>
    <row r="7" spans="1:16" x14ac:dyDescent="0.2">
      <c r="D7" s="5" t="str">
        <v>obj_0062c</v>
      </c>
      <c r="E7" s="5" t="str">
        <v>obj_0062c</v>
      </c>
      <c r="F7" s="5" t="str">
        <f>_xll.qlRateHelperQuoteName(E7)</f>
        <v>FEIU6_LCHQuote</v>
      </c>
      <c r="G7" s="219">
        <f>_xll.qlRateHelperRate(D7,Trigger)-H7</f>
        <v>0</v>
      </c>
      <c r="H7" s="6">
        <f>_xll.qlRateHelperRate($E7)</f>
        <v>3.1199999999997896E-4</v>
      </c>
      <c r="I7" s="6">
        <f>IF(ISERROR(_xll.qlSwapRateHelperSpread($E7)),IF(ISERROR(_xll.qlFuturesRateHelperConvexityAdjustment($E7)),"--",_xll.qlFuturesRateHelperConvexityAdjustment($E7)),_xll.qlSwapRateHelperSpread($E7))</f>
        <v>0</v>
      </c>
      <c r="J7" s="7">
        <f>_xll.qlRateHelperEarliestDate($E7)</f>
        <v>42634</v>
      </c>
      <c r="K7" s="7">
        <f>_xll.qlRateHelperMaturityDate(E7)</f>
        <v>42725</v>
      </c>
      <c r="L7" s="8">
        <f>_xll.qlRateHelperPillarDate($E7)</f>
        <v>42725</v>
      </c>
      <c r="M7" s="240">
        <v>1.3552392338071073E-4</v>
      </c>
      <c r="N7" s="2">
        <v>0.99981297267478597</v>
      </c>
      <c r="O7" s="91"/>
    </row>
    <row r="8" spans="1:16" x14ac:dyDescent="0.2">
      <c r="D8" s="5" t="str">
        <v>obj_00628</v>
      </c>
      <c r="E8" s="5" t="str">
        <v>obj_00628</v>
      </c>
      <c r="F8" s="5" t="str">
        <f>_xll.qlRateHelperQuoteName(E8)</f>
        <v>FEIZ6_LCHQuote</v>
      </c>
      <c r="G8" s="219">
        <f>_xll.qlRateHelperRate(D8,Trigger)-H8</f>
        <v>0</v>
      </c>
      <c r="H8" s="6">
        <f>_xll.qlRateHelperRate($E8)</f>
        <v>5.5001820000000201E-4</v>
      </c>
      <c r="I8" s="6">
        <f>IF(ISERROR(_xll.qlSwapRateHelperSpread($E8)),IF(ISERROR(_xll.qlFuturesRateHelperConvexityAdjustment($E8)),"--",_xll.qlFuturesRateHelperConvexityAdjustment($E8)),_xll.qlSwapRateHelperSpread($E8))</f>
        <v>0</v>
      </c>
      <c r="J8" s="7">
        <f>_xll.qlRateHelperEarliestDate($E8)</f>
        <v>42725</v>
      </c>
      <c r="K8" s="7">
        <f>_xll.qlRateHelperMaturityDate(E8)</f>
        <v>42809</v>
      </c>
      <c r="L8" s="8">
        <f>_xll.qlRateHelperPillarDate($E8)</f>
        <v>42809</v>
      </c>
      <c r="M8" s="240">
        <v>1.9298940396276921E-4</v>
      </c>
      <c r="N8" s="2">
        <v>0.99968467556276119</v>
      </c>
      <c r="O8" s="91"/>
    </row>
    <row r="9" spans="1:16" x14ac:dyDescent="0.2">
      <c r="D9" s="5" t="str">
        <v>obj_00624</v>
      </c>
      <c r="E9" s="5" t="str">
        <v>obj_00624</v>
      </c>
      <c r="F9" s="5" t="str">
        <f>_xll.qlRateHelperQuoteName(E9)</f>
        <v>FEIH7_LCHQuote</v>
      </c>
      <c r="G9" s="219">
        <f>_xll.qlRateHelperRate(D9,Trigger)-H9</f>
        <v>0</v>
      </c>
      <c r="H9" s="6">
        <f>_xll.qlRateHelperRate($E9)</f>
        <v>8.8298460000002521E-4</v>
      </c>
      <c r="I9" s="6">
        <f>IF(ISERROR(_xll.qlSwapRateHelperSpread($E9)),IF(ISERROR(_xll.qlFuturesRateHelperConvexityAdjustment($E9)),"--",_xll.qlFuturesRateHelperConvexityAdjustment($E9)),_xll.qlSwapRateHelperSpread($E9))</f>
        <v>0</v>
      </c>
      <c r="J9" s="7">
        <f>_xll.qlRateHelperEarliestDate($E9)</f>
        <v>42809</v>
      </c>
      <c r="K9" s="7">
        <f>_xll.qlRateHelperMaturityDate(E9)</f>
        <v>42907</v>
      </c>
      <c r="L9" s="8">
        <f>_xll.qlRateHelperPillarDate($E9)</f>
        <v>42907</v>
      </c>
      <c r="M9" s="240">
        <v>2.8922832253722955E-4</v>
      </c>
      <c r="N9" s="2">
        <v>0.99944444107136632</v>
      </c>
      <c r="O9" s="91"/>
    </row>
    <row r="10" spans="1:16" x14ac:dyDescent="0.2">
      <c r="D10" s="5" t="str">
        <v>obj_00627</v>
      </c>
      <c r="E10" s="5" t="str">
        <v>obj_00627</v>
      </c>
      <c r="F10" s="5" t="str">
        <f>_xll.qlRateHelperQuoteName(E10)</f>
        <v>FEIM7_LCHQuote</v>
      </c>
      <c r="G10" s="219">
        <f>_xll.qlRateHelperRate(D10,Trigger)-H10</f>
        <v>0</v>
      </c>
      <c r="H10" s="6">
        <f>_xll.qlRateHelperRate($E10)</f>
        <v>1.2649897999998938E-3</v>
      </c>
      <c r="I10" s="6">
        <f>IF(ISERROR(_xll.qlSwapRateHelperSpread($E10)),IF(ISERROR(_xll.qlFuturesRateHelperConvexityAdjustment($E10)),"--",_xll.qlFuturesRateHelperConvexityAdjustment($E10)),_xll.qlSwapRateHelperSpread($E10))</f>
        <v>0</v>
      </c>
      <c r="J10" s="7">
        <f>_xll.qlRateHelperEarliestDate($E10)</f>
        <v>42907</v>
      </c>
      <c r="K10" s="7">
        <f>_xll.qlRateHelperMaturityDate(E10)</f>
        <v>42998</v>
      </c>
      <c r="L10" s="8">
        <f>_xll.qlRateHelperPillarDate($E10)</f>
        <v>42998</v>
      </c>
      <c r="M10" s="240">
        <v>4.0135542531918221E-4</v>
      </c>
      <c r="N10" s="2">
        <v>0.99912495956488712</v>
      </c>
      <c r="O10" s="91"/>
      <c r="P10" s="9"/>
    </row>
    <row r="11" spans="1:16" x14ac:dyDescent="0.2">
      <c r="D11" s="5" t="str">
        <v>obj_00625</v>
      </c>
      <c r="E11" s="5" t="str">
        <v>obj_00625</v>
      </c>
      <c r="F11" s="5" t="str">
        <f>_xll.qlRateHelperQuoteName(E11)</f>
        <v>FEIU7_LCHQuote</v>
      </c>
      <c r="G11" s="219">
        <f>_xll.qlRateHelperRate(D11,Trigger)-H11</f>
        <v>0</v>
      </c>
      <c r="H11" s="6">
        <f>_xll.qlRateHelperRate($E11)</f>
        <v>1.6950000000000021E-3</v>
      </c>
      <c r="I11" s="6">
        <f>IF(ISERROR(_xll.qlSwapRateHelperSpread($E11)),IF(ISERROR(_xll.qlFuturesRateHelperConvexityAdjustment($E11)),"--",_xll.qlFuturesRateHelperConvexityAdjustment($E11)),_xll.qlSwapRateHelperSpread($E11))</f>
        <v>0</v>
      </c>
      <c r="J11" s="7">
        <f>_xll.qlRateHelperEarliestDate($E11)</f>
        <v>42998</v>
      </c>
      <c r="K11" s="7">
        <f>_xll.qlRateHelperMaturityDate(E11)</f>
        <v>43089</v>
      </c>
      <c r="L11" s="8">
        <f>_xll.qlRateHelperPillarDate($E11)</f>
        <v>43089</v>
      </c>
      <c r="M11" s="240">
        <v>5.3494567593598112E-4</v>
      </c>
      <c r="N11" s="2">
        <v>0.99869705948727439</v>
      </c>
      <c r="O11" s="91"/>
      <c r="P11" s="9"/>
    </row>
    <row r="12" spans="1:16" x14ac:dyDescent="0.2">
      <c r="A12" s="13"/>
      <c r="D12" s="5" t="str">
        <v>obj_00622</v>
      </c>
      <c r="E12" s="5" t="str">
        <v>obj_00622</v>
      </c>
      <c r="F12" s="5" t="str">
        <f>_xll.qlRateHelperQuoteName(E12)</f>
        <v>FEIZ7_LCHQuote</v>
      </c>
      <c r="G12" s="219">
        <f>_xll.qlRateHelperRate(D12,Trigger)-H12</f>
        <v>0</v>
      </c>
      <c r="H12" s="6">
        <f>_xll.qlRateHelperRate($E12)</f>
        <v>2.2989998000000345E-3</v>
      </c>
      <c r="I12" s="6">
        <f>IF(ISERROR(_xll.qlSwapRateHelperSpread($E12)),IF(ISERROR(_xll.qlFuturesRateHelperConvexityAdjustment($E12)),"--",_xll.qlFuturesRateHelperConvexityAdjustment($E12)),_xll.qlSwapRateHelperSpread($E12))</f>
        <v>0</v>
      </c>
      <c r="J12" s="7">
        <f>_xll.qlRateHelperEarliestDate($E12)</f>
        <v>43089</v>
      </c>
      <c r="K12" s="7">
        <f>_xll.qlRateHelperMaturityDate(E12)</f>
        <v>43180</v>
      </c>
      <c r="L12" s="8">
        <f>_xll.qlRateHelperPillarDate($E12)</f>
        <v>43180</v>
      </c>
      <c r="M12" s="240">
        <v>7.0030295902067188E-4</v>
      </c>
      <c r="N12" s="2">
        <v>0.99811701769563732</v>
      </c>
      <c r="O12" s="91"/>
      <c r="P12" s="9"/>
    </row>
    <row r="13" spans="1:16" x14ac:dyDescent="0.2">
      <c r="A13" s="13"/>
      <c r="D13" s="5" t="str">
        <v>obj_00629</v>
      </c>
      <c r="E13" s="5" t="str">
        <v>obj_00629</v>
      </c>
      <c r="F13" s="5" t="str">
        <f>_xll.qlRateHelperQuoteName(E13)</f>
        <v>FEIH8_LCHQuote</v>
      </c>
      <c r="G13" s="219">
        <f>_xll.qlRateHelperRate(D13,Trigger)-H13</f>
        <v>0</v>
      </c>
      <c r="H13" s="6">
        <f>_xll.qlRateHelperRate($E13)</f>
        <v>2.9000002000000302E-3</v>
      </c>
      <c r="I13" s="6">
        <f>IF(ISERROR(_xll.qlSwapRateHelperSpread($E13)),IF(ISERROR(_xll.qlFuturesRateHelperConvexityAdjustment($E13)),"--",_xll.qlFuturesRateHelperConvexityAdjustment($E13)),_xll.qlSwapRateHelperSpread($E13))</f>
        <v>0</v>
      </c>
      <c r="J13" s="7">
        <f>_xll.qlRateHelperEarliestDate($E13)</f>
        <v>43180</v>
      </c>
      <c r="K13" s="7">
        <f>_xll.qlRateHelperMaturityDate(E13)</f>
        <v>43271</v>
      </c>
      <c r="L13" s="8">
        <f>_xll.qlRateHelperPillarDate($E13)</f>
        <v>43271</v>
      </c>
      <c r="M13" s="240">
        <v>8.8912566960549133E-4</v>
      </c>
      <c r="N13" s="2">
        <v>0.99738587838603043</v>
      </c>
      <c r="O13" s="91"/>
      <c r="P13" s="9"/>
    </row>
    <row r="14" spans="1:16" x14ac:dyDescent="0.2">
      <c r="D14" s="5" t="str">
        <v>obj_0062a</v>
      </c>
      <c r="E14" s="5" t="str">
        <v>obj_0062a</v>
      </c>
      <c r="F14" s="5" t="str">
        <f>_xll.qlRateHelperQuoteName(E14)</f>
        <v>FEIM8_LCHQuote</v>
      </c>
      <c r="G14" s="219">
        <f>_xll.qlRateHelperRate(D14,Trigger)-H14</f>
        <v>0</v>
      </c>
      <c r="H14" s="6">
        <f>_xll.qlRateHelperRate($E14)</f>
        <v>3.6749999999998728E-3</v>
      </c>
      <c r="I14" s="6">
        <f>IF(ISERROR(_xll.qlSwapRateHelperSpread($E14)),IF(ISERROR(_xll.qlFuturesRateHelperConvexityAdjustment($E14)),"--",_xll.qlFuturesRateHelperConvexityAdjustment($E14)),_xll.qlSwapRateHelperSpread($E14))</f>
        <v>0</v>
      </c>
      <c r="J14" s="7">
        <f>_xll.qlRateHelperEarliestDate($E14)</f>
        <v>43271</v>
      </c>
      <c r="K14" s="7">
        <f>_xll.qlRateHelperMaturityDate(E14)</f>
        <v>43362</v>
      </c>
      <c r="L14" s="8">
        <f>_xll.qlRateHelperPillarDate($E14)</f>
        <v>43362</v>
      </c>
      <c r="M14" s="240">
        <v>1.1096401672799393E-3</v>
      </c>
      <c r="N14" s="2">
        <v>0.99646020837162863</v>
      </c>
      <c r="O14" s="91"/>
      <c r="P14" s="9"/>
    </row>
    <row r="15" spans="1:16" x14ac:dyDescent="0.2">
      <c r="D15" s="5" t="str">
        <v>obj_0065b</v>
      </c>
      <c r="E15" s="5" t="str">
        <v>obj_00657</v>
      </c>
      <c r="F15" s="5" t="str">
        <f>_xll.qlRateHelperQuoteName(E15)</f>
        <v>EUR3E6E4Y_LCHQuote</v>
      </c>
      <c r="G15" s="219">
        <f>_xll.qlRateHelperRate(D15,Trigger)-H15</f>
        <v>0</v>
      </c>
      <c r="H15" s="6">
        <f>_xll.qlRateHelperRate($E15)</f>
        <v>2.14935E-3</v>
      </c>
      <c r="I15" s="6">
        <f>IF(ISERROR(_xll.qlSwapRateHelperSpread($E15)),IF(ISERROR(_xll.qlFuturesRateHelperConvexityAdjustment($E15)),"--",_xll.qlFuturesRateHelperConvexityAdjustment($E15)),_xll.qlSwapRateHelperSpread($E15))</f>
        <v>0</v>
      </c>
      <c r="J15" s="7">
        <f>_xll.qlRateHelperEarliestDate($E15)</f>
        <v>42194</v>
      </c>
      <c r="K15" s="7">
        <f>_xll.qlRateHelperMaturityDate(E15)</f>
        <v>43655</v>
      </c>
      <c r="L15" s="8">
        <f>_xll.qlRateHelperPillarDate($E15)</f>
        <v>43655</v>
      </c>
      <c r="M15" s="240">
        <v>2.1443818416705448E-3</v>
      </c>
      <c r="N15" s="2">
        <v>0.99144255681273064</v>
      </c>
      <c r="O15" s="91"/>
      <c r="P15" s="9"/>
    </row>
    <row r="16" spans="1:16" x14ac:dyDescent="0.2">
      <c r="D16" s="5" t="str">
        <v>obj_00661</v>
      </c>
      <c r="E16" s="5" t="str">
        <v>obj_0065f</v>
      </c>
      <c r="F16" s="5" t="str">
        <f>_xll.qlRateHelperQuoteName(E16)</f>
        <v>EUR3E6E5Y_LCHQuote</v>
      </c>
      <c r="G16" s="219">
        <f>_xll.qlRateHelperRate(D16,Trigger)-H16</f>
        <v>0</v>
      </c>
      <c r="H16" s="6">
        <f>_xll.qlRateHelperRate($E16)</f>
        <v>3.5059499999999999E-3</v>
      </c>
      <c r="I16" s="6">
        <f>IF(ISERROR(_xll.qlSwapRateHelperSpread($E16)),IF(ISERROR(_xll.qlFuturesRateHelperConvexityAdjustment($E16)),"--",_xll.qlFuturesRateHelperConvexityAdjustment($E16)),_xll.qlSwapRateHelperSpread($E16))</f>
        <v>0</v>
      </c>
      <c r="J16" s="7">
        <f>_xll.qlRateHelperEarliestDate($E16)</f>
        <v>42194</v>
      </c>
      <c r="K16" s="7">
        <f>_xll.qlRateHelperMaturityDate(E16)</f>
        <v>44021</v>
      </c>
      <c r="L16" s="8">
        <f>_xll.qlRateHelperPillarDate($E16)</f>
        <v>44021</v>
      </c>
      <c r="M16" s="240">
        <v>3.5019781236809416E-3</v>
      </c>
      <c r="N16" s="2">
        <v>0.982606033265782</v>
      </c>
      <c r="O16" s="91"/>
      <c r="P16" s="9"/>
    </row>
    <row r="17" spans="4:16" x14ac:dyDescent="0.2">
      <c r="D17" s="5" t="str">
        <v>obj_00659</v>
      </c>
      <c r="E17" s="5" t="str">
        <v>obj_00655</v>
      </c>
      <c r="F17" s="5" t="str">
        <f>_xll.qlRateHelperQuoteName(E17)</f>
        <v>EUR3E6E6Y_LCHQuote</v>
      </c>
      <c r="G17" s="219">
        <f>_xll.qlRateHelperRate(D17,Trigger)-H17</f>
        <v>0</v>
      </c>
      <c r="H17" s="6">
        <f>_xll.qlRateHelperRate($E17)</f>
        <v>4.85675E-3</v>
      </c>
      <c r="I17" s="6">
        <f>IF(ISERROR(_xll.qlSwapRateHelperSpread($E17)),IF(ISERROR(_xll.qlFuturesRateHelperConvexityAdjustment($E17)),"--",_xll.qlFuturesRateHelperConvexityAdjustment($E17)),_xll.qlSwapRateHelperSpread($E17))</f>
        <v>0</v>
      </c>
      <c r="J17" s="7">
        <f>_xll.qlRateHelperEarliestDate($E17)</f>
        <v>42194</v>
      </c>
      <c r="K17" s="7">
        <f>_xll.qlRateHelperMaturityDate(E17)</f>
        <v>44386</v>
      </c>
      <c r="L17" s="8">
        <f>_xll.qlRateHelperPillarDate($E17)</f>
        <v>44386</v>
      </c>
      <c r="M17" s="240">
        <v>4.8610677343681446E-3</v>
      </c>
      <c r="N17" s="2">
        <v>0.97120416395883769</v>
      </c>
      <c r="O17" s="91"/>
      <c r="P17" s="9"/>
    </row>
    <row r="18" spans="4:16" x14ac:dyDescent="0.2">
      <c r="D18" s="5" t="str">
        <v>obj_0064d</v>
      </c>
      <c r="E18" s="5" t="str">
        <v>obj_00668</v>
      </c>
      <c r="F18" s="5" t="str">
        <f>_xll.qlRateHelperQuoteName(E18)</f>
        <v>EUR3E6E7Y_LCHQuote</v>
      </c>
      <c r="G18" s="219">
        <f>_xll.qlRateHelperRate(D18,Trigger)-H18</f>
        <v>0</v>
      </c>
      <c r="H18" s="6">
        <f>_xll.qlRateHelperRate($E18)</f>
        <v>6.1834999999999998E-3</v>
      </c>
      <c r="I18" s="6">
        <f>IF(ISERROR(_xll.qlSwapRateHelperSpread($E18)),IF(ISERROR(_xll.qlFuturesRateHelperConvexityAdjustment($E18)),"--",_xll.qlFuturesRateHelperConvexityAdjustment($E18)),_xll.qlSwapRateHelperSpread($E18))</f>
        <v>0</v>
      </c>
      <c r="J18" s="7">
        <f>_xll.qlRateHelperEarliestDate($E18)</f>
        <v>42194</v>
      </c>
      <c r="K18" s="7">
        <f>_xll.qlRateHelperMaturityDate(E18)</f>
        <v>44753</v>
      </c>
      <c r="L18" s="8">
        <f>_xll.qlRateHelperPillarDate($E18)</f>
        <v>44753</v>
      </c>
      <c r="M18" s="240">
        <v>6.204067681910572E-3</v>
      </c>
      <c r="N18" s="2">
        <v>0.95740439824531209</v>
      </c>
      <c r="O18" s="91"/>
      <c r="P18" s="9"/>
    </row>
    <row r="19" spans="4:16" x14ac:dyDescent="0.2">
      <c r="D19" s="5" t="str">
        <v>obj_0064c</v>
      </c>
      <c r="E19" s="5" t="str">
        <v>obj_00667</v>
      </c>
      <c r="F19" s="5" t="str">
        <f>_xll.qlRateHelperQuoteName(E19)</f>
        <v>EUR3E6E8Y_LCHQuote</v>
      </c>
      <c r="G19" s="219">
        <f>_xll.qlRateHelperRate(D19,Trigger)-H19</f>
        <v>0</v>
      </c>
      <c r="H19" s="6">
        <f>_xll.qlRateHelperRate($E19)</f>
        <v>7.4541499999999997E-3</v>
      </c>
      <c r="I19" s="6">
        <f>IF(ISERROR(_xll.qlSwapRateHelperSpread($E19)),IF(ISERROR(_xll.qlFuturesRateHelperConvexityAdjustment($E19)),"--",_xll.qlFuturesRateHelperConvexityAdjustment($E19)),_xll.qlSwapRateHelperSpread($E19))</f>
        <v>0</v>
      </c>
      <c r="J19" s="7">
        <f>_xll.qlRateHelperEarliestDate($E19)</f>
        <v>42194</v>
      </c>
      <c r="K19" s="7">
        <f>_xll.qlRateHelperMaturityDate(E19)</f>
        <v>45117</v>
      </c>
      <c r="L19" s="8">
        <f>_xll.qlRateHelperPillarDate($E19)</f>
        <v>45117</v>
      </c>
      <c r="M19" s="240">
        <v>7.4990304568034617E-3</v>
      </c>
      <c r="N19" s="2">
        <v>0.94167752657395587</v>
      </c>
      <c r="O19" s="91"/>
      <c r="P19" s="9"/>
    </row>
    <row r="20" spans="4:16" x14ac:dyDescent="0.2">
      <c r="D20" s="5" t="str">
        <v>obj_0064b</v>
      </c>
      <c r="E20" s="5" t="str">
        <v>obj_00666</v>
      </c>
      <c r="F20" s="5" t="str">
        <f>_xll.qlRateHelperQuoteName(E20)</f>
        <v>EUR3E6E9Y_LCHQuote</v>
      </c>
      <c r="G20" s="219">
        <f>_xll.qlRateHelperRate(D20,Trigger)-H20</f>
        <v>0</v>
      </c>
      <c r="H20" s="6">
        <f>_xll.qlRateHelperRate($E20)</f>
        <v>8.6288000000000007E-3</v>
      </c>
      <c r="I20" s="6">
        <f>IF(ISERROR(_xll.qlSwapRateHelperSpread($E20)),IF(ISERROR(_xll.qlFuturesRateHelperConvexityAdjustment($E20)),"--",_xll.qlFuturesRateHelperConvexityAdjustment($E20)),_xll.qlSwapRateHelperSpread($E20))</f>
        <v>0</v>
      </c>
      <c r="J20" s="7">
        <f>_xll.qlRateHelperEarliestDate($E20)</f>
        <v>42194</v>
      </c>
      <c r="K20" s="7">
        <f>_xll.qlRateHelperMaturityDate(E20)</f>
        <v>45482</v>
      </c>
      <c r="L20" s="8">
        <f>_xll.qlRateHelperPillarDate($E20)</f>
        <v>45482</v>
      </c>
      <c r="M20" s="240">
        <v>8.702344131455075E-3</v>
      </c>
      <c r="N20" s="2">
        <v>0.92455931134551594</v>
      </c>
      <c r="O20" s="91"/>
      <c r="P20" s="9"/>
    </row>
    <row r="21" spans="4:16" x14ac:dyDescent="0.2">
      <c r="D21" s="5" t="str">
        <v>obj_00663</v>
      </c>
      <c r="E21" s="5" t="str">
        <v>obj_00658</v>
      </c>
      <c r="F21" s="5" t="str">
        <f>_xll.qlRateHelperQuoteName(E21)</f>
        <v>EUR3E6E10Y_LCHQuote</v>
      </c>
      <c r="G21" s="219">
        <f>_xll.qlRateHelperRate(D21,Trigger)-H21</f>
        <v>0</v>
      </c>
      <c r="H21" s="6">
        <f>_xll.qlRateHelperRate($E21)</f>
        <v>9.6754500000000004E-3</v>
      </c>
      <c r="I21" s="6">
        <f>IF(ISERROR(_xll.qlSwapRateHelperSpread($E21)),IF(ISERROR(_xll.qlFuturesRateHelperConvexityAdjustment($E21)),"--",_xll.qlFuturesRateHelperConvexityAdjustment($E21)),_xll.qlSwapRateHelperSpread($E21))</f>
        <v>0</v>
      </c>
      <c r="J21" s="7">
        <f>_xll.qlRateHelperEarliestDate($E21)</f>
        <v>42194</v>
      </c>
      <c r="K21" s="7">
        <f>_xll.qlRateHelperMaturityDate(E21)</f>
        <v>45847</v>
      </c>
      <c r="L21" s="8">
        <f>_xll.qlRateHelperPillarDate($E21)</f>
        <v>45847</v>
      </c>
      <c r="M21" s="240">
        <v>9.7849224730651666E-3</v>
      </c>
      <c r="N21" s="2">
        <v>0.90666600738591274</v>
      </c>
      <c r="O21" s="91"/>
      <c r="P21" s="9"/>
    </row>
    <row r="22" spans="4:16" x14ac:dyDescent="0.2">
      <c r="D22" s="5" t="str">
        <v>obj_0065a</v>
      </c>
      <c r="E22" s="5" t="str">
        <v>obj_00656</v>
      </c>
      <c r="F22" s="5" t="str">
        <f>_xll.qlRateHelperQuoteName(E22)</f>
        <v>EUR3E6E12Y_LCHQuote</v>
      </c>
      <c r="G22" s="219">
        <f>_xll.qlRateHelperRate(D22,Trigger)-H22</f>
        <v>0</v>
      </c>
      <c r="H22" s="6">
        <f>_xll.qlRateHelperRate($E22)</f>
        <v>1.146225E-2</v>
      </c>
      <c r="I22" s="6">
        <f>IF(ISERROR(_xll.qlSwapRateHelperSpread($E22)),IF(ISERROR(_xll.qlFuturesRateHelperConvexityAdjustment($E22)),"--",_xll.qlFuturesRateHelperConvexityAdjustment($E22)),_xll.qlSwapRateHelperSpread($E22))</f>
        <v>0</v>
      </c>
      <c r="J22" s="7">
        <f>_xll.qlRateHelperEarliestDate($E22)</f>
        <v>42194</v>
      </c>
      <c r="K22" s="7">
        <f>_xll.qlRateHelperMaturityDate(E22)</f>
        <v>46577</v>
      </c>
      <c r="L22" s="8">
        <f>_xll.qlRateHelperPillarDate($E22)</f>
        <v>46577</v>
      </c>
      <c r="M22" s="240">
        <v>1.1654349314774288E-2</v>
      </c>
      <c r="N22" s="2">
        <v>0.86935420491733639</v>
      </c>
      <c r="O22" s="91"/>
      <c r="P22" s="9"/>
    </row>
    <row r="23" spans="4:16" x14ac:dyDescent="0.2">
      <c r="D23" s="5" t="str">
        <v>obj_00665</v>
      </c>
      <c r="E23" s="5" t="str">
        <v>obj_0065e</v>
      </c>
      <c r="F23" s="5" t="str">
        <f>_xll.qlRateHelperQuoteName(E23)</f>
        <v>EUR3E6E15Y_LCHQuote</v>
      </c>
      <c r="G23" s="219">
        <f>_xll.qlRateHelperRate(D23,Trigger)-H23</f>
        <v>0</v>
      </c>
      <c r="H23" s="6">
        <f>_xll.qlRateHelperRate($E23)</f>
        <v>1.3295049999999999E-2</v>
      </c>
      <c r="I23" s="6">
        <f>IF(ISERROR(_xll.qlSwapRateHelperSpread($E23)),IF(ISERROR(_xll.qlFuturesRateHelperConvexityAdjustment($E23)),"--",_xll.qlFuturesRateHelperConvexityAdjustment($E23)),_xll.qlSwapRateHelperSpread($E23))</f>
        <v>0</v>
      </c>
      <c r="J23" s="7">
        <f>_xll.qlRateHelperEarliestDate($E23)</f>
        <v>42194</v>
      </c>
      <c r="K23" s="7">
        <f>_xll.qlRateHelperMaturityDate(E23)</f>
        <v>47673</v>
      </c>
      <c r="L23" s="8">
        <f>_xll.qlRateHelperPillarDate($E23)</f>
        <v>47673</v>
      </c>
      <c r="M23" s="240">
        <v>1.3598681303973809E-2</v>
      </c>
      <c r="N23" s="2">
        <v>0.81533140689599082</v>
      </c>
      <c r="O23" s="91"/>
      <c r="P23" s="9"/>
    </row>
    <row r="24" spans="4:16" x14ac:dyDescent="0.2">
      <c r="D24" s="5" t="str">
        <v>obj_0064e</v>
      </c>
      <c r="E24" s="5" t="str">
        <v>obj_00662</v>
      </c>
      <c r="F24" s="5" t="str">
        <f>_xll.qlRateHelperQuoteName(E24)</f>
        <v>EUR3E6E20Y_LCHQuote</v>
      </c>
      <c r="G24" s="219">
        <f>_xll.qlRateHelperRate(D24,Trigger)-H24</f>
        <v>0</v>
      </c>
      <c r="H24" s="6">
        <f>_xll.qlRateHelperRate($E24)</f>
        <v>1.4817149999999999E-2</v>
      </c>
      <c r="I24" s="6">
        <f>IF(ISERROR(_xll.qlSwapRateHelperSpread($E24)),IF(ISERROR(_xll.qlFuturesRateHelperConvexityAdjustment($E24)),"--",_xll.qlFuturesRateHelperConvexityAdjustment($E24)),_xll.qlSwapRateHelperSpread($E24))</f>
        <v>0</v>
      </c>
      <c r="J24" s="7">
        <f>_xll.qlRateHelperEarliestDate($E24)</f>
        <v>42194</v>
      </c>
      <c r="K24" s="7">
        <f>_xll.qlRateHelperMaturityDate(E24)</f>
        <v>49499</v>
      </c>
      <c r="L24" s="8">
        <f>_xll.qlRateHelperPillarDate($E24)</f>
        <v>49499</v>
      </c>
      <c r="M24" s="240">
        <v>1.5224030820444939E-2</v>
      </c>
      <c r="N24" s="2">
        <v>0.73745014018684474</v>
      </c>
      <c r="O24" s="91"/>
      <c r="P24" s="9"/>
    </row>
    <row r="25" spans="4:16" x14ac:dyDescent="0.2">
      <c r="D25" s="5" t="str">
        <v>obj_00660</v>
      </c>
      <c r="E25" s="5" t="str">
        <v>obj_0065d</v>
      </c>
      <c r="F25" s="5" t="str">
        <f>_xll.qlRateHelperQuoteName(E25)</f>
        <v>EUR3E6E25Y_LCHQuote</v>
      </c>
      <c r="G25" s="219">
        <f>_xll.qlRateHelperRate(D25,Trigger)-H25</f>
        <v>0</v>
      </c>
      <c r="H25" s="6">
        <f>_xll.qlRateHelperRate($E25)</f>
        <v>1.521515E-2</v>
      </c>
      <c r="I25" s="6">
        <f>IF(ISERROR(_xll.qlSwapRateHelperSpread($E25)),IF(ISERROR(_xll.qlFuturesRateHelperConvexityAdjustment($E25)),"--",_xll.qlFuturesRateHelperConvexityAdjustment($E25)),_xll.qlSwapRateHelperSpread($E25))</f>
        <v>0</v>
      </c>
      <c r="J25" s="7">
        <f>_xll.qlRateHelperEarliestDate($E25)</f>
        <v>42194</v>
      </c>
      <c r="K25" s="7">
        <f>_xll.qlRateHelperMaturityDate(E25)</f>
        <v>51326</v>
      </c>
      <c r="L25" s="8">
        <f>_xll.qlRateHelperPillarDate($E25)</f>
        <v>51326</v>
      </c>
      <c r="M25" s="240">
        <v>1.5591203167444865E-2</v>
      </c>
      <c r="N25" s="2">
        <v>0.67715891529647143</v>
      </c>
      <c r="O25" s="91"/>
      <c r="P25" s="9"/>
    </row>
    <row r="26" spans="4:16" x14ac:dyDescent="0.2">
      <c r="D26" s="5" t="str">
        <v>obj_00664</v>
      </c>
      <c r="E26" s="5" t="str">
        <v>obj_0065c</v>
      </c>
      <c r="F26" s="5" t="str">
        <f>_xll.qlRateHelperQuoteName(E26)</f>
        <v>EUR3E6E30Y_LCHQuote</v>
      </c>
      <c r="G26" s="219">
        <f>_xll.qlRateHelperRate(D26,Trigger)-H26</f>
        <v>0</v>
      </c>
      <c r="H26" s="6">
        <f>_xll.qlRateHelperRate($E26)</f>
        <v>1.535215E-2</v>
      </c>
      <c r="I26" s="6">
        <f>IF(ISERROR(_xll.qlSwapRateHelperSpread($E26)),IF(ISERROR(_xll.qlFuturesRateHelperConvexityAdjustment($E26)),"--",_xll.qlFuturesRateHelperConvexityAdjustment($E26)),_xll.qlSwapRateHelperSpread($E26))</f>
        <v>0</v>
      </c>
      <c r="J26" s="7">
        <f>_xll.qlRateHelperEarliestDate($E26)</f>
        <v>42194</v>
      </c>
      <c r="K26" s="7">
        <f>_xll.qlRateHelperMaturityDate(E26)</f>
        <v>53153</v>
      </c>
      <c r="L26" s="8">
        <f>_xll.qlRateHelperPillarDate($E26)</f>
        <v>53153</v>
      </c>
      <c r="M26" s="240">
        <v>1.5678016753608248E-2</v>
      </c>
      <c r="N26" s="2">
        <v>0.62469241724009583</v>
      </c>
      <c r="O26" s="91"/>
      <c r="P26" s="9"/>
    </row>
    <row r="27" spans="4:16" x14ac:dyDescent="0.2">
      <c r="D27" s="5" t="str">
        <v>obj_00654</v>
      </c>
      <c r="E27" s="5" t="str">
        <v>obj_00651</v>
      </c>
      <c r="F27" s="5" t="str">
        <f>_xll.qlRateHelperQuoteName(E27)</f>
        <v>EUR3E6E40Y_LCHQuote</v>
      </c>
      <c r="G27" s="219">
        <f>_xll.qlRateHelperRate(D27,Trigger)-H27</f>
        <v>0</v>
      </c>
      <c r="H27" s="6">
        <f>_xll.qlRateHelperRate($E27)</f>
        <v>1.552775E-2</v>
      </c>
      <c r="I27" s="6">
        <f>IF(ISERROR(_xll.qlSwapRateHelperSpread($E27)),IF(ISERROR(_xll.qlFuturesRateHelperConvexityAdjustment($E27)),"--",_xll.qlFuturesRateHelperConvexityAdjustment($E27)),_xll.qlSwapRateHelperSpread($E27))</f>
        <v>0</v>
      </c>
      <c r="J27" s="7">
        <f>_xll.qlRateHelperEarliestDate($E27)</f>
        <v>42194</v>
      </c>
      <c r="K27" s="7">
        <f>_xll.qlRateHelperMaturityDate(E27)</f>
        <v>56804</v>
      </c>
      <c r="L27" s="8">
        <f>_xll.qlRateHelperPillarDate($E27)</f>
        <v>56804</v>
      </c>
      <c r="M27" s="240">
        <v>1.5793355030483808E-2</v>
      </c>
      <c r="N27" s="2">
        <v>0.53170042802008644</v>
      </c>
      <c r="O27" s="91"/>
      <c r="P27" s="9"/>
    </row>
    <row r="28" spans="4:16" x14ac:dyDescent="0.2">
      <c r="D28" s="5" t="str">
        <v>obj_00653</v>
      </c>
      <c r="E28" s="5" t="str">
        <v>obj_00650</v>
      </c>
      <c r="F28" s="5" t="str">
        <f>_xll.qlRateHelperQuoteName(E28)</f>
        <v>EUR3E6E50Y_LCHQuote</v>
      </c>
      <c r="G28" s="219">
        <f>_xll.qlRateHelperRate(D28,Trigger)-H28</f>
        <v>0</v>
      </c>
      <c r="H28" s="6">
        <f>_xll.qlRateHelperRate($E28)</f>
        <v>1.513275E-2</v>
      </c>
      <c r="I28" s="6">
        <f>IF(ISERROR(_xll.qlSwapRateHelperSpread($E28)),IF(ISERROR(_xll.qlFuturesRateHelperConvexityAdjustment($E28)),"--",_xll.qlFuturesRateHelperConvexityAdjustment($E28)),_xll.qlSwapRateHelperSpread($E28))</f>
        <v>0</v>
      </c>
      <c r="J28" s="7">
        <f>_xll.qlRateHelperEarliestDate($E28)</f>
        <v>42194</v>
      </c>
      <c r="K28" s="7">
        <f>_xll.qlRateHelperMaturityDate(E28)</f>
        <v>60457</v>
      </c>
      <c r="L28" s="8">
        <f>_xll.qlRateHelperPillarDate($E28)</f>
        <v>60457</v>
      </c>
      <c r="M28" s="240">
        <v>1.5168112394005985E-2</v>
      </c>
      <c r="N28" s="2">
        <v>0.46841504170346071</v>
      </c>
      <c r="O28" s="91"/>
      <c r="P28" s="9"/>
    </row>
    <row r="29" spans="4:16" x14ac:dyDescent="0.2">
      <c r="D29" s="5" t="str">
        <v>obj_00652</v>
      </c>
      <c r="E29" s="5" t="str">
        <v>obj_0064f</v>
      </c>
      <c r="F29" s="5" t="str">
        <f>_xll.qlRateHelperQuoteName(E29)</f>
        <v>EUR3E6E60Y_LCHQuote</v>
      </c>
      <c r="G29" s="219">
        <f>_xll.qlRateHelperRate(D29,Trigger)-H29</f>
        <v>0</v>
      </c>
      <c r="H29" s="6">
        <f>_xll.qlRateHelperRate($E29)</f>
        <v>1.4892499999999999E-2</v>
      </c>
      <c r="I29" s="6">
        <f>IF(ISERROR(_xll.qlSwapRateHelperSpread($E29)),IF(ISERROR(_xll.qlFuturesRateHelperConvexityAdjustment($E29)),"--",_xll.qlFuturesRateHelperConvexityAdjustment($E29)),_xll.qlSwapRateHelperSpread($E29))</f>
        <v>0</v>
      </c>
      <c r="J29" s="7">
        <f>_xll.qlRateHelperEarliestDate($E29)</f>
        <v>42194</v>
      </c>
      <c r="K29" s="7">
        <f>_xll.qlRateHelperMaturityDate(E29)</f>
        <v>64109</v>
      </c>
      <c r="L29" s="8">
        <f>_xll.qlRateHelperPillarDate($E29)</f>
        <v>64109</v>
      </c>
      <c r="M29" s="240">
        <v>1.4787442653842214E-2</v>
      </c>
      <c r="N29" s="2">
        <v>0.41165995624190699</v>
      </c>
      <c r="O29" s="91"/>
      <c r="P29" s="9"/>
    </row>
    <row r="30" spans="4:16" x14ac:dyDescent="0.2">
      <c r="D30" s="5" t="e">
        <v>#N/A</v>
      </c>
      <c r="E30" s="5" t="e">
        <v>#N/A</v>
      </c>
      <c r="F30" s="5" t="e">
        <f>_xll.qlRateHelperQuoteName(E30)</f>
        <v>#VALUE!</v>
      </c>
      <c r="G30" s="219" t="e">
        <f>_xll.qlRateHelperRate(D30,Trigger)-H30</f>
        <v>#VALUE!</v>
      </c>
      <c r="H30" s="6" t="e">
        <f>_xll.qlRateHelperRate($E30)</f>
        <v>#VALUE!</v>
      </c>
      <c r="I30" s="6" t="str">
        <f>IF(ISERROR(_xll.qlSwapRateHelperSpread($E30)),IF(ISERROR(_xll.qlFuturesRateHelperConvexityAdjustment($E30)),"--",_xll.qlFuturesRateHelperConvexityAdjustment($E30)),_xll.qlSwapRateHelperSpread($E30))</f>
        <v>--</v>
      </c>
      <c r="J30" s="7" t="e">
        <f>_xll.qlRateHelperEarliestDate($E30)</f>
        <v>#VALUE!</v>
      </c>
      <c r="K30" s="7" t="e">
        <f>_xll.qlRateHelperMaturityDate(E30)</f>
        <v>#VALUE!</v>
      </c>
      <c r="L30" s="8" t="e">
        <f>_xll.qlRateHelperPillarDate($E30)</f>
        <v>#VALUE!</v>
      </c>
      <c r="M30" s="240" t="e">
        <v>#N/A</v>
      </c>
      <c r="N30" s="2" t="e">
        <v>#N/A</v>
      </c>
      <c r="O30" s="91"/>
    </row>
    <row r="31" spans="4:16" x14ac:dyDescent="0.2">
      <c r="D31" s="5" t="e">
        <v>#N/A</v>
      </c>
      <c r="E31" s="5" t="e">
        <v>#N/A</v>
      </c>
      <c r="F31" s="5" t="e">
        <f>_xll.qlRateHelperQuoteName(E31)</f>
        <v>#VALUE!</v>
      </c>
      <c r="G31" s="219" t="e">
        <f>_xll.qlRateHelperRate(D31,Trigger)-H31</f>
        <v>#VALUE!</v>
      </c>
      <c r="H31" s="6" t="e">
        <f>_xll.qlRateHelperRate($E31)</f>
        <v>#VALUE!</v>
      </c>
      <c r="I31" s="6" t="str">
        <f>IF(ISERROR(_xll.qlSwapRateHelperSpread($E31)),IF(ISERROR(_xll.qlFuturesRateHelperConvexityAdjustment($E31)),"--",_xll.qlFuturesRateHelperConvexityAdjustment($E31)),_xll.qlSwapRateHelperSpread($E31))</f>
        <v>--</v>
      </c>
      <c r="J31" s="7" t="e">
        <f>_xll.qlRateHelperEarliestDate($E31)</f>
        <v>#VALUE!</v>
      </c>
      <c r="K31" s="7" t="e">
        <f>_xll.qlRateHelperMaturityDate(E31)</f>
        <v>#VALUE!</v>
      </c>
      <c r="L31" s="8" t="e">
        <f>_xll.qlRateHelperPillarDate($E31)</f>
        <v>#VALUE!</v>
      </c>
      <c r="M31" s="240" t="e">
        <v>#N/A</v>
      </c>
      <c r="N31" s="2" t="e">
        <v>#N/A</v>
      </c>
      <c r="O31" s="91"/>
    </row>
    <row r="32" spans="4:16" x14ac:dyDescent="0.2">
      <c r="D32" s="5" t="e">
        <v>#N/A</v>
      </c>
      <c r="E32" s="5" t="e">
        <v>#N/A</v>
      </c>
      <c r="F32" s="5" t="e">
        <f>_xll.qlRateHelperQuoteName(E32)</f>
        <v>#VALUE!</v>
      </c>
      <c r="G32" s="219" t="e">
        <f>_xll.qlRateHelperRate(D32,Trigger)-H32</f>
        <v>#VALUE!</v>
      </c>
      <c r="H32" s="6" t="e">
        <f>_xll.qlRateHelperRate($E32)</f>
        <v>#VALUE!</v>
      </c>
      <c r="I32" s="6" t="str">
        <f>IF(ISERROR(_xll.qlSwapRateHelperSpread($E32)),IF(ISERROR(_xll.qlFuturesRateHelperConvexityAdjustment($E32)),"--",_xll.qlFuturesRateHelperConvexityAdjustment($E32)),_xll.qlSwapRateHelperSpread($E32))</f>
        <v>--</v>
      </c>
      <c r="J32" s="7" t="e">
        <f>_xll.qlRateHelperEarliestDate($E32)</f>
        <v>#VALUE!</v>
      </c>
      <c r="K32" s="7" t="e">
        <f>_xll.qlRateHelperMaturityDate(E32)</f>
        <v>#VALUE!</v>
      </c>
      <c r="L32" s="8" t="e">
        <f>_xll.qlRateHelperPillarDate($E32)</f>
        <v>#VALUE!</v>
      </c>
      <c r="M32" s="240" t="e">
        <v>#N/A</v>
      </c>
      <c r="N32" s="2" t="e">
        <v>#N/A</v>
      </c>
      <c r="O32" s="91"/>
    </row>
    <row r="33" spans="4:15" x14ac:dyDescent="0.2">
      <c r="D33" s="5" t="e">
        <v>#N/A</v>
      </c>
      <c r="E33" s="5" t="e">
        <v>#N/A</v>
      </c>
      <c r="F33" s="5" t="e">
        <f>_xll.qlRateHelperQuoteName(E33)</f>
        <v>#VALUE!</v>
      </c>
      <c r="G33" s="219" t="e">
        <f>_xll.qlRateHelperRate(D33,Trigger)-H33</f>
        <v>#VALUE!</v>
      </c>
      <c r="H33" s="6" t="e">
        <f>_xll.qlRateHelperRate($E33)</f>
        <v>#VALUE!</v>
      </c>
      <c r="I33" s="6" t="str">
        <f>IF(ISERROR(_xll.qlSwapRateHelperSpread($E33)),IF(ISERROR(_xll.qlFuturesRateHelperConvexityAdjustment($E33)),"--",_xll.qlFuturesRateHelperConvexityAdjustment($E33)),_xll.qlSwapRateHelperSpread($E33))</f>
        <v>--</v>
      </c>
      <c r="J33" s="7" t="e">
        <f>_xll.qlRateHelperEarliestDate($E33)</f>
        <v>#VALUE!</v>
      </c>
      <c r="K33" s="7" t="e">
        <f>_xll.qlRateHelperMaturityDate(E33)</f>
        <v>#VALUE!</v>
      </c>
      <c r="L33" s="8" t="e">
        <f>_xll.qlRateHelperPillarDate($E33)</f>
        <v>#VALUE!</v>
      </c>
      <c r="M33" s="240" t="e">
        <v>#N/A</v>
      </c>
      <c r="N33" s="2" t="e">
        <v>#N/A</v>
      </c>
      <c r="O33" s="91"/>
    </row>
    <row r="34" spans="4:15" x14ac:dyDescent="0.2">
      <c r="D34" s="5" t="e">
        <v>#N/A</v>
      </c>
      <c r="E34" s="5" t="e">
        <v>#N/A</v>
      </c>
      <c r="F34" s="5" t="e">
        <f>_xll.qlRateHelperQuoteName(E34)</f>
        <v>#VALUE!</v>
      </c>
      <c r="G34" s="219" t="e">
        <f>_xll.qlRateHelperRate(D34,Trigger)-H34</f>
        <v>#VALUE!</v>
      </c>
      <c r="H34" s="6" t="e">
        <f>_xll.qlRateHelperRate($E34)</f>
        <v>#VALUE!</v>
      </c>
      <c r="I34" s="6" t="str">
        <f>IF(ISERROR(_xll.qlSwapRateHelperSpread($E34)),IF(ISERROR(_xll.qlFuturesRateHelperConvexityAdjustment($E34)),"--",_xll.qlFuturesRateHelperConvexityAdjustment($E34)),_xll.qlSwapRateHelperSpread($E34))</f>
        <v>--</v>
      </c>
      <c r="J34" s="7" t="e">
        <f>_xll.qlRateHelperEarliestDate($E34)</f>
        <v>#VALUE!</v>
      </c>
      <c r="K34" s="7" t="e">
        <f>_xll.qlRateHelperMaturityDate(E34)</f>
        <v>#VALUE!</v>
      </c>
      <c r="L34" s="8" t="e">
        <f>_xll.qlRateHelperPillarDate($E34)</f>
        <v>#VALUE!</v>
      </c>
      <c r="M34" s="240" t="e">
        <v>#N/A</v>
      </c>
      <c r="N34" s="2" t="e">
        <v>#N/A</v>
      </c>
      <c r="O34" s="91"/>
    </row>
    <row r="35" spans="4:15" x14ac:dyDescent="0.2">
      <c r="D35" s="5" t="e">
        <v>#N/A</v>
      </c>
      <c r="E35" s="5" t="e">
        <v>#N/A</v>
      </c>
      <c r="F35" s="5" t="e">
        <f>_xll.qlRateHelperQuoteName(E35)</f>
        <v>#VALUE!</v>
      </c>
      <c r="G35" s="219" t="e">
        <f>_xll.qlRateHelperRate(D35,Trigger)-H35</f>
        <v>#VALUE!</v>
      </c>
      <c r="H35" s="6" t="e">
        <f>_xll.qlRateHelperRate($E35)</f>
        <v>#VALUE!</v>
      </c>
      <c r="I35" s="6" t="str">
        <f>IF(ISERROR(_xll.qlSwapRateHelperSpread($E35)),IF(ISERROR(_xll.qlFuturesRateHelperConvexityAdjustment($E35)),"--",_xll.qlFuturesRateHelperConvexityAdjustment($E35)),_xll.qlSwapRateHelperSpread($E35))</f>
        <v>--</v>
      </c>
      <c r="J35" s="7" t="e">
        <f>_xll.qlRateHelperEarliestDate($E35)</f>
        <v>#VALUE!</v>
      </c>
      <c r="K35" s="7" t="e">
        <f>_xll.qlRateHelperMaturityDate(E35)</f>
        <v>#VALUE!</v>
      </c>
      <c r="L35" s="8" t="e">
        <f>_xll.qlRateHelperPillarDate($E35)</f>
        <v>#VALUE!</v>
      </c>
      <c r="M35" s="240" t="e">
        <v>#N/A</v>
      </c>
      <c r="N35" s="2" t="e">
        <v>#N/A</v>
      </c>
      <c r="O35" s="91"/>
    </row>
    <row r="36" spans="4:15" x14ac:dyDescent="0.2">
      <c r="D36" s="5" t="e">
        <v>#N/A</v>
      </c>
      <c r="E36" s="5" t="e">
        <v>#N/A</v>
      </c>
      <c r="F36" s="5" t="e">
        <f>_xll.qlRateHelperQuoteName(E36)</f>
        <v>#VALUE!</v>
      </c>
      <c r="G36" s="219" t="e">
        <f>_xll.qlRateHelperRate(D36,Trigger)-H36</f>
        <v>#VALUE!</v>
      </c>
      <c r="H36" s="6" t="e">
        <f>_xll.qlRateHelperRate($E36)</f>
        <v>#VALUE!</v>
      </c>
      <c r="I36" s="6" t="str">
        <f>IF(ISERROR(_xll.qlSwapRateHelperSpread($E36)),IF(ISERROR(_xll.qlFuturesRateHelperConvexityAdjustment($E36)),"--",_xll.qlFuturesRateHelperConvexityAdjustment($E36)),_xll.qlSwapRateHelperSpread($E36))</f>
        <v>--</v>
      </c>
      <c r="J36" s="7" t="e">
        <f>_xll.qlRateHelperEarliestDate($E36)</f>
        <v>#VALUE!</v>
      </c>
      <c r="K36" s="7" t="e">
        <f>_xll.qlRateHelperMaturityDate(E36)</f>
        <v>#VALUE!</v>
      </c>
      <c r="L36" s="8" t="e">
        <f>_xll.qlRateHelperPillarDate($E36)</f>
        <v>#VALUE!</v>
      </c>
      <c r="M36" s="240" t="e">
        <v>#N/A</v>
      </c>
      <c r="N36" s="2" t="e">
        <v>#N/A</v>
      </c>
      <c r="O36" s="91"/>
    </row>
    <row r="37" spans="4:15" x14ac:dyDescent="0.2">
      <c r="D37" s="5" t="e">
        <v>#N/A</v>
      </c>
      <c r="E37" s="5" t="e">
        <v>#N/A</v>
      </c>
      <c r="F37" s="5" t="e">
        <f>_xll.qlRateHelperQuoteName(E37)</f>
        <v>#VALUE!</v>
      </c>
      <c r="G37" s="219" t="e">
        <f>_xll.qlRateHelperRate(D37,Trigger)-H37</f>
        <v>#VALUE!</v>
      </c>
      <c r="H37" s="6" t="e">
        <f>_xll.qlRateHelperRate($E37)</f>
        <v>#VALUE!</v>
      </c>
      <c r="I37" s="6" t="str">
        <f>IF(ISERROR(_xll.qlSwapRateHelperSpread($E37)),IF(ISERROR(_xll.qlFuturesRateHelperConvexityAdjustment($E37)),"--",_xll.qlFuturesRateHelperConvexityAdjustment($E37)),_xll.qlSwapRateHelperSpread($E37))</f>
        <v>--</v>
      </c>
      <c r="J37" s="7" t="e">
        <f>_xll.qlRateHelperEarliestDate($E37)</f>
        <v>#VALUE!</v>
      </c>
      <c r="K37" s="7" t="e">
        <f>_xll.qlRateHelperMaturityDate(E37)</f>
        <v>#VALUE!</v>
      </c>
      <c r="L37" s="8" t="e">
        <f>_xll.qlRateHelperPillarDate($E37)</f>
        <v>#VALUE!</v>
      </c>
      <c r="M37" s="240" t="e">
        <v>#N/A</v>
      </c>
      <c r="N37" s="2" t="e">
        <v>#N/A</v>
      </c>
      <c r="O37" s="91"/>
    </row>
    <row r="38" spans="4:15" x14ac:dyDescent="0.2">
      <c r="D38" s="5" t="e">
        <v>#N/A</v>
      </c>
      <c r="E38" s="5" t="e">
        <v>#N/A</v>
      </c>
      <c r="F38" s="5" t="e">
        <f>_xll.qlRateHelperQuoteName(E38)</f>
        <v>#VALUE!</v>
      </c>
      <c r="G38" s="219" t="e">
        <f>_xll.qlRateHelperRate(D38,Trigger)-H38</f>
        <v>#VALUE!</v>
      </c>
      <c r="H38" s="6" t="e">
        <f>_xll.qlRateHelperRate($E38)</f>
        <v>#VALUE!</v>
      </c>
      <c r="I38" s="6" t="str">
        <f>IF(ISERROR(_xll.qlSwapRateHelperSpread($E38)),IF(ISERROR(_xll.qlFuturesRateHelperConvexityAdjustment($E38)),"--",_xll.qlFuturesRateHelperConvexityAdjustment($E38)),_xll.qlSwapRateHelperSpread($E38))</f>
        <v>--</v>
      </c>
      <c r="J38" s="7" t="e">
        <f>_xll.qlRateHelperEarliestDate($E38)</f>
        <v>#VALUE!</v>
      </c>
      <c r="K38" s="7" t="e">
        <f>_xll.qlRateHelperMaturityDate(E38)</f>
        <v>#VALUE!</v>
      </c>
      <c r="L38" s="8" t="e">
        <f>_xll.qlRateHelperPillarDate($E38)</f>
        <v>#VALUE!</v>
      </c>
      <c r="M38" s="240" t="e">
        <v>#N/A</v>
      </c>
      <c r="N38" s="2" t="e">
        <v>#N/A</v>
      </c>
      <c r="O38" s="91"/>
    </row>
    <row r="39" spans="4:15" x14ac:dyDescent="0.2">
      <c r="D39" s="5" t="e">
        <v>#N/A</v>
      </c>
      <c r="E39" s="5" t="e">
        <v>#N/A</v>
      </c>
      <c r="F39" s="5" t="e">
        <f>_xll.qlRateHelperQuoteName(E39)</f>
        <v>#VALUE!</v>
      </c>
      <c r="G39" s="219" t="e">
        <f>_xll.qlRateHelperRate(D39,Trigger)-H39</f>
        <v>#VALUE!</v>
      </c>
      <c r="H39" s="6" t="e">
        <f>_xll.qlRateHelperRate($E39)</f>
        <v>#VALUE!</v>
      </c>
      <c r="I39" s="6" t="str">
        <f>IF(ISERROR(_xll.qlSwapRateHelperSpread($E39)),IF(ISERROR(_xll.qlFuturesRateHelperConvexityAdjustment($E39)),"--",_xll.qlFuturesRateHelperConvexityAdjustment($E39)),_xll.qlSwapRateHelperSpread($E39))</f>
        <v>--</v>
      </c>
      <c r="J39" s="7" t="e">
        <f>_xll.qlRateHelperEarliestDate($E39)</f>
        <v>#VALUE!</v>
      </c>
      <c r="K39" s="7" t="e">
        <f>_xll.qlRateHelperMaturityDate(E39)</f>
        <v>#VALUE!</v>
      </c>
      <c r="L39" s="8" t="e">
        <f>_xll.qlRateHelperPillarDate($E39)</f>
        <v>#VALUE!</v>
      </c>
      <c r="M39" s="240" t="e">
        <v>#N/A</v>
      </c>
      <c r="N39" s="2" t="e">
        <v>#N/A</v>
      </c>
      <c r="O39" s="91"/>
    </row>
    <row r="40" spans="4:15" x14ac:dyDescent="0.2">
      <c r="D40" s="5" t="e">
        <v>#N/A</v>
      </c>
      <c r="E40" s="5" t="e">
        <v>#N/A</v>
      </c>
      <c r="F40" s="5" t="e">
        <f>_xll.qlRateHelperQuoteName(E40)</f>
        <v>#VALUE!</v>
      </c>
      <c r="G40" s="219" t="e">
        <f>_xll.qlRateHelperRate(D40,Trigger)-H40</f>
        <v>#VALUE!</v>
      </c>
      <c r="H40" s="6" t="e">
        <f>_xll.qlRateHelperRate($E40)</f>
        <v>#VALUE!</v>
      </c>
      <c r="I40" s="6" t="str">
        <f>IF(ISERROR(_xll.qlSwapRateHelperSpread($E40)),IF(ISERROR(_xll.qlFuturesRateHelperConvexityAdjustment($E40)),"--",_xll.qlFuturesRateHelperConvexityAdjustment($E40)),_xll.qlSwapRateHelperSpread($E40))</f>
        <v>--</v>
      </c>
      <c r="J40" s="7" t="e">
        <f>_xll.qlRateHelperEarliestDate($E40)</f>
        <v>#VALUE!</v>
      </c>
      <c r="K40" s="7" t="e">
        <f>_xll.qlRateHelperMaturityDate(E40)</f>
        <v>#VALUE!</v>
      </c>
      <c r="L40" s="8" t="e">
        <f>_xll.qlRateHelperPillarDate($E40)</f>
        <v>#VALUE!</v>
      </c>
      <c r="M40" s="240" t="e">
        <v>#N/A</v>
      </c>
      <c r="N40" s="2" t="e">
        <v>#N/A</v>
      </c>
      <c r="O40" s="91"/>
    </row>
    <row r="41" spans="4:15" x14ac:dyDescent="0.2">
      <c r="D41" s="5" t="e">
        <v>#N/A</v>
      </c>
      <c r="E41" s="5" t="e">
        <v>#N/A</v>
      </c>
      <c r="F41" s="5" t="e">
        <f>_xll.qlRateHelperQuoteName(E41)</f>
        <v>#VALUE!</v>
      </c>
      <c r="G41" s="219" t="e">
        <f>_xll.qlRateHelperRate(D41,Trigger)-H41</f>
        <v>#VALUE!</v>
      </c>
      <c r="H41" s="6" t="e">
        <f>_xll.qlRateHelperRate($E41)</f>
        <v>#VALUE!</v>
      </c>
      <c r="I41" s="6" t="str">
        <f>IF(ISERROR(_xll.qlSwapRateHelperSpread($E41)),IF(ISERROR(_xll.qlFuturesRateHelperConvexityAdjustment($E41)),"--",_xll.qlFuturesRateHelperConvexityAdjustment($E41)),_xll.qlSwapRateHelperSpread($E41))</f>
        <v>--</v>
      </c>
      <c r="J41" s="7" t="e">
        <f>_xll.qlRateHelperEarliestDate($E41)</f>
        <v>#VALUE!</v>
      </c>
      <c r="K41" s="7" t="e">
        <f>_xll.qlRateHelperMaturityDate(E41)</f>
        <v>#VALUE!</v>
      </c>
      <c r="L41" s="8" t="e">
        <f>_xll.qlRateHelperPillarDate($E41)</f>
        <v>#VALUE!</v>
      </c>
      <c r="M41" s="240" t="e">
        <v>#N/A</v>
      </c>
      <c r="N41" s="2" t="e">
        <v>#N/A</v>
      </c>
      <c r="O41" s="91"/>
    </row>
    <row r="42" spans="4:15" x14ac:dyDescent="0.2">
      <c r="D42" s="5" t="e">
        <v>#N/A</v>
      </c>
      <c r="E42" s="5" t="e">
        <v>#N/A</v>
      </c>
      <c r="F42" s="5" t="e">
        <f>_xll.qlRateHelperQuoteName(E42)</f>
        <v>#VALUE!</v>
      </c>
      <c r="G42" s="219" t="e">
        <f>_xll.qlRateHelperRate(D42,Trigger)-H42</f>
        <v>#VALUE!</v>
      </c>
      <c r="H42" s="6" t="e">
        <f>_xll.qlRateHelperRate($E42)</f>
        <v>#VALUE!</v>
      </c>
      <c r="I42" s="6" t="str">
        <f>IF(ISERROR(_xll.qlSwapRateHelperSpread($E42)),IF(ISERROR(_xll.qlFuturesRateHelperConvexityAdjustment($E42)),"--",_xll.qlFuturesRateHelperConvexityAdjustment($E42)),_xll.qlSwapRateHelperSpread($E42))</f>
        <v>--</v>
      </c>
      <c r="J42" s="7" t="e">
        <f>_xll.qlRateHelperEarliestDate($E42)</f>
        <v>#VALUE!</v>
      </c>
      <c r="K42" s="7" t="e">
        <f>_xll.qlRateHelperMaturityDate(E42)</f>
        <v>#VALUE!</v>
      </c>
      <c r="L42" s="8" t="e">
        <f>_xll.qlRateHelperPillarDate($E42)</f>
        <v>#VALUE!</v>
      </c>
      <c r="M42" s="240" t="e">
        <v>#N/A</v>
      </c>
      <c r="N42" s="2" t="e">
        <v>#N/A</v>
      </c>
      <c r="O42" s="91"/>
    </row>
    <row r="43" spans="4:15" x14ac:dyDescent="0.2">
      <c r="D43" s="5" t="e">
        <v>#N/A</v>
      </c>
      <c r="E43" s="5" t="e">
        <v>#N/A</v>
      </c>
      <c r="F43" s="5" t="e">
        <f>_xll.qlRateHelperQuoteName(E43)</f>
        <v>#VALUE!</v>
      </c>
      <c r="G43" s="219" t="e">
        <f>_xll.qlRateHelperRate(D43,Trigger)-H43</f>
        <v>#VALUE!</v>
      </c>
      <c r="H43" s="6" t="e">
        <f>_xll.qlRateHelperRate($E43)</f>
        <v>#VALUE!</v>
      </c>
      <c r="I43" s="6" t="str">
        <f>IF(ISERROR(_xll.qlSwapRateHelperSpread($E43)),IF(ISERROR(_xll.qlFuturesRateHelperConvexityAdjustment($E43)),"--",_xll.qlFuturesRateHelperConvexityAdjustment($E43)),_xll.qlSwapRateHelperSpread($E43))</f>
        <v>--</v>
      </c>
      <c r="J43" s="7" t="e">
        <f>_xll.qlRateHelperEarliestDate($E43)</f>
        <v>#VALUE!</v>
      </c>
      <c r="K43" s="7" t="e">
        <f>_xll.qlRateHelperMaturityDate(E43)</f>
        <v>#VALUE!</v>
      </c>
      <c r="L43" s="8" t="e">
        <f>_xll.qlRateHelperPillarDate($E43)</f>
        <v>#VALUE!</v>
      </c>
      <c r="M43" s="240" t="e">
        <v>#N/A</v>
      </c>
      <c r="N43" s="2" t="e">
        <v>#N/A</v>
      </c>
      <c r="O43" s="91"/>
    </row>
    <row r="44" spans="4:15" x14ac:dyDescent="0.2">
      <c r="D44" s="5" t="e">
        <v>#N/A</v>
      </c>
      <c r="E44" s="5" t="e">
        <v>#N/A</v>
      </c>
      <c r="F44" s="5" t="e">
        <f>_xll.qlRateHelperQuoteName(E44)</f>
        <v>#VALUE!</v>
      </c>
      <c r="G44" s="219" t="e">
        <f>_xll.qlRateHelperRate(D44,Trigger)-H44</f>
        <v>#VALUE!</v>
      </c>
      <c r="H44" s="6" t="e">
        <f>_xll.qlRateHelperRate($E44)</f>
        <v>#VALUE!</v>
      </c>
      <c r="I44" s="6" t="str">
        <f>IF(ISERROR(_xll.qlSwapRateHelperSpread($E44)),IF(ISERROR(_xll.qlFuturesRateHelperConvexityAdjustment($E44)),"--",_xll.qlFuturesRateHelperConvexityAdjustment($E44)),_xll.qlSwapRateHelperSpread($E44))</f>
        <v>--</v>
      </c>
      <c r="J44" s="7" t="e">
        <f>_xll.qlRateHelperEarliestDate($E44)</f>
        <v>#VALUE!</v>
      </c>
      <c r="K44" s="7" t="e">
        <f>_xll.qlRateHelperMaturityDate(E44)</f>
        <v>#VALUE!</v>
      </c>
      <c r="L44" s="8" t="e">
        <f>_xll.qlRateHelperPillarDate($E44)</f>
        <v>#VALUE!</v>
      </c>
      <c r="M44" s="240" t="e">
        <v>#N/A</v>
      </c>
      <c r="N44" s="2" t="e">
        <v>#N/A</v>
      </c>
      <c r="O44" s="91"/>
    </row>
    <row r="45" spans="4:15" x14ac:dyDescent="0.2">
      <c r="D45" s="5" t="e">
        <v>#N/A</v>
      </c>
      <c r="E45" s="5" t="e">
        <v>#N/A</v>
      </c>
      <c r="F45" s="5" t="e">
        <f>_xll.qlRateHelperQuoteName(E45)</f>
        <v>#VALUE!</v>
      </c>
      <c r="G45" s="219" t="e">
        <f>_xll.qlRateHelperRate(D45,Trigger)-H45</f>
        <v>#VALUE!</v>
      </c>
      <c r="H45" s="6" t="e">
        <f>_xll.qlRateHelperRate($E45)</f>
        <v>#VALUE!</v>
      </c>
      <c r="I45" s="6" t="str">
        <f>IF(ISERROR(_xll.qlSwapRateHelperSpread($E45)),IF(ISERROR(_xll.qlFuturesRateHelperConvexityAdjustment($E45)),"--",_xll.qlFuturesRateHelperConvexityAdjustment($E45)),_xll.qlSwapRateHelperSpread($E45))</f>
        <v>--</v>
      </c>
      <c r="J45" s="7" t="e">
        <f>_xll.qlRateHelperEarliestDate($E45)</f>
        <v>#VALUE!</v>
      </c>
      <c r="K45" s="7" t="e">
        <f>_xll.qlRateHelperMaturityDate(E45)</f>
        <v>#VALUE!</v>
      </c>
      <c r="L45" s="8" t="e">
        <f>_xll.qlRateHelperPillarDate($E45)</f>
        <v>#VALUE!</v>
      </c>
      <c r="M45" s="240" t="e">
        <v>#N/A</v>
      </c>
      <c r="N45" s="2" t="e">
        <v>#N/A</v>
      </c>
      <c r="O45" s="91"/>
    </row>
    <row r="46" spans="4:15" x14ac:dyDescent="0.2">
      <c r="D46" s="5" t="e">
        <v>#N/A</v>
      </c>
      <c r="E46" s="5" t="e">
        <v>#N/A</v>
      </c>
      <c r="F46" s="5" t="e">
        <f>_xll.qlRateHelperQuoteName(E46)</f>
        <v>#VALUE!</v>
      </c>
      <c r="G46" s="219" t="e">
        <f>_xll.qlRateHelperRate(D46,Trigger)-H46</f>
        <v>#VALUE!</v>
      </c>
      <c r="H46" s="6" t="e">
        <f>_xll.qlRateHelperRate($E46)</f>
        <v>#VALUE!</v>
      </c>
      <c r="I46" s="6" t="str">
        <f>IF(ISERROR(_xll.qlSwapRateHelperSpread($E46)),IF(ISERROR(_xll.qlFuturesRateHelperConvexityAdjustment($E46)),"--",_xll.qlFuturesRateHelperConvexityAdjustment($E46)),_xll.qlSwapRateHelperSpread($E46))</f>
        <v>--</v>
      </c>
      <c r="J46" s="7" t="e">
        <f>_xll.qlRateHelperEarliestDate($E46)</f>
        <v>#VALUE!</v>
      </c>
      <c r="K46" s="7" t="e">
        <f>_xll.qlRateHelperMaturityDate(E46)</f>
        <v>#VALUE!</v>
      </c>
      <c r="L46" s="8" t="e">
        <f>_xll.qlRateHelperPillarDate($E46)</f>
        <v>#VALUE!</v>
      </c>
      <c r="M46" s="240" t="e">
        <v>#N/A</v>
      </c>
      <c r="N46" s="2" t="e">
        <v>#N/A</v>
      </c>
      <c r="O46" s="91"/>
    </row>
    <row r="47" spans="4:15" x14ac:dyDescent="0.2">
      <c r="D47" s="5" t="e">
        <v>#N/A</v>
      </c>
      <c r="E47" s="5" t="e">
        <v>#N/A</v>
      </c>
      <c r="F47" s="5" t="e">
        <f>_xll.qlRateHelperQuoteName(E47)</f>
        <v>#VALUE!</v>
      </c>
      <c r="G47" s="219" t="e">
        <f>_xll.qlRateHelperRate(D47,Trigger)-H47</f>
        <v>#VALUE!</v>
      </c>
      <c r="H47" s="6" t="e">
        <f>_xll.qlRateHelperRate($E47)</f>
        <v>#VALUE!</v>
      </c>
      <c r="I47" s="6" t="str">
        <f>IF(ISERROR(_xll.qlSwapRateHelperSpread($E47)),IF(ISERROR(_xll.qlFuturesRateHelperConvexityAdjustment($E47)),"--",_xll.qlFuturesRateHelperConvexityAdjustment($E47)),_xll.qlSwapRateHelperSpread($E47))</f>
        <v>--</v>
      </c>
      <c r="J47" s="7" t="e">
        <f>_xll.qlRateHelperEarliestDate($E47)</f>
        <v>#VALUE!</v>
      </c>
      <c r="K47" s="7" t="e">
        <f>_xll.qlRateHelperMaturityDate(E47)</f>
        <v>#VALUE!</v>
      </c>
      <c r="L47" s="8" t="e">
        <f>_xll.qlRateHelperPillarDate($E47)</f>
        <v>#VALUE!</v>
      </c>
      <c r="M47" s="240" t="e">
        <v>#N/A</v>
      </c>
      <c r="N47" s="2" t="e">
        <v>#N/A</v>
      </c>
      <c r="O47" s="91"/>
    </row>
    <row r="48" spans="4:15" x14ac:dyDescent="0.2">
      <c r="D48" s="5" t="e">
        <v>#N/A</v>
      </c>
      <c r="E48" s="5" t="e">
        <v>#N/A</v>
      </c>
      <c r="F48" s="5" t="e">
        <f>_xll.qlRateHelperQuoteName(E48)</f>
        <v>#VALUE!</v>
      </c>
      <c r="G48" s="219" t="e">
        <f>_xll.qlRateHelperRate(D48,Trigger)-H48</f>
        <v>#VALUE!</v>
      </c>
      <c r="H48" s="6" t="e">
        <f>_xll.qlRateHelperRate($E48)</f>
        <v>#VALUE!</v>
      </c>
      <c r="I48" s="6" t="str">
        <f>IF(ISERROR(_xll.qlSwapRateHelperSpread($E48)),IF(ISERROR(_xll.qlFuturesRateHelperConvexityAdjustment($E48)),"--",_xll.qlFuturesRateHelperConvexityAdjustment($E48)),_xll.qlSwapRateHelperSpread($E48))</f>
        <v>--</v>
      </c>
      <c r="J48" s="7" t="e">
        <f>_xll.qlRateHelperEarliestDate($E48)</f>
        <v>#VALUE!</v>
      </c>
      <c r="K48" s="7" t="e">
        <f>_xll.qlRateHelperMaturityDate(E48)</f>
        <v>#VALUE!</v>
      </c>
      <c r="L48" s="8" t="e">
        <f>_xll.qlRateHelperPillarDate($E48)</f>
        <v>#VALUE!</v>
      </c>
      <c r="M48" s="240" t="e">
        <v>#N/A</v>
      </c>
      <c r="N48" s="2" t="e">
        <v>#N/A</v>
      </c>
      <c r="O48" s="91"/>
    </row>
    <row r="49" spans="4:15" x14ac:dyDescent="0.2">
      <c r="D49" s="5" t="e">
        <v>#N/A</v>
      </c>
      <c r="E49" s="5" t="e">
        <v>#N/A</v>
      </c>
      <c r="F49" s="5" t="e">
        <f>_xll.qlRateHelperQuoteName(E49)</f>
        <v>#VALUE!</v>
      </c>
      <c r="G49" s="219" t="e">
        <f>_xll.qlRateHelperRate(D49,Trigger)-H49</f>
        <v>#VALUE!</v>
      </c>
      <c r="H49" s="6" t="e">
        <f>_xll.qlRateHelperRate($E49)</f>
        <v>#VALUE!</v>
      </c>
      <c r="I49" s="6" t="str">
        <f>IF(ISERROR(_xll.qlSwapRateHelperSpread($E49)),IF(ISERROR(_xll.qlFuturesRateHelperConvexityAdjustment($E49)),"--",_xll.qlFuturesRateHelperConvexityAdjustment($E49)),_xll.qlSwapRateHelperSpread($E49))</f>
        <v>--</v>
      </c>
      <c r="J49" s="7" t="e">
        <f>_xll.qlRateHelperEarliestDate($E49)</f>
        <v>#VALUE!</v>
      </c>
      <c r="K49" s="7" t="e">
        <f>_xll.qlRateHelperMaturityDate(E49)</f>
        <v>#VALUE!</v>
      </c>
      <c r="L49" s="8" t="e">
        <f>_xll.qlRateHelperPillarDate($E49)</f>
        <v>#VALUE!</v>
      </c>
      <c r="M49" s="240" t="e">
        <v>#N/A</v>
      </c>
      <c r="N49" s="2" t="e">
        <v>#N/A</v>
      </c>
      <c r="O49" s="91"/>
    </row>
    <row r="50" spans="4:15" x14ac:dyDescent="0.2">
      <c r="D50" s="5" t="e">
        <v>#N/A</v>
      </c>
      <c r="E50" s="5" t="e">
        <v>#N/A</v>
      </c>
      <c r="F50" s="5" t="e">
        <f>_xll.qlRateHelperQuoteName(E50)</f>
        <v>#VALUE!</v>
      </c>
      <c r="G50" s="219" t="e">
        <f>_xll.qlRateHelperRate(D50,Trigger)-H50</f>
        <v>#VALUE!</v>
      </c>
      <c r="H50" s="6" t="e">
        <f>_xll.qlRateHelperRate($E50)</f>
        <v>#VALUE!</v>
      </c>
      <c r="I50" s="6" t="str">
        <f>IF(ISERROR(_xll.qlSwapRateHelperSpread($E50)),IF(ISERROR(_xll.qlFuturesRateHelperConvexityAdjustment($E50)),"--",_xll.qlFuturesRateHelperConvexityAdjustment($E50)),_xll.qlSwapRateHelperSpread($E50))</f>
        <v>--</v>
      </c>
      <c r="J50" s="7" t="e">
        <f>_xll.qlRateHelperEarliestDate($E50)</f>
        <v>#VALUE!</v>
      </c>
      <c r="K50" s="7" t="e">
        <f>_xll.qlRateHelperMaturityDate(E50)</f>
        <v>#VALUE!</v>
      </c>
      <c r="L50" s="8" t="e">
        <f>_xll.qlRateHelperPillarDate($E50)</f>
        <v>#VALUE!</v>
      </c>
      <c r="M50" s="240" t="e">
        <v>#N/A</v>
      </c>
      <c r="N50" s="2" t="e">
        <v>#N/A</v>
      </c>
      <c r="O50" s="91"/>
    </row>
    <row r="51" spans="4:15" x14ac:dyDescent="0.2">
      <c r="D51" s="5" t="e">
        <v>#N/A</v>
      </c>
      <c r="E51" s="5" t="e">
        <v>#N/A</v>
      </c>
      <c r="F51" s="5" t="e">
        <f>_xll.qlRateHelperQuoteName(E51)</f>
        <v>#VALUE!</v>
      </c>
      <c r="G51" s="219" t="e">
        <f>_xll.qlRateHelperRate(D51,Trigger)-H51</f>
        <v>#VALUE!</v>
      </c>
      <c r="H51" s="6" t="e">
        <f>_xll.qlRateHelperRate($E51)</f>
        <v>#VALUE!</v>
      </c>
      <c r="I51" s="6" t="str">
        <f>IF(ISERROR(_xll.qlSwapRateHelperSpread($E51)),IF(ISERROR(_xll.qlFuturesRateHelperConvexityAdjustment($E51)),"--",_xll.qlFuturesRateHelperConvexityAdjustment($E51)),_xll.qlSwapRateHelperSpread($E51))</f>
        <v>--</v>
      </c>
      <c r="J51" s="7" t="e">
        <f>_xll.qlRateHelperEarliestDate($E51)</f>
        <v>#VALUE!</v>
      </c>
      <c r="K51" s="7" t="e">
        <f>_xll.qlRateHelperMaturityDate(E51)</f>
        <v>#VALUE!</v>
      </c>
      <c r="L51" s="8" t="e">
        <f>_xll.qlRateHelperPillarDate($E51)</f>
        <v>#VALUE!</v>
      </c>
      <c r="M51" s="240" t="e">
        <v>#N/A</v>
      </c>
      <c r="N51" s="2" t="e">
        <v>#N/A</v>
      </c>
      <c r="O51" s="91"/>
    </row>
    <row r="52" spans="4:15" x14ac:dyDescent="0.2">
      <c r="D52" s="5" t="e">
        <v>#N/A</v>
      </c>
      <c r="E52" s="5" t="e">
        <v>#N/A</v>
      </c>
      <c r="F52" s="5" t="e">
        <f>_xll.qlRateHelperQuoteName(E52)</f>
        <v>#VALUE!</v>
      </c>
      <c r="G52" s="219" t="e">
        <f>_xll.qlRateHelperRate(D52,Trigger)-H52</f>
        <v>#VALUE!</v>
      </c>
      <c r="H52" s="6" t="e">
        <f>_xll.qlRateHelperRate($E52)</f>
        <v>#VALUE!</v>
      </c>
      <c r="I52" s="6" t="str">
        <f>IF(ISERROR(_xll.qlSwapRateHelperSpread($E52)),IF(ISERROR(_xll.qlFuturesRateHelperConvexityAdjustment($E52)),"--",_xll.qlFuturesRateHelperConvexityAdjustment($E52)),_xll.qlSwapRateHelperSpread($E52))</f>
        <v>--</v>
      </c>
      <c r="J52" s="7" t="e">
        <f>_xll.qlRateHelperEarliestDate($E52)</f>
        <v>#VALUE!</v>
      </c>
      <c r="K52" s="7" t="e">
        <f>_xll.qlRateHelperMaturityDate(E52)</f>
        <v>#VALUE!</v>
      </c>
      <c r="L52" s="8" t="e">
        <f>_xll.qlRateHelperPillarDate($E52)</f>
        <v>#VALUE!</v>
      </c>
      <c r="M52" s="240" t="e">
        <v>#N/A</v>
      </c>
      <c r="N52" s="2" t="e">
        <v>#N/A</v>
      </c>
      <c r="O52" s="91"/>
    </row>
    <row r="53" spans="4:15" x14ac:dyDescent="0.2">
      <c r="D53" s="5" t="e">
        <v>#N/A</v>
      </c>
      <c r="E53" s="5" t="e">
        <v>#N/A</v>
      </c>
      <c r="F53" s="5" t="e">
        <f>_xll.qlRateHelperQuoteName(E53)</f>
        <v>#VALUE!</v>
      </c>
      <c r="G53" s="219" t="e">
        <f>_xll.qlRateHelperRate(D53,Trigger)-H53</f>
        <v>#VALUE!</v>
      </c>
      <c r="H53" s="6" t="e">
        <f>_xll.qlRateHelperRate($E53)</f>
        <v>#VALUE!</v>
      </c>
      <c r="I53" s="6" t="str">
        <f>IF(ISERROR(_xll.qlSwapRateHelperSpread($E53)),IF(ISERROR(_xll.qlFuturesRateHelperConvexityAdjustment($E53)),"--",_xll.qlFuturesRateHelperConvexityAdjustment($E53)),_xll.qlSwapRateHelperSpread($E53))</f>
        <v>--</v>
      </c>
      <c r="J53" s="7" t="e">
        <f>_xll.qlRateHelperEarliestDate($E53)</f>
        <v>#VALUE!</v>
      </c>
      <c r="K53" s="7" t="e">
        <f>_xll.qlRateHelperMaturityDate(E53)</f>
        <v>#VALUE!</v>
      </c>
      <c r="L53" s="8" t="e">
        <f>_xll.qlRateHelperPillarDate($E53)</f>
        <v>#VALUE!</v>
      </c>
      <c r="M53" s="240" t="e">
        <v>#N/A</v>
      </c>
      <c r="N53" s="2" t="e">
        <v>#N/A</v>
      </c>
      <c r="O53" s="91"/>
    </row>
    <row r="54" spans="4:15" x14ac:dyDescent="0.2">
      <c r="D54" s="5" t="e">
        <v>#N/A</v>
      </c>
      <c r="E54" s="5" t="e">
        <v>#N/A</v>
      </c>
      <c r="F54" s="5" t="e">
        <f>_xll.qlRateHelperQuoteName(E54)</f>
        <v>#VALUE!</v>
      </c>
      <c r="G54" s="219" t="e">
        <f>_xll.qlRateHelperRate(D54,Trigger)-H54</f>
        <v>#VALUE!</v>
      </c>
      <c r="H54" s="6" t="e">
        <f>_xll.qlRateHelperRate($E54)</f>
        <v>#VALUE!</v>
      </c>
      <c r="I54" s="6" t="str">
        <f>IF(ISERROR(_xll.qlSwapRateHelperSpread($E54)),IF(ISERROR(_xll.qlFuturesRateHelperConvexityAdjustment($E54)),"--",_xll.qlFuturesRateHelperConvexityAdjustment($E54)),_xll.qlSwapRateHelperSpread($E54))</f>
        <v>--</v>
      </c>
      <c r="J54" s="7" t="e">
        <f>_xll.qlRateHelperEarliestDate($E54)</f>
        <v>#VALUE!</v>
      </c>
      <c r="K54" s="7" t="e">
        <f>_xll.qlRateHelperMaturityDate(E54)</f>
        <v>#VALUE!</v>
      </c>
      <c r="L54" s="8" t="e">
        <f>_xll.qlRateHelperPillarDate($E54)</f>
        <v>#VALUE!</v>
      </c>
      <c r="M54" s="240" t="e">
        <v>#N/A</v>
      </c>
      <c r="N54" s="2" t="e">
        <v>#N/A</v>
      </c>
      <c r="O54" s="91"/>
    </row>
    <row r="55" spans="4:15" x14ac:dyDescent="0.2">
      <c r="D55" s="5" t="e">
        <v>#N/A</v>
      </c>
      <c r="E55" s="5" t="e">
        <v>#N/A</v>
      </c>
      <c r="F55" s="5" t="e">
        <f>_xll.qlRateHelperQuoteName(E55)</f>
        <v>#VALUE!</v>
      </c>
      <c r="G55" s="219" t="e">
        <f>_xll.qlRateHelperRate(D55,Trigger)-H55</f>
        <v>#VALUE!</v>
      </c>
      <c r="H55" s="6" t="e">
        <f>_xll.qlRateHelperRate($E55)</f>
        <v>#VALUE!</v>
      </c>
      <c r="I55" s="6" t="str">
        <f>IF(ISERROR(_xll.qlSwapRateHelperSpread($E55)),IF(ISERROR(_xll.qlFuturesRateHelperConvexityAdjustment($E55)),"--",_xll.qlFuturesRateHelperConvexityAdjustment($E55)),_xll.qlSwapRateHelperSpread($E55))</f>
        <v>--</v>
      </c>
      <c r="J55" s="7" t="e">
        <f>_xll.qlRateHelperEarliestDate($E55)</f>
        <v>#VALUE!</v>
      </c>
      <c r="K55" s="7" t="e">
        <f>_xll.qlRateHelperMaturityDate(E55)</f>
        <v>#VALUE!</v>
      </c>
      <c r="L55" s="8" t="e">
        <f>_xll.qlRateHelperPillarDate($E55)</f>
        <v>#VALUE!</v>
      </c>
      <c r="M55" s="240" t="e">
        <v>#N/A</v>
      </c>
      <c r="N55" s="2" t="e">
        <v>#N/A</v>
      </c>
      <c r="O55" s="91"/>
    </row>
    <row r="56" spans="4:15" x14ac:dyDescent="0.2">
      <c r="D56" s="5" t="e">
        <v>#N/A</v>
      </c>
      <c r="E56" s="5" t="e">
        <v>#N/A</v>
      </c>
      <c r="F56" s="5" t="e">
        <f>_xll.qlRateHelperQuoteName(E56)</f>
        <v>#VALUE!</v>
      </c>
      <c r="G56" s="219" t="e">
        <f>_xll.qlRateHelperRate(D56,Trigger)-H56</f>
        <v>#VALUE!</v>
      </c>
      <c r="H56" s="6" t="e">
        <f>_xll.qlRateHelperRate($E56)</f>
        <v>#VALUE!</v>
      </c>
      <c r="I56" s="6" t="str">
        <f>IF(ISERROR(_xll.qlSwapRateHelperSpread($E56)),IF(ISERROR(_xll.qlFuturesRateHelperConvexityAdjustment($E56)),"--",_xll.qlFuturesRateHelperConvexityAdjustment($E56)),_xll.qlSwapRateHelperSpread($E56))</f>
        <v>--</v>
      </c>
      <c r="J56" s="7" t="e">
        <f>_xll.qlRateHelperEarliestDate($E56)</f>
        <v>#VALUE!</v>
      </c>
      <c r="K56" s="7" t="e">
        <f>_xll.qlRateHelperMaturityDate(E56)</f>
        <v>#VALUE!</v>
      </c>
      <c r="L56" s="8" t="e">
        <f>_xll.qlRateHelperPillarDate($E56)</f>
        <v>#VALUE!</v>
      </c>
      <c r="M56" s="240" t="e">
        <v>#N/A</v>
      </c>
      <c r="N56" s="2" t="e">
        <v>#N/A</v>
      </c>
      <c r="O56" s="91"/>
    </row>
    <row r="57" spans="4:15" x14ac:dyDescent="0.2">
      <c r="D57" s="5" t="e">
        <v>#N/A</v>
      </c>
      <c r="E57" s="5" t="e">
        <v>#N/A</v>
      </c>
      <c r="F57" s="5" t="e">
        <f>_xll.qlRateHelperQuoteName(E57)</f>
        <v>#VALUE!</v>
      </c>
      <c r="G57" s="219" t="e">
        <f>_xll.qlRateHelperRate(D57,Trigger)-H57</f>
        <v>#VALUE!</v>
      </c>
      <c r="H57" s="6" t="e">
        <f>_xll.qlRateHelperRate($E57)</f>
        <v>#VALUE!</v>
      </c>
      <c r="I57" s="6" t="str">
        <f>IF(ISERROR(_xll.qlSwapRateHelperSpread($E57)),IF(ISERROR(_xll.qlFuturesRateHelperConvexityAdjustment($E57)),"--",_xll.qlFuturesRateHelperConvexityAdjustment($E57)),_xll.qlSwapRateHelperSpread($E57))</f>
        <v>--</v>
      </c>
      <c r="J57" s="7" t="e">
        <f>_xll.qlRateHelperEarliestDate($E57)</f>
        <v>#VALUE!</v>
      </c>
      <c r="K57" s="7" t="e">
        <f>_xll.qlRateHelperMaturityDate(E57)</f>
        <v>#VALUE!</v>
      </c>
      <c r="L57" s="8" t="e">
        <f>_xll.qlRateHelperPillarDate($E57)</f>
        <v>#VALUE!</v>
      </c>
      <c r="M57" s="240" t="e">
        <v>#N/A</v>
      </c>
      <c r="N57" s="2" t="e">
        <v>#N/A</v>
      </c>
      <c r="O57" s="91"/>
    </row>
    <row r="58" spans="4:15" x14ac:dyDescent="0.2">
      <c r="D58" s="5" t="e">
        <v>#N/A</v>
      </c>
      <c r="E58" s="5" t="e">
        <v>#N/A</v>
      </c>
      <c r="F58" s="5" t="e">
        <f>_xll.qlRateHelperQuoteName(E58)</f>
        <v>#VALUE!</v>
      </c>
      <c r="G58" s="219" t="e">
        <f>_xll.qlRateHelperRate(D58,Trigger)-H58</f>
        <v>#VALUE!</v>
      </c>
      <c r="H58" s="6" t="e">
        <f>_xll.qlRateHelperRate($E58)</f>
        <v>#VALUE!</v>
      </c>
      <c r="I58" s="6" t="str">
        <f>IF(ISERROR(_xll.qlSwapRateHelperSpread($E58)),IF(ISERROR(_xll.qlFuturesRateHelperConvexityAdjustment($E58)),"--",_xll.qlFuturesRateHelperConvexityAdjustment($E58)),_xll.qlSwapRateHelperSpread($E58))</f>
        <v>--</v>
      </c>
      <c r="J58" s="7" t="e">
        <f>_xll.qlRateHelperEarliestDate($E58)</f>
        <v>#VALUE!</v>
      </c>
      <c r="K58" s="7" t="e">
        <f>_xll.qlRateHelperMaturityDate(E58)</f>
        <v>#VALUE!</v>
      </c>
      <c r="L58" s="8" t="e">
        <f>_xll.qlRateHelperPillarDate($E58)</f>
        <v>#VALUE!</v>
      </c>
      <c r="M58" s="240" t="e">
        <v>#N/A</v>
      </c>
      <c r="N58" s="2" t="e">
        <v>#N/A</v>
      </c>
      <c r="O58" s="91"/>
    </row>
    <row r="59" spans="4:15" x14ac:dyDescent="0.2">
      <c r="D59" s="5" t="e">
        <v>#N/A</v>
      </c>
      <c r="E59" s="5" t="e">
        <v>#N/A</v>
      </c>
      <c r="F59" s="5" t="e">
        <f>_xll.qlRateHelperQuoteName(E59)</f>
        <v>#VALUE!</v>
      </c>
      <c r="G59" s="219" t="e">
        <f>_xll.qlRateHelperRate(D59,Trigger)-H59</f>
        <v>#VALUE!</v>
      </c>
      <c r="H59" s="6" t="e">
        <f>_xll.qlRateHelperRate($E59)</f>
        <v>#VALUE!</v>
      </c>
      <c r="I59" s="6" t="str">
        <f>IF(ISERROR(_xll.qlSwapRateHelperSpread($E59)),IF(ISERROR(_xll.qlFuturesRateHelperConvexityAdjustment($E59)),"--",_xll.qlFuturesRateHelperConvexityAdjustment($E59)),_xll.qlSwapRateHelperSpread($E59))</f>
        <v>--</v>
      </c>
      <c r="J59" s="7" t="e">
        <f>_xll.qlRateHelperEarliestDate($E59)</f>
        <v>#VALUE!</v>
      </c>
      <c r="K59" s="7" t="e">
        <f>_xll.qlRateHelperMaturityDate(E59)</f>
        <v>#VALUE!</v>
      </c>
      <c r="L59" s="8" t="e">
        <f>_xll.qlRateHelperPillarDate($E59)</f>
        <v>#VALUE!</v>
      </c>
      <c r="M59" s="240" t="e">
        <v>#N/A</v>
      </c>
      <c r="N59" s="2" t="e">
        <v>#N/A</v>
      </c>
      <c r="O59" s="91"/>
    </row>
    <row r="60" spans="4:15" x14ac:dyDescent="0.2">
      <c r="D60" s="5" t="e">
        <v>#N/A</v>
      </c>
      <c r="E60" s="5" t="e">
        <v>#N/A</v>
      </c>
      <c r="F60" s="5" t="e">
        <f>_xll.qlRateHelperQuoteName(E60)</f>
        <v>#VALUE!</v>
      </c>
      <c r="G60" s="219" t="e">
        <f>_xll.qlRateHelperRate(D60,Trigger)-H60</f>
        <v>#VALUE!</v>
      </c>
      <c r="H60" s="6" t="e">
        <f>_xll.qlRateHelperRate($E60)</f>
        <v>#VALUE!</v>
      </c>
      <c r="I60" s="6" t="str">
        <f>IF(ISERROR(_xll.qlSwapRateHelperSpread($E60)),IF(ISERROR(_xll.qlFuturesRateHelperConvexityAdjustment($E60)),"--",_xll.qlFuturesRateHelperConvexityAdjustment($E60)),_xll.qlSwapRateHelperSpread($E60))</f>
        <v>--</v>
      </c>
      <c r="J60" s="7" t="e">
        <f>_xll.qlRateHelperEarliestDate($E60)</f>
        <v>#VALUE!</v>
      </c>
      <c r="K60" s="7" t="e">
        <f>_xll.qlRateHelperMaturityDate(E60)</f>
        <v>#VALUE!</v>
      </c>
      <c r="L60" s="8" t="e">
        <f>_xll.qlRateHelperPillarDate($E60)</f>
        <v>#VALUE!</v>
      </c>
      <c r="M60" s="240" t="e">
        <v>#N/A</v>
      </c>
      <c r="N60" s="2" t="e">
        <v>#N/A</v>
      </c>
      <c r="O60" s="91"/>
    </row>
    <row r="61" spans="4:15" x14ac:dyDescent="0.2">
      <c r="D61" s="5" t="e">
        <v>#N/A</v>
      </c>
      <c r="E61" s="5" t="e">
        <v>#N/A</v>
      </c>
      <c r="F61" s="5" t="e">
        <f>_xll.qlRateHelperQuoteName(E61)</f>
        <v>#VALUE!</v>
      </c>
      <c r="G61" s="219" t="e">
        <f>_xll.qlRateHelperRate(D61,Trigger)-H61</f>
        <v>#VALUE!</v>
      </c>
      <c r="H61" s="6" t="e">
        <f>_xll.qlRateHelperRate($E61)</f>
        <v>#VALUE!</v>
      </c>
      <c r="I61" s="6" t="str">
        <f>IF(ISERROR(_xll.qlSwapRateHelperSpread($E61)),IF(ISERROR(_xll.qlFuturesRateHelperConvexityAdjustment($E61)),"--",_xll.qlFuturesRateHelperConvexityAdjustment($E61)),_xll.qlSwapRateHelperSpread($E61))</f>
        <v>--</v>
      </c>
      <c r="J61" s="7" t="e">
        <f>_xll.qlRateHelperEarliestDate($E61)</f>
        <v>#VALUE!</v>
      </c>
      <c r="K61" s="7" t="e">
        <f>_xll.qlRateHelperMaturityDate(E61)</f>
        <v>#VALUE!</v>
      </c>
      <c r="L61" s="8" t="e">
        <f>_xll.qlRateHelperPillarDate($E61)</f>
        <v>#VALUE!</v>
      </c>
      <c r="M61" s="240" t="e">
        <v>#N/A</v>
      </c>
      <c r="N61" s="2" t="e">
        <v>#N/A</v>
      </c>
      <c r="O61" s="91"/>
    </row>
    <row r="62" spans="4:15" x14ac:dyDescent="0.2">
      <c r="D62" s="5" t="e">
        <v>#N/A</v>
      </c>
      <c r="E62" s="5" t="e">
        <v>#N/A</v>
      </c>
      <c r="F62" s="5" t="e">
        <f>_xll.qlRateHelperQuoteName(E62)</f>
        <v>#VALUE!</v>
      </c>
      <c r="G62" s="219" t="e">
        <f>_xll.qlRateHelperRate(D62,Trigger)-H62</f>
        <v>#VALUE!</v>
      </c>
      <c r="H62" s="6" t="e">
        <f>_xll.qlRateHelperRate($E62)</f>
        <v>#VALUE!</v>
      </c>
      <c r="I62" s="6" t="str">
        <f>IF(ISERROR(_xll.qlSwapRateHelperSpread($E62)),IF(ISERROR(_xll.qlFuturesRateHelperConvexityAdjustment($E62)),"--",_xll.qlFuturesRateHelperConvexityAdjustment($E62)),_xll.qlSwapRateHelperSpread($E62))</f>
        <v>--</v>
      </c>
      <c r="J62" s="7" t="e">
        <f>_xll.qlRateHelperEarliestDate($E62)</f>
        <v>#VALUE!</v>
      </c>
      <c r="K62" s="7" t="e">
        <f>_xll.qlRateHelperMaturityDate(E62)</f>
        <v>#VALUE!</v>
      </c>
      <c r="L62" s="8" t="e">
        <f>_xll.qlRateHelperPillarDate($E62)</f>
        <v>#VALUE!</v>
      </c>
      <c r="M62" s="240" t="e">
        <v>#N/A</v>
      </c>
      <c r="N62" s="2" t="e">
        <v>#N/A</v>
      </c>
      <c r="O62" s="91"/>
    </row>
    <row r="63" spans="4:15" x14ac:dyDescent="0.2">
      <c r="D63" s="5" t="e">
        <v>#N/A</v>
      </c>
      <c r="E63" s="5" t="e">
        <v>#N/A</v>
      </c>
      <c r="F63" s="5" t="e">
        <f>_xll.qlRateHelperQuoteName(E63)</f>
        <v>#VALUE!</v>
      </c>
      <c r="G63" s="219" t="e">
        <f>_xll.qlRateHelperRate(D63,Trigger)-H63</f>
        <v>#VALUE!</v>
      </c>
      <c r="H63" s="6" t="e">
        <f>_xll.qlRateHelperRate($E63)</f>
        <v>#VALUE!</v>
      </c>
      <c r="I63" s="6" t="str">
        <f>IF(ISERROR(_xll.qlSwapRateHelperSpread($E63)),IF(ISERROR(_xll.qlFuturesRateHelperConvexityAdjustment($E63)),"--",_xll.qlFuturesRateHelperConvexityAdjustment($E63)),_xll.qlSwapRateHelperSpread($E63))</f>
        <v>--</v>
      </c>
      <c r="J63" s="7" t="e">
        <f>_xll.qlRateHelperEarliestDate($E63)</f>
        <v>#VALUE!</v>
      </c>
      <c r="K63" s="7" t="e">
        <f>_xll.qlRateHelperMaturityDate(E63)</f>
        <v>#VALUE!</v>
      </c>
      <c r="L63" s="8" t="e">
        <f>_xll.qlRateHelperPillarDate($E63)</f>
        <v>#VALUE!</v>
      </c>
      <c r="M63" s="240" t="e">
        <v>#N/A</v>
      </c>
      <c r="N63" s="2" t="e">
        <v>#N/A</v>
      </c>
      <c r="O63" s="91"/>
    </row>
    <row r="64" spans="4:15" x14ac:dyDescent="0.2">
      <c r="D64" s="5" t="e">
        <v>#N/A</v>
      </c>
      <c r="E64" s="5" t="e">
        <v>#N/A</v>
      </c>
      <c r="F64" s="5" t="e">
        <f>_xll.qlRateHelperQuoteName(E64)</f>
        <v>#VALUE!</v>
      </c>
      <c r="G64" s="219" t="e">
        <f>_xll.qlRateHelperRate(D64,Trigger)-H64</f>
        <v>#VALUE!</v>
      </c>
      <c r="H64" s="6" t="e">
        <f>_xll.qlRateHelperRate($E64)</f>
        <v>#VALUE!</v>
      </c>
      <c r="I64" s="6" t="str">
        <f>IF(ISERROR(_xll.qlSwapRateHelperSpread($E64)),IF(ISERROR(_xll.qlFuturesRateHelperConvexityAdjustment($E64)),"--",_xll.qlFuturesRateHelperConvexityAdjustment($E64)),_xll.qlSwapRateHelperSpread($E64))</f>
        <v>--</v>
      </c>
      <c r="J64" s="7" t="e">
        <f>_xll.qlRateHelperEarliestDate($E64)</f>
        <v>#VALUE!</v>
      </c>
      <c r="K64" s="7" t="e">
        <f>_xll.qlRateHelperMaturityDate(E64)</f>
        <v>#VALUE!</v>
      </c>
      <c r="L64" s="8" t="e">
        <f>_xll.qlRateHelperPillarDate($E64)</f>
        <v>#VALUE!</v>
      </c>
      <c r="M64" s="240" t="e">
        <v>#N/A</v>
      </c>
      <c r="N64" s="2" t="e">
        <v>#N/A</v>
      </c>
      <c r="O64" s="91"/>
    </row>
    <row r="65" spans="4:15" x14ac:dyDescent="0.2">
      <c r="D65" s="5" t="e">
        <v>#N/A</v>
      </c>
      <c r="E65" s="5" t="e">
        <v>#N/A</v>
      </c>
      <c r="F65" s="5" t="e">
        <f>_xll.qlRateHelperQuoteName(E65)</f>
        <v>#VALUE!</v>
      </c>
      <c r="G65" s="219" t="e">
        <f>_xll.qlRateHelperRate(D65,Trigger)-H65</f>
        <v>#VALUE!</v>
      </c>
      <c r="H65" s="6" t="e">
        <f>_xll.qlRateHelperRate($E65)</f>
        <v>#VALUE!</v>
      </c>
      <c r="I65" s="6" t="str">
        <f>IF(ISERROR(_xll.qlSwapRateHelperSpread($E65)),IF(ISERROR(_xll.qlFuturesRateHelperConvexityAdjustment($E65)),"--",_xll.qlFuturesRateHelperConvexityAdjustment($E65)),_xll.qlSwapRateHelperSpread($E65))</f>
        <v>--</v>
      </c>
      <c r="J65" s="7" t="e">
        <f>_xll.qlRateHelperEarliestDate($E65)</f>
        <v>#VALUE!</v>
      </c>
      <c r="K65" s="7" t="e">
        <f>_xll.qlRateHelperMaturityDate(E65)</f>
        <v>#VALUE!</v>
      </c>
      <c r="L65" s="8" t="e">
        <f>_xll.qlRateHelperPillarDate($E65)</f>
        <v>#VALUE!</v>
      </c>
      <c r="M65" s="240" t="e">
        <v>#N/A</v>
      </c>
      <c r="N65" s="2" t="e">
        <v>#N/A</v>
      </c>
      <c r="O65" s="91"/>
    </row>
    <row r="66" spans="4:15" x14ac:dyDescent="0.2">
      <c r="D66" s="5" t="e">
        <v>#N/A</v>
      </c>
      <c r="E66" s="5" t="e">
        <v>#N/A</v>
      </c>
      <c r="F66" s="5" t="e">
        <f>_xll.qlRateHelperQuoteName(E66)</f>
        <v>#VALUE!</v>
      </c>
      <c r="G66" s="219" t="e">
        <f>_xll.qlRateHelperRate(D66,Trigger)-H66</f>
        <v>#VALUE!</v>
      </c>
      <c r="H66" s="6" t="e">
        <f>_xll.qlRateHelperRate($E66)</f>
        <v>#VALUE!</v>
      </c>
      <c r="I66" s="6" t="str">
        <f>IF(ISERROR(_xll.qlSwapRateHelperSpread($E66)),IF(ISERROR(_xll.qlFuturesRateHelperConvexityAdjustment($E66)),"--",_xll.qlFuturesRateHelperConvexityAdjustment($E66)),_xll.qlSwapRateHelperSpread($E66))</f>
        <v>--</v>
      </c>
      <c r="J66" s="7" t="e">
        <f>_xll.qlRateHelperEarliestDate($E66)</f>
        <v>#VALUE!</v>
      </c>
      <c r="K66" s="7" t="e">
        <f>_xll.qlRateHelperMaturityDate(E66)</f>
        <v>#VALUE!</v>
      </c>
      <c r="L66" s="8" t="e">
        <f>_xll.qlRateHelperPillarDate($E66)</f>
        <v>#VALUE!</v>
      </c>
      <c r="M66" s="240" t="e">
        <v>#N/A</v>
      </c>
      <c r="N66" s="2" t="e">
        <v>#N/A</v>
      </c>
      <c r="O66" s="91"/>
    </row>
    <row r="67" spans="4:15" x14ac:dyDescent="0.2">
      <c r="D67" s="5" t="e">
        <v>#N/A</v>
      </c>
      <c r="E67" s="5" t="e">
        <v>#N/A</v>
      </c>
      <c r="F67" s="5" t="e">
        <f>_xll.qlRateHelperQuoteName(E67)</f>
        <v>#VALUE!</v>
      </c>
      <c r="G67" s="219" t="e">
        <f>_xll.qlRateHelperRate(D67,Trigger)-H67</f>
        <v>#VALUE!</v>
      </c>
      <c r="H67" s="6" t="e">
        <f>_xll.qlRateHelperRate($E67)</f>
        <v>#VALUE!</v>
      </c>
      <c r="I67" s="6" t="str">
        <f>IF(ISERROR(_xll.qlSwapRateHelperSpread($E67)),IF(ISERROR(_xll.qlFuturesRateHelperConvexityAdjustment($E67)),"--",_xll.qlFuturesRateHelperConvexityAdjustment($E67)),_xll.qlSwapRateHelperSpread($E67))</f>
        <v>--</v>
      </c>
      <c r="J67" s="7" t="e">
        <f>_xll.qlRateHelperEarliestDate($E67)</f>
        <v>#VALUE!</v>
      </c>
      <c r="K67" s="7" t="e">
        <f>_xll.qlRateHelperMaturityDate(E67)</f>
        <v>#VALUE!</v>
      </c>
      <c r="L67" s="8" t="e">
        <f>_xll.qlRateHelperPillarDate($E67)</f>
        <v>#VALUE!</v>
      </c>
      <c r="M67" s="240" t="e">
        <v>#N/A</v>
      </c>
      <c r="N67" s="2" t="e">
        <v>#N/A</v>
      </c>
      <c r="O67" s="91"/>
    </row>
    <row r="68" spans="4:15" x14ac:dyDescent="0.2">
      <c r="D68" s="5" t="e">
        <v>#N/A</v>
      </c>
      <c r="E68" s="5" t="e">
        <v>#N/A</v>
      </c>
      <c r="F68" s="5" t="e">
        <f>_xll.qlRateHelperQuoteName(E68)</f>
        <v>#VALUE!</v>
      </c>
      <c r="G68" s="219" t="e">
        <f>_xll.qlRateHelperRate(D68,Trigger)-H68</f>
        <v>#VALUE!</v>
      </c>
      <c r="H68" s="6" t="e">
        <f>_xll.qlRateHelperRate($E68)</f>
        <v>#VALUE!</v>
      </c>
      <c r="I68" s="6" t="str">
        <f>IF(ISERROR(_xll.qlSwapRateHelperSpread($E68)),IF(ISERROR(_xll.qlFuturesRateHelperConvexityAdjustment($E68)),"--",_xll.qlFuturesRateHelperConvexityAdjustment($E68)),_xll.qlSwapRateHelperSpread($E68))</f>
        <v>--</v>
      </c>
      <c r="J68" s="7" t="e">
        <f>_xll.qlRateHelperEarliestDate($E68)</f>
        <v>#VALUE!</v>
      </c>
      <c r="K68" s="7" t="e">
        <f>_xll.qlRateHelperMaturityDate(E68)</f>
        <v>#VALUE!</v>
      </c>
      <c r="L68" s="8" t="e">
        <f>_xll.qlRateHelperPillarDate($E68)</f>
        <v>#VALUE!</v>
      </c>
      <c r="M68" s="240" t="e">
        <v>#N/A</v>
      </c>
      <c r="N68" s="2" t="e">
        <v>#N/A</v>
      </c>
      <c r="O68" s="91"/>
    </row>
    <row r="69" spans="4:15" x14ac:dyDescent="0.2">
      <c r="D69" s="5" t="e">
        <v>#N/A</v>
      </c>
      <c r="E69" s="5" t="e">
        <v>#N/A</v>
      </c>
      <c r="F69" s="5" t="e">
        <f>_xll.qlRateHelperQuoteName(E69)</f>
        <v>#VALUE!</v>
      </c>
      <c r="G69" s="219" t="e">
        <f>_xll.qlRateHelperRate(D69,Trigger)-H69</f>
        <v>#VALUE!</v>
      </c>
      <c r="H69" s="6" t="e">
        <f>_xll.qlRateHelperRate($E69)</f>
        <v>#VALUE!</v>
      </c>
      <c r="I69" s="6" t="str">
        <f>IF(ISERROR(_xll.qlSwapRateHelperSpread($E69)),IF(ISERROR(_xll.qlFuturesRateHelperConvexityAdjustment($E69)),"--",_xll.qlFuturesRateHelperConvexityAdjustment($E69)),_xll.qlSwapRateHelperSpread($E69))</f>
        <v>--</v>
      </c>
      <c r="J69" s="7" t="e">
        <f>_xll.qlRateHelperEarliestDate($E69)</f>
        <v>#VALUE!</v>
      </c>
      <c r="K69" s="7" t="e">
        <f>_xll.qlRateHelperMaturityDate(E69)</f>
        <v>#VALUE!</v>
      </c>
      <c r="L69" s="8" t="e">
        <f>_xll.qlRateHelperPillarDate($E69)</f>
        <v>#VALUE!</v>
      </c>
      <c r="M69" s="240" t="e">
        <v>#N/A</v>
      </c>
      <c r="N69" s="2" t="e">
        <v>#N/A</v>
      </c>
      <c r="O69" s="91"/>
    </row>
    <row r="70" spans="4:15" x14ac:dyDescent="0.2">
      <c r="D70" s="5" t="e">
        <v>#N/A</v>
      </c>
      <c r="E70" s="5" t="e">
        <v>#N/A</v>
      </c>
      <c r="F70" s="5" t="e">
        <f>_xll.qlRateHelperQuoteName(E70)</f>
        <v>#VALUE!</v>
      </c>
      <c r="G70" s="219" t="e">
        <f>_xll.qlRateHelperRate(D70,Trigger)-H70</f>
        <v>#VALUE!</v>
      </c>
      <c r="H70" s="6" t="e">
        <f>_xll.qlRateHelperRate($E70)</f>
        <v>#VALUE!</v>
      </c>
      <c r="I70" s="6" t="str">
        <f>IF(ISERROR(_xll.qlSwapRateHelperSpread($E70)),IF(ISERROR(_xll.qlFuturesRateHelperConvexityAdjustment($E70)),"--",_xll.qlFuturesRateHelperConvexityAdjustment($E70)),_xll.qlSwapRateHelperSpread($E70))</f>
        <v>--</v>
      </c>
      <c r="J70" s="7" t="e">
        <f>_xll.qlRateHelperEarliestDate($E70)</f>
        <v>#VALUE!</v>
      </c>
      <c r="K70" s="7" t="e">
        <f>_xll.qlRateHelperMaturityDate(E70)</f>
        <v>#VALUE!</v>
      </c>
      <c r="L70" s="8" t="e">
        <f>_xll.qlRateHelperPillarDate($E70)</f>
        <v>#VALUE!</v>
      </c>
      <c r="M70" s="240" t="e">
        <v>#N/A</v>
      </c>
      <c r="N70" s="2" t="e">
        <v>#N/A</v>
      </c>
      <c r="O70" s="91"/>
    </row>
    <row r="71" spans="4:15" x14ac:dyDescent="0.2">
      <c r="D71" s="5" t="e">
        <v>#N/A</v>
      </c>
      <c r="E71" s="5" t="e">
        <v>#N/A</v>
      </c>
      <c r="F71" s="5" t="e">
        <f>_xll.qlRateHelperQuoteName(E71)</f>
        <v>#VALUE!</v>
      </c>
      <c r="G71" s="219" t="e">
        <f>_xll.qlRateHelperRate(D71,Trigger)-H71</f>
        <v>#VALUE!</v>
      </c>
      <c r="H71" s="6" t="e">
        <f>_xll.qlRateHelperRate($E71)</f>
        <v>#VALUE!</v>
      </c>
      <c r="I71" s="6" t="str">
        <f>IF(ISERROR(_xll.qlSwapRateHelperSpread($E71)),IF(ISERROR(_xll.qlFuturesRateHelperConvexityAdjustment($E71)),"--",_xll.qlFuturesRateHelperConvexityAdjustment($E71)),_xll.qlSwapRateHelperSpread($E71))</f>
        <v>--</v>
      </c>
      <c r="J71" s="7" t="e">
        <f>_xll.qlRateHelperEarliestDate($E71)</f>
        <v>#VALUE!</v>
      </c>
      <c r="K71" s="7" t="e">
        <f>_xll.qlRateHelperMaturityDate(E71)</f>
        <v>#VALUE!</v>
      </c>
      <c r="L71" s="8" t="e">
        <f>_xll.qlRateHelperPillarDate($E71)</f>
        <v>#VALUE!</v>
      </c>
      <c r="M71" s="240" t="e">
        <v>#N/A</v>
      </c>
      <c r="N71" s="2" t="e">
        <v>#N/A</v>
      </c>
      <c r="O71" s="91"/>
    </row>
    <row r="72" spans="4:15" x14ac:dyDescent="0.2">
      <c r="D72" s="5" t="e">
        <v>#N/A</v>
      </c>
      <c r="E72" s="5" t="e">
        <v>#N/A</v>
      </c>
      <c r="F72" s="5" t="e">
        <f>_xll.qlRateHelperQuoteName(E72)</f>
        <v>#VALUE!</v>
      </c>
      <c r="G72" s="219" t="e">
        <f>_xll.qlRateHelperRate(D72,Trigger)-H72</f>
        <v>#VALUE!</v>
      </c>
      <c r="H72" s="6" t="e">
        <f>_xll.qlRateHelperRate($E72)</f>
        <v>#VALUE!</v>
      </c>
      <c r="I72" s="6" t="str">
        <f>IF(ISERROR(_xll.qlSwapRateHelperSpread($E72)),IF(ISERROR(_xll.qlFuturesRateHelperConvexityAdjustment($E72)),"--",_xll.qlFuturesRateHelperConvexityAdjustment($E72)),_xll.qlSwapRateHelperSpread($E72))</f>
        <v>--</v>
      </c>
      <c r="J72" s="7" t="e">
        <f>_xll.qlRateHelperEarliestDate($E72)</f>
        <v>#VALUE!</v>
      </c>
      <c r="K72" s="7" t="e">
        <f>_xll.qlRateHelperMaturityDate(E72)</f>
        <v>#VALUE!</v>
      </c>
      <c r="L72" s="8" t="e">
        <f>_xll.qlRateHelperPillarDate($E72)</f>
        <v>#VALUE!</v>
      </c>
      <c r="M72" s="240" t="e">
        <v>#N/A</v>
      </c>
      <c r="N72" s="2" t="e">
        <v>#N/A</v>
      </c>
      <c r="O72" s="91"/>
    </row>
    <row r="73" spans="4:15" x14ac:dyDescent="0.2">
      <c r="D73" s="5" t="e">
        <v>#N/A</v>
      </c>
      <c r="E73" s="5" t="e">
        <v>#N/A</v>
      </c>
      <c r="F73" s="5" t="e">
        <f>_xll.qlRateHelperQuoteName(E73)</f>
        <v>#VALUE!</v>
      </c>
      <c r="G73" s="219" t="e">
        <f>_xll.qlRateHelperRate(D73,Trigger)-H73</f>
        <v>#VALUE!</v>
      </c>
      <c r="H73" s="6" t="e">
        <f>_xll.qlRateHelperRate($E73)</f>
        <v>#VALUE!</v>
      </c>
      <c r="I73" s="6" t="str">
        <f>IF(ISERROR(_xll.qlSwapRateHelperSpread($E73)),IF(ISERROR(_xll.qlFuturesRateHelperConvexityAdjustment($E73)),"--",_xll.qlFuturesRateHelperConvexityAdjustment($E73)),_xll.qlSwapRateHelperSpread($E73))</f>
        <v>--</v>
      </c>
      <c r="J73" s="7" t="e">
        <f>_xll.qlRateHelperEarliestDate($E73)</f>
        <v>#VALUE!</v>
      </c>
      <c r="K73" s="7" t="e">
        <f>_xll.qlRateHelperMaturityDate(E73)</f>
        <v>#VALUE!</v>
      </c>
      <c r="L73" s="8" t="e">
        <f>_xll.qlRateHelperPillarDate($E73)</f>
        <v>#VALUE!</v>
      </c>
      <c r="M73" s="240" t="e">
        <v>#N/A</v>
      </c>
      <c r="N73" s="2" t="e">
        <v>#N/A</v>
      </c>
      <c r="O73" s="91"/>
    </row>
    <row r="74" spans="4:15" x14ac:dyDescent="0.2">
      <c r="D74" s="5" t="e">
        <v>#N/A</v>
      </c>
      <c r="E74" s="5" t="e">
        <v>#N/A</v>
      </c>
      <c r="F74" s="5" t="e">
        <f>_xll.qlRateHelperQuoteName(E74)</f>
        <v>#VALUE!</v>
      </c>
      <c r="G74" s="219" t="e">
        <f>_xll.qlRateHelperRate(D74,Trigger)-H74</f>
        <v>#VALUE!</v>
      </c>
      <c r="H74" s="6" t="e">
        <f>_xll.qlRateHelperRate($E74)</f>
        <v>#VALUE!</v>
      </c>
      <c r="I74" s="6" t="str">
        <f>IF(ISERROR(_xll.qlSwapRateHelperSpread($E74)),IF(ISERROR(_xll.qlFuturesRateHelperConvexityAdjustment($E74)),"--",_xll.qlFuturesRateHelperConvexityAdjustment($E74)),_xll.qlSwapRateHelperSpread($E74))</f>
        <v>--</v>
      </c>
      <c r="J74" s="7" t="e">
        <f>_xll.qlRateHelperEarliestDate($E74)</f>
        <v>#VALUE!</v>
      </c>
      <c r="K74" s="7" t="e">
        <f>_xll.qlRateHelperMaturityDate(E74)</f>
        <v>#VALUE!</v>
      </c>
      <c r="L74" s="8" t="e">
        <f>_xll.qlRateHelperPillarDate($E74)</f>
        <v>#VALUE!</v>
      </c>
      <c r="M74" s="240" t="e">
        <v>#N/A</v>
      </c>
      <c r="N74" s="2" t="e">
        <v>#N/A</v>
      </c>
      <c r="O74" s="91"/>
    </row>
    <row r="75" spans="4:15" x14ac:dyDescent="0.2">
      <c r="D75" s="5" t="e">
        <v>#N/A</v>
      </c>
      <c r="E75" s="5" t="e">
        <v>#N/A</v>
      </c>
      <c r="F75" s="5" t="e">
        <f>_xll.qlRateHelperQuoteName(E75)</f>
        <v>#VALUE!</v>
      </c>
      <c r="G75" s="219" t="e">
        <f>_xll.qlRateHelperRate(D75,Trigger)-H75</f>
        <v>#VALUE!</v>
      </c>
      <c r="H75" s="6" t="e">
        <f>_xll.qlRateHelperRate($E75)</f>
        <v>#VALUE!</v>
      </c>
      <c r="I75" s="6" t="str">
        <f>IF(ISERROR(_xll.qlSwapRateHelperSpread($E75)),IF(ISERROR(_xll.qlFuturesRateHelperConvexityAdjustment($E75)),"--",_xll.qlFuturesRateHelperConvexityAdjustment($E75)),_xll.qlSwapRateHelperSpread($E75))</f>
        <v>--</v>
      </c>
      <c r="J75" s="7" t="e">
        <f>_xll.qlRateHelperEarliestDate($E75)</f>
        <v>#VALUE!</v>
      </c>
      <c r="K75" s="7" t="e">
        <f>_xll.qlRateHelperMaturityDate(E75)</f>
        <v>#VALUE!</v>
      </c>
      <c r="L75" s="8" t="e">
        <f>_xll.qlRateHelperPillarDate($E75)</f>
        <v>#VALUE!</v>
      </c>
      <c r="M75" s="240" t="e">
        <v>#N/A</v>
      </c>
      <c r="N75" s="2" t="e">
        <v>#N/A</v>
      </c>
      <c r="O75" s="91"/>
    </row>
    <row r="76" spans="4:15" x14ac:dyDescent="0.2">
      <c r="D76" s="5" t="e">
        <v>#N/A</v>
      </c>
      <c r="E76" s="5" t="e">
        <v>#N/A</v>
      </c>
      <c r="F76" s="5" t="e">
        <f>_xll.qlRateHelperQuoteName(E76)</f>
        <v>#VALUE!</v>
      </c>
      <c r="G76" s="219" t="e">
        <f>_xll.qlRateHelperRate(D76,Trigger)-H76</f>
        <v>#VALUE!</v>
      </c>
      <c r="H76" s="6" t="e">
        <f>_xll.qlRateHelperRate($E76)</f>
        <v>#VALUE!</v>
      </c>
      <c r="I76" s="6" t="str">
        <f>IF(ISERROR(_xll.qlSwapRateHelperSpread($E76)),IF(ISERROR(_xll.qlFuturesRateHelperConvexityAdjustment($E76)),"--",_xll.qlFuturesRateHelperConvexityAdjustment($E76)),_xll.qlSwapRateHelperSpread($E76))</f>
        <v>--</v>
      </c>
      <c r="J76" s="7" t="e">
        <f>_xll.qlRateHelperEarliestDate($E76)</f>
        <v>#VALUE!</v>
      </c>
      <c r="K76" s="7" t="e">
        <f>_xll.qlRateHelperMaturityDate(E76)</f>
        <v>#VALUE!</v>
      </c>
      <c r="L76" s="8" t="e">
        <f>_xll.qlRateHelperPillarDate($E76)</f>
        <v>#VALUE!</v>
      </c>
      <c r="M76" s="240" t="e">
        <v>#N/A</v>
      </c>
      <c r="N76" s="2" t="e">
        <v>#N/A</v>
      </c>
      <c r="O76" s="91"/>
    </row>
    <row r="77" spans="4:15" x14ac:dyDescent="0.2">
      <c r="D77" s="5" t="e">
        <v>#N/A</v>
      </c>
      <c r="E77" s="5" t="e">
        <v>#N/A</v>
      </c>
      <c r="F77" s="5" t="e">
        <f>_xll.qlRateHelperQuoteName(E77)</f>
        <v>#VALUE!</v>
      </c>
      <c r="G77" s="219" t="e">
        <f>_xll.qlRateHelperRate(D77,Trigger)-H77</f>
        <v>#VALUE!</v>
      </c>
      <c r="H77" s="6" t="e">
        <f>_xll.qlRateHelperRate($E77)</f>
        <v>#VALUE!</v>
      </c>
      <c r="I77" s="6" t="str">
        <f>IF(ISERROR(_xll.qlSwapRateHelperSpread($E77)),IF(ISERROR(_xll.qlFuturesRateHelperConvexityAdjustment($E77)),"--",_xll.qlFuturesRateHelperConvexityAdjustment($E77)),_xll.qlSwapRateHelperSpread($E77))</f>
        <v>--</v>
      </c>
      <c r="J77" s="7" t="e">
        <f>_xll.qlRateHelperEarliestDate($E77)</f>
        <v>#VALUE!</v>
      </c>
      <c r="K77" s="7" t="e">
        <f>_xll.qlRateHelperMaturityDate(E77)</f>
        <v>#VALUE!</v>
      </c>
      <c r="L77" s="8" t="e">
        <f>_xll.qlRateHelperPillarDate($E77)</f>
        <v>#VALUE!</v>
      </c>
      <c r="M77" s="240" t="e">
        <v>#N/A</v>
      </c>
      <c r="N77" s="2" t="e">
        <v>#N/A</v>
      </c>
      <c r="O77" s="91"/>
    </row>
    <row r="78" spans="4:15" x14ac:dyDescent="0.2">
      <c r="D78" s="5" t="e">
        <v>#N/A</v>
      </c>
      <c r="E78" s="5" t="e">
        <v>#N/A</v>
      </c>
      <c r="F78" s="5" t="e">
        <f>_xll.qlRateHelperQuoteName(E78)</f>
        <v>#VALUE!</v>
      </c>
      <c r="G78" s="219" t="e">
        <f>_xll.qlRateHelperRate(D78,Trigger)-H78</f>
        <v>#VALUE!</v>
      </c>
      <c r="H78" s="6" t="e">
        <f>_xll.qlRateHelperRate($E78)</f>
        <v>#VALUE!</v>
      </c>
      <c r="I78" s="6" t="str">
        <f>IF(ISERROR(_xll.qlSwapRateHelperSpread($E78)),IF(ISERROR(_xll.qlFuturesRateHelperConvexityAdjustment($E78)),"--",_xll.qlFuturesRateHelperConvexityAdjustment($E78)),_xll.qlSwapRateHelperSpread($E78))</f>
        <v>--</v>
      </c>
      <c r="J78" s="7" t="e">
        <f>_xll.qlRateHelperEarliestDate($E78)</f>
        <v>#VALUE!</v>
      </c>
      <c r="K78" s="7" t="e">
        <f>_xll.qlRateHelperMaturityDate(E78)</f>
        <v>#VALUE!</v>
      </c>
      <c r="L78" s="8" t="e">
        <f>_xll.qlRateHelperPillarDate($E78)</f>
        <v>#VALUE!</v>
      </c>
      <c r="M78" s="240" t="e">
        <v>#N/A</v>
      </c>
      <c r="N78" s="2" t="e">
        <v>#N/A</v>
      </c>
      <c r="O78" s="91"/>
    </row>
    <row r="79" spans="4:15" x14ac:dyDescent="0.2">
      <c r="D79" s="5" t="e">
        <v>#N/A</v>
      </c>
      <c r="E79" s="5" t="e">
        <v>#N/A</v>
      </c>
      <c r="F79" s="5" t="e">
        <f>_xll.qlRateHelperQuoteName(E79)</f>
        <v>#VALUE!</v>
      </c>
      <c r="G79" s="219" t="e">
        <f>_xll.qlRateHelperRate(D79,Trigger)-H79</f>
        <v>#VALUE!</v>
      </c>
      <c r="H79" s="6" t="e">
        <f>_xll.qlRateHelperRate($E79)</f>
        <v>#VALUE!</v>
      </c>
      <c r="I79" s="6" t="str">
        <f>IF(ISERROR(_xll.qlSwapRateHelperSpread($E79)),IF(ISERROR(_xll.qlFuturesRateHelperConvexityAdjustment($E79)),"--",_xll.qlFuturesRateHelperConvexityAdjustment($E79)),_xll.qlSwapRateHelperSpread($E79))</f>
        <v>--</v>
      </c>
      <c r="J79" s="7" t="e">
        <f>_xll.qlRateHelperEarliestDate($E79)</f>
        <v>#VALUE!</v>
      </c>
      <c r="K79" s="7" t="e">
        <f>_xll.qlRateHelperMaturityDate(E79)</f>
        <v>#VALUE!</v>
      </c>
      <c r="L79" s="8" t="e">
        <f>_xll.qlRateHelperPillarDate($E79)</f>
        <v>#VALUE!</v>
      </c>
      <c r="M79" s="240" t="e">
        <v>#N/A</v>
      </c>
      <c r="N79" s="2" t="e">
        <v>#N/A</v>
      </c>
      <c r="O79" s="91"/>
    </row>
    <row r="80" spans="4:15" x14ac:dyDescent="0.2">
      <c r="D80" s="5" t="e">
        <v>#N/A</v>
      </c>
      <c r="E80" s="5" t="e">
        <v>#N/A</v>
      </c>
      <c r="F80" s="5" t="e">
        <f>_xll.qlRateHelperQuoteName(E80)</f>
        <v>#VALUE!</v>
      </c>
      <c r="G80" s="219" t="e">
        <f>_xll.qlRateHelperRate(D80,Trigger)-H80</f>
        <v>#VALUE!</v>
      </c>
      <c r="H80" s="6" t="e">
        <f>_xll.qlRateHelperRate($E80)</f>
        <v>#VALUE!</v>
      </c>
      <c r="I80" s="6" t="str">
        <f>IF(ISERROR(_xll.qlSwapRateHelperSpread($E80)),IF(ISERROR(_xll.qlFuturesRateHelperConvexityAdjustment($E80)),"--",_xll.qlFuturesRateHelperConvexityAdjustment($E80)),_xll.qlSwapRateHelperSpread($E80))</f>
        <v>--</v>
      </c>
      <c r="J80" s="7" t="e">
        <f>_xll.qlRateHelperEarliestDate($E80)</f>
        <v>#VALUE!</v>
      </c>
      <c r="K80" s="7" t="e">
        <f>_xll.qlRateHelperMaturityDate(E80)</f>
        <v>#VALUE!</v>
      </c>
      <c r="L80" s="8" t="e">
        <f>_xll.qlRateHelperPillarDate($E80)</f>
        <v>#VALUE!</v>
      </c>
      <c r="M80" s="240" t="e">
        <v>#N/A</v>
      </c>
      <c r="N80" s="2" t="e">
        <v>#N/A</v>
      </c>
      <c r="O80" s="91"/>
    </row>
    <row r="81" spans="4:15" x14ac:dyDescent="0.2">
      <c r="D81" s="5" t="e">
        <v>#N/A</v>
      </c>
      <c r="E81" s="5" t="e">
        <v>#N/A</v>
      </c>
      <c r="F81" s="5" t="e">
        <f>_xll.qlRateHelperQuoteName(E81)</f>
        <v>#VALUE!</v>
      </c>
      <c r="G81" s="219" t="e">
        <f>_xll.qlRateHelperRate(D81,Trigger)-H81</f>
        <v>#VALUE!</v>
      </c>
      <c r="H81" s="6" t="e">
        <f>_xll.qlRateHelperRate($E81)</f>
        <v>#VALUE!</v>
      </c>
      <c r="I81" s="6" t="str">
        <f>IF(ISERROR(_xll.qlSwapRateHelperSpread($E81)),IF(ISERROR(_xll.qlFuturesRateHelperConvexityAdjustment($E81)),"--",_xll.qlFuturesRateHelperConvexityAdjustment($E81)),_xll.qlSwapRateHelperSpread($E81))</f>
        <v>--</v>
      </c>
      <c r="J81" s="7" t="e">
        <f>_xll.qlRateHelperEarliestDate($E81)</f>
        <v>#VALUE!</v>
      </c>
      <c r="K81" s="7" t="e">
        <f>_xll.qlRateHelperMaturityDate(E81)</f>
        <v>#VALUE!</v>
      </c>
      <c r="L81" s="8" t="e">
        <f>_xll.qlRateHelperPillarDate($E81)</f>
        <v>#VALUE!</v>
      </c>
      <c r="M81" s="240" t="e">
        <v>#N/A</v>
      </c>
      <c r="N81" s="2" t="e">
        <v>#N/A</v>
      </c>
      <c r="O81" s="91"/>
    </row>
    <row r="82" spans="4:15" x14ac:dyDescent="0.2">
      <c r="D82" s="5" t="e">
        <v>#N/A</v>
      </c>
      <c r="E82" s="5" t="e">
        <v>#N/A</v>
      </c>
      <c r="F82" s="5" t="e">
        <f>_xll.qlRateHelperQuoteName(E82)</f>
        <v>#VALUE!</v>
      </c>
      <c r="G82" s="219" t="e">
        <f>_xll.qlRateHelperRate(D82,Trigger)-H82</f>
        <v>#VALUE!</v>
      </c>
      <c r="H82" s="6" t="e">
        <f>_xll.qlRateHelperRate($E82)</f>
        <v>#VALUE!</v>
      </c>
      <c r="I82" s="6" t="str">
        <f>IF(ISERROR(_xll.qlSwapRateHelperSpread($E82)),IF(ISERROR(_xll.qlFuturesRateHelperConvexityAdjustment($E82)),"--",_xll.qlFuturesRateHelperConvexityAdjustment($E82)),_xll.qlSwapRateHelperSpread($E82))</f>
        <v>--</v>
      </c>
      <c r="J82" s="7" t="e">
        <f>_xll.qlRateHelperEarliestDate($E82)</f>
        <v>#VALUE!</v>
      </c>
      <c r="K82" s="7" t="e">
        <f>_xll.qlRateHelperMaturityDate(E82)</f>
        <v>#VALUE!</v>
      </c>
      <c r="L82" s="8" t="e">
        <f>_xll.qlRateHelperPillarDate($E82)</f>
        <v>#VALUE!</v>
      </c>
      <c r="M82" s="240" t="e">
        <v>#N/A</v>
      </c>
      <c r="N82" s="2" t="e">
        <v>#N/A</v>
      </c>
      <c r="O82" s="91"/>
    </row>
    <row r="83" spans="4:15" x14ac:dyDescent="0.2">
      <c r="D83" s="5" t="e">
        <v>#N/A</v>
      </c>
      <c r="E83" s="5" t="e">
        <v>#N/A</v>
      </c>
      <c r="F83" s="5" t="e">
        <f>_xll.qlRateHelperQuoteName(E83)</f>
        <v>#VALUE!</v>
      </c>
      <c r="G83" s="219" t="e">
        <f>_xll.qlRateHelperRate(D83,Trigger)-H83</f>
        <v>#VALUE!</v>
      </c>
      <c r="H83" s="6" t="e">
        <f>_xll.qlRateHelperRate($E83)</f>
        <v>#VALUE!</v>
      </c>
      <c r="I83" s="6" t="str">
        <f>IF(ISERROR(_xll.qlSwapRateHelperSpread($E83)),IF(ISERROR(_xll.qlFuturesRateHelperConvexityAdjustment($E83)),"--",_xll.qlFuturesRateHelperConvexityAdjustment($E83)),_xll.qlSwapRateHelperSpread($E83))</f>
        <v>--</v>
      </c>
      <c r="J83" s="7" t="e">
        <f>_xll.qlRateHelperEarliestDate($E83)</f>
        <v>#VALUE!</v>
      </c>
      <c r="K83" s="7" t="e">
        <f>_xll.qlRateHelperMaturityDate(E83)</f>
        <v>#VALUE!</v>
      </c>
      <c r="L83" s="8" t="e">
        <f>_xll.qlRateHelperPillarDate($E83)</f>
        <v>#VALUE!</v>
      </c>
      <c r="M83" s="240" t="e">
        <v>#N/A</v>
      </c>
      <c r="N83" s="2" t="e">
        <v>#N/A</v>
      </c>
      <c r="O83" s="91"/>
    </row>
    <row r="84" spans="4:15" x14ac:dyDescent="0.2">
      <c r="D84" s="5" t="e">
        <v>#N/A</v>
      </c>
      <c r="E84" s="5" t="e">
        <v>#N/A</v>
      </c>
      <c r="F84" s="5" t="e">
        <f>_xll.qlRateHelperQuoteName(E84)</f>
        <v>#VALUE!</v>
      </c>
      <c r="G84" s="219" t="e">
        <f>_xll.qlRateHelperRate(D84,Trigger)-H84</f>
        <v>#VALUE!</v>
      </c>
      <c r="H84" s="6" t="e">
        <f>_xll.qlRateHelperRate($E84)</f>
        <v>#VALUE!</v>
      </c>
      <c r="I84" s="6" t="str">
        <f>IF(ISERROR(_xll.qlSwapRateHelperSpread($E84)),IF(ISERROR(_xll.qlFuturesRateHelperConvexityAdjustment($E84)),"--",_xll.qlFuturesRateHelperConvexityAdjustment($E84)),_xll.qlSwapRateHelperSpread($E84))</f>
        <v>--</v>
      </c>
      <c r="J84" s="7" t="e">
        <f>_xll.qlRateHelperEarliestDate($E84)</f>
        <v>#VALUE!</v>
      </c>
      <c r="K84" s="7" t="e">
        <f>_xll.qlRateHelperMaturityDate(E84)</f>
        <v>#VALUE!</v>
      </c>
      <c r="L84" s="8" t="e">
        <f>_xll.qlRateHelperPillarDate($E84)</f>
        <v>#VALUE!</v>
      </c>
      <c r="M84" s="240" t="e">
        <v>#N/A</v>
      </c>
      <c r="N84" s="2" t="e">
        <v>#N/A</v>
      </c>
      <c r="O84" s="91"/>
    </row>
    <row r="85" spans="4:15" x14ac:dyDescent="0.2">
      <c r="D85" s="5" t="e">
        <v>#N/A</v>
      </c>
      <c r="E85" s="5" t="e">
        <v>#N/A</v>
      </c>
      <c r="F85" s="5" t="e">
        <f>_xll.qlRateHelperQuoteName(E85)</f>
        <v>#VALUE!</v>
      </c>
      <c r="G85" s="219" t="e">
        <f>_xll.qlRateHelperRate(D85,Trigger)-H85</f>
        <v>#VALUE!</v>
      </c>
      <c r="H85" s="6" t="e">
        <f>_xll.qlRateHelperRate($E85)</f>
        <v>#VALUE!</v>
      </c>
      <c r="I85" s="6" t="str">
        <f>IF(ISERROR(_xll.qlSwapRateHelperSpread($E85)),IF(ISERROR(_xll.qlFuturesRateHelperConvexityAdjustment($E85)),"--",_xll.qlFuturesRateHelperConvexityAdjustment($E85)),_xll.qlSwapRateHelperSpread($E85))</f>
        <v>--</v>
      </c>
      <c r="J85" s="7" t="e">
        <f>_xll.qlRateHelperEarliestDate($E85)</f>
        <v>#VALUE!</v>
      </c>
      <c r="K85" s="7" t="e">
        <f>_xll.qlRateHelperMaturityDate(E85)</f>
        <v>#VALUE!</v>
      </c>
      <c r="L85" s="8" t="e">
        <f>_xll.qlRateHelperPillarDate($E85)</f>
        <v>#VALUE!</v>
      </c>
      <c r="M85" s="240" t="e">
        <v>#N/A</v>
      </c>
      <c r="N85" s="2" t="e">
        <v>#N/A</v>
      </c>
      <c r="O85" s="91"/>
    </row>
    <row r="86" spans="4:15" x14ac:dyDescent="0.2">
      <c r="D86" s="5" t="e">
        <v>#N/A</v>
      </c>
      <c r="E86" s="5" t="e">
        <v>#N/A</v>
      </c>
      <c r="F86" s="5" t="e">
        <f>_xll.qlRateHelperQuoteName(E86)</f>
        <v>#VALUE!</v>
      </c>
      <c r="G86" s="219" t="e">
        <f>_xll.qlRateHelperRate(D86,Trigger)-H86</f>
        <v>#VALUE!</v>
      </c>
      <c r="H86" s="6" t="e">
        <f>_xll.qlRateHelperRate($E86)</f>
        <v>#VALUE!</v>
      </c>
      <c r="I86" s="6" t="str">
        <f>IF(ISERROR(_xll.qlSwapRateHelperSpread($E86)),IF(ISERROR(_xll.qlFuturesRateHelperConvexityAdjustment($E86)),"--",_xll.qlFuturesRateHelperConvexityAdjustment($E86)),_xll.qlSwapRateHelperSpread($E86))</f>
        <v>--</v>
      </c>
      <c r="J86" s="7" t="e">
        <f>_xll.qlRateHelperEarliestDate($E86)</f>
        <v>#VALUE!</v>
      </c>
      <c r="K86" s="7" t="e">
        <f>_xll.qlRateHelperMaturityDate(E86)</f>
        <v>#VALUE!</v>
      </c>
      <c r="L86" s="8" t="e">
        <f>_xll.qlRateHelperPillarDate($E86)</f>
        <v>#VALUE!</v>
      </c>
      <c r="M86" s="240" t="e">
        <v>#N/A</v>
      </c>
      <c r="N86" s="2" t="e">
        <v>#N/A</v>
      </c>
      <c r="O86" s="91"/>
    </row>
    <row r="87" spans="4:15" x14ac:dyDescent="0.2">
      <c r="D87" s="5" t="e">
        <v>#N/A</v>
      </c>
      <c r="E87" s="5" t="e">
        <v>#N/A</v>
      </c>
      <c r="F87" s="5" t="e">
        <f>_xll.qlRateHelperQuoteName(E87)</f>
        <v>#VALUE!</v>
      </c>
      <c r="G87" s="219" t="e">
        <f>_xll.qlRateHelperRate(D87,Trigger)-H87</f>
        <v>#VALUE!</v>
      </c>
      <c r="H87" s="6" t="e">
        <f>_xll.qlRateHelperRate($E87)</f>
        <v>#VALUE!</v>
      </c>
      <c r="I87" s="6" t="str">
        <f>IF(ISERROR(_xll.qlSwapRateHelperSpread($E87)),IF(ISERROR(_xll.qlFuturesRateHelperConvexityAdjustment($E87)),"--",_xll.qlFuturesRateHelperConvexityAdjustment($E87)),_xll.qlSwapRateHelperSpread($E87))</f>
        <v>--</v>
      </c>
      <c r="J87" s="7" t="e">
        <f>_xll.qlRateHelperEarliestDate($E87)</f>
        <v>#VALUE!</v>
      </c>
      <c r="K87" s="7" t="e">
        <f>_xll.qlRateHelperMaturityDate(E87)</f>
        <v>#VALUE!</v>
      </c>
      <c r="L87" s="8" t="e">
        <f>_xll.qlRateHelperPillarDate($E87)</f>
        <v>#VALUE!</v>
      </c>
      <c r="M87" s="240" t="e">
        <v>#N/A</v>
      </c>
      <c r="N87" s="2" t="e">
        <v>#N/A</v>
      </c>
      <c r="O87" s="91"/>
    </row>
    <row r="88" spans="4:15" x14ac:dyDescent="0.2">
      <c r="D88" s="5" t="e">
        <v>#N/A</v>
      </c>
      <c r="E88" s="5" t="e">
        <v>#N/A</v>
      </c>
      <c r="F88" s="5" t="e">
        <f>_xll.qlRateHelperQuoteName(E88)</f>
        <v>#VALUE!</v>
      </c>
      <c r="G88" s="219" t="e">
        <f>_xll.qlRateHelperRate(D88,Trigger)-H88</f>
        <v>#VALUE!</v>
      </c>
      <c r="H88" s="6" t="e">
        <f>_xll.qlRateHelperRate($E88)</f>
        <v>#VALUE!</v>
      </c>
      <c r="I88" s="6" t="str">
        <f>IF(ISERROR(_xll.qlSwapRateHelperSpread($E88)),IF(ISERROR(_xll.qlFuturesRateHelperConvexityAdjustment($E88)),"--",_xll.qlFuturesRateHelperConvexityAdjustment($E88)),_xll.qlSwapRateHelperSpread($E88))</f>
        <v>--</v>
      </c>
      <c r="J88" s="7" t="e">
        <f>_xll.qlRateHelperEarliestDate($E88)</f>
        <v>#VALUE!</v>
      </c>
      <c r="K88" s="7" t="e">
        <f>_xll.qlRateHelperMaturityDate(E88)</f>
        <v>#VALUE!</v>
      </c>
      <c r="L88" s="8" t="e">
        <f>_xll.qlRateHelperPillarDate($E88)</f>
        <v>#VALUE!</v>
      </c>
      <c r="M88" s="240" t="e">
        <v>#N/A</v>
      </c>
      <c r="N88" s="2" t="e">
        <v>#N/A</v>
      </c>
      <c r="O88" s="91"/>
    </row>
    <row r="89" spans="4:15" x14ac:dyDescent="0.2">
      <c r="D89" s="5" t="e">
        <v>#N/A</v>
      </c>
      <c r="E89" s="5" t="e">
        <v>#N/A</v>
      </c>
      <c r="F89" s="5" t="e">
        <f>_xll.qlRateHelperQuoteName(E89)</f>
        <v>#VALUE!</v>
      </c>
      <c r="G89" s="219" t="e">
        <f>_xll.qlRateHelperRate(D89,Trigger)-H89</f>
        <v>#VALUE!</v>
      </c>
      <c r="H89" s="6" t="e">
        <f>_xll.qlRateHelperRate($E89)</f>
        <v>#VALUE!</v>
      </c>
      <c r="I89" s="6" t="str">
        <f>IF(ISERROR(_xll.qlSwapRateHelperSpread($E89)),IF(ISERROR(_xll.qlFuturesRateHelperConvexityAdjustment($E89)),"--",_xll.qlFuturesRateHelperConvexityAdjustment($E89)),_xll.qlSwapRateHelperSpread($E89))</f>
        <v>--</v>
      </c>
      <c r="J89" s="7" t="e">
        <f>_xll.qlRateHelperEarliestDate($E89)</f>
        <v>#VALUE!</v>
      </c>
      <c r="K89" s="7" t="e">
        <f>_xll.qlRateHelperMaturityDate(E89)</f>
        <v>#VALUE!</v>
      </c>
      <c r="L89" s="8" t="e">
        <f>_xll.qlRateHelperPillarDate($E89)</f>
        <v>#VALUE!</v>
      </c>
      <c r="M89" s="240" t="e">
        <v>#N/A</v>
      </c>
      <c r="N89" s="2" t="e">
        <v>#N/A</v>
      </c>
      <c r="O89" s="91"/>
    </row>
    <row r="90" spans="4:15" x14ac:dyDescent="0.2">
      <c r="D90" s="5" t="e">
        <v>#N/A</v>
      </c>
      <c r="E90" s="5" t="e">
        <v>#N/A</v>
      </c>
      <c r="F90" s="5" t="e">
        <f>_xll.qlRateHelperQuoteName(E90)</f>
        <v>#VALUE!</v>
      </c>
      <c r="G90" s="219" t="e">
        <f>_xll.qlRateHelperRate(D90,Trigger)-H90</f>
        <v>#VALUE!</v>
      </c>
      <c r="H90" s="6" t="e">
        <f>_xll.qlRateHelperRate($E90)</f>
        <v>#VALUE!</v>
      </c>
      <c r="I90" s="6" t="str">
        <f>IF(ISERROR(_xll.qlSwapRateHelperSpread($E90)),IF(ISERROR(_xll.qlFuturesRateHelperConvexityAdjustment($E90)),"--",_xll.qlFuturesRateHelperConvexityAdjustment($E90)),_xll.qlSwapRateHelperSpread($E90))</f>
        <v>--</v>
      </c>
      <c r="J90" s="7" t="e">
        <f>_xll.qlRateHelperEarliestDate($E90)</f>
        <v>#VALUE!</v>
      </c>
      <c r="K90" s="7" t="e">
        <f>_xll.qlRateHelperMaturityDate(E90)</f>
        <v>#VALUE!</v>
      </c>
      <c r="L90" s="8" t="e">
        <f>_xll.qlRateHelperPillarDate($E90)</f>
        <v>#VALUE!</v>
      </c>
      <c r="M90" s="240" t="e">
        <v>#N/A</v>
      </c>
      <c r="N90" s="2" t="e">
        <v>#N/A</v>
      </c>
      <c r="O90" s="91"/>
    </row>
    <row r="91" spans="4:15" x14ac:dyDescent="0.2">
      <c r="D91" s="5" t="e">
        <v>#N/A</v>
      </c>
      <c r="E91" s="5" t="e">
        <v>#N/A</v>
      </c>
      <c r="F91" s="5" t="e">
        <f>_xll.qlRateHelperQuoteName(E91)</f>
        <v>#VALUE!</v>
      </c>
      <c r="G91" s="219" t="e">
        <f>_xll.qlRateHelperRate(D91,Trigger)-H91</f>
        <v>#VALUE!</v>
      </c>
      <c r="H91" s="6" t="e">
        <f>_xll.qlRateHelperRate($E91)</f>
        <v>#VALUE!</v>
      </c>
      <c r="I91" s="6" t="str">
        <f>IF(ISERROR(_xll.qlSwapRateHelperSpread($E91)),IF(ISERROR(_xll.qlFuturesRateHelperConvexityAdjustment($E91)),"--",_xll.qlFuturesRateHelperConvexityAdjustment($E91)),_xll.qlSwapRateHelperSpread($E91))</f>
        <v>--</v>
      </c>
      <c r="J91" s="7" t="e">
        <f>_xll.qlRateHelperEarliestDate($E91)</f>
        <v>#VALUE!</v>
      </c>
      <c r="K91" s="7" t="e">
        <f>_xll.qlRateHelperMaturityDate(E91)</f>
        <v>#VALUE!</v>
      </c>
      <c r="L91" s="8" t="e">
        <f>_xll.qlRateHelperPillarDate($E91)</f>
        <v>#VALUE!</v>
      </c>
      <c r="M91" s="240" t="e">
        <v>#N/A</v>
      </c>
      <c r="N91" s="2" t="e">
        <v>#N/A</v>
      </c>
      <c r="O91" s="91"/>
    </row>
    <row r="92" spans="4:15" x14ac:dyDescent="0.2">
      <c r="D92" s="5" t="e">
        <v>#N/A</v>
      </c>
      <c r="E92" s="5" t="e">
        <v>#N/A</v>
      </c>
      <c r="F92" s="5" t="e">
        <f>_xll.qlRateHelperQuoteName(E92)</f>
        <v>#VALUE!</v>
      </c>
      <c r="G92" s="219" t="e">
        <f>_xll.qlRateHelperRate(D92,Trigger)-H92</f>
        <v>#VALUE!</v>
      </c>
      <c r="H92" s="6" t="e">
        <f>_xll.qlRateHelperRate($E92)</f>
        <v>#VALUE!</v>
      </c>
      <c r="I92" s="6" t="str">
        <f>IF(ISERROR(_xll.qlSwapRateHelperSpread($E92)),IF(ISERROR(_xll.qlFuturesRateHelperConvexityAdjustment($E92)),"--",_xll.qlFuturesRateHelperConvexityAdjustment($E92)),_xll.qlSwapRateHelperSpread($E92))</f>
        <v>--</v>
      </c>
      <c r="J92" s="7" t="e">
        <f>_xll.qlRateHelperEarliestDate($E92)</f>
        <v>#VALUE!</v>
      </c>
      <c r="K92" s="7" t="e">
        <f>_xll.qlRateHelperMaturityDate(E92)</f>
        <v>#VALUE!</v>
      </c>
      <c r="L92" s="8" t="e">
        <f>_xll.qlRateHelperPillarDate($E92)</f>
        <v>#VALUE!</v>
      </c>
      <c r="M92" s="240" t="e">
        <v>#N/A</v>
      </c>
      <c r="N92" s="2" t="e">
        <v>#N/A</v>
      </c>
      <c r="O92" s="91"/>
    </row>
    <row r="93" spans="4:15" x14ac:dyDescent="0.2">
      <c r="D93" s="5" t="e">
        <v>#N/A</v>
      </c>
      <c r="E93" s="5" t="e">
        <v>#N/A</v>
      </c>
      <c r="F93" s="5" t="e">
        <f>_xll.qlRateHelperQuoteName(E93)</f>
        <v>#VALUE!</v>
      </c>
      <c r="G93" s="219" t="e">
        <f>_xll.qlRateHelperRate(D93,Trigger)-H93</f>
        <v>#VALUE!</v>
      </c>
      <c r="H93" s="6" t="e">
        <f>_xll.qlRateHelperRate($E93)</f>
        <v>#VALUE!</v>
      </c>
      <c r="I93" s="6" t="str">
        <f>IF(ISERROR(_xll.qlSwapRateHelperSpread($E93)),IF(ISERROR(_xll.qlFuturesRateHelperConvexityAdjustment($E93)),"--",_xll.qlFuturesRateHelperConvexityAdjustment($E93)),_xll.qlSwapRateHelperSpread($E93))</f>
        <v>--</v>
      </c>
      <c r="J93" s="7" t="e">
        <f>_xll.qlRateHelperEarliestDate($E93)</f>
        <v>#VALUE!</v>
      </c>
      <c r="K93" s="7" t="e">
        <f>_xll.qlRateHelperMaturityDate(E93)</f>
        <v>#VALUE!</v>
      </c>
      <c r="L93" s="8" t="e">
        <f>_xll.qlRateHelperPillarDate($E93)</f>
        <v>#VALUE!</v>
      </c>
      <c r="M93" s="240" t="e">
        <v>#N/A</v>
      </c>
      <c r="N93" s="2" t="e">
        <v>#N/A</v>
      </c>
      <c r="O93" s="91"/>
    </row>
    <row r="94" spans="4:15" x14ac:dyDescent="0.2">
      <c r="D94" s="5" t="e">
        <v>#N/A</v>
      </c>
      <c r="E94" s="5" t="e">
        <v>#N/A</v>
      </c>
      <c r="F94" s="5" t="e">
        <f>_xll.qlRateHelperQuoteName(E94)</f>
        <v>#VALUE!</v>
      </c>
      <c r="G94" s="219" t="e">
        <f>_xll.qlRateHelperRate(D94,Trigger)-H94</f>
        <v>#VALUE!</v>
      </c>
      <c r="H94" s="6" t="e">
        <f>_xll.qlRateHelperRate($E94)</f>
        <v>#VALUE!</v>
      </c>
      <c r="I94" s="6" t="str">
        <f>IF(ISERROR(_xll.qlSwapRateHelperSpread($E94)),IF(ISERROR(_xll.qlFuturesRateHelperConvexityAdjustment($E94)),"--",_xll.qlFuturesRateHelperConvexityAdjustment($E94)),_xll.qlSwapRateHelperSpread($E94))</f>
        <v>--</v>
      </c>
      <c r="J94" s="7" t="e">
        <f>_xll.qlRateHelperEarliestDate($E94)</f>
        <v>#VALUE!</v>
      </c>
      <c r="K94" s="7" t="e">
        <f>_xll.qlRateHelperMaturityDate(E94)</f>
        <v>#VALUE!</v>
      </c>
      <c r="L94" s="8" t="e">
        <f>_xll.qlRateHelperPillarDate($E94)</f>
        <v>#VALUE!</v>
      </c>
      <c r="M94" s="240" t="e">
        <v>#N/A</v>
      </c>
      <c r="N94" s="2" t="e">
        <v>#N/A</v>
      </c>
      <c r="O94" s="91"/>
    </row>
    <row r="95" spans="4:15" x14ac:dyDescent="0.2">
      <c r="D95" s="5" t="e">
        <v>#N/A</v>
      </c>
      <c r="E95" s="5" t="e">
        <v>#N/A</v>
      </c>
      <c r="F95" s="5" t="e">
        <f>_xll.qlRateHelperQuoteName(E95)</f>
        <v>#VALUE!</v>
      </c>
      <c r="G95" s="219" t="e">
        <f>_xll.qlRateHelperRate(D95,Trigger)-H95</f>
        <v>#VALUE!</v>
      </c>
      <c r="H95" s="6" t="e">
        <f>_xll.qlRateHelperRate($E95)</f>
        <v>#VALUE!</v>
      </c>
      <c r="I95" s="6" t="str">
        <f>IF(ISERROR(_xll.qlSwapRateHelperSpread($E95)),IF(ISERROR(_xll.qlFuturesRateHelperConvexityAdjustment($E95)),"--",_xll.qlFuturesRateHelperConvexityAdjustment($E95)),_xll.qlSwapRateHelperSpread($E95))</f>
        <v>--</v>
      </c>
      <c r="J95" s="7" t="e">
        <f>_xll.qlRateHelperEarliestDate($E95)</f>
        <v>#VALUE!</v>
      </c>
      <c r="K95" s="7" t="e">
        <f>_xll.qlRateHelperMaturityDate(E95)</f>
        <v>#VALUE!</v>
      </c>
      <c r="L95" s="8" t="e">
        <f>_xll.qlRateHelperPillarDate($E95)</f>
        <v>#VALUE!</v>
      </c>
      <c r="M95" s="240" t="e">
        <v>#N/A</v>
      </c>
      <c r="N95" s="2" t="e">
        <v>#N/A</v>
      </c>
      <c r="O95" s="91"/>
    </row>
    <row r="96" spans="4:15" x14ac:dyDescent="0.2">
      <c r="D96" s="5" t="e">
        <v>#N/A</v>
      </c>
      <c r="E96" s="5" t="e">
        <v>#N/A</v>
      </c>
      <c r="F96" s="5" t="e">
        <f>_xll.qlRateHelperQuoteName(E96)</f>
        <v>#VALUE!</v>
      </c>
      <c r="G96" s="219" t="e">
        <f>_xll.qlRateHelperRate(D96,Trigger)-H96</f>
        <v>#VALUE!</v>
      </c>
      <c r="H96" s="6" t="e">
        <f>_xll.qlRateHelperRate($E96)</f>
        <v>#VALUE!</v>
      </c>
      <c r="I96" s="6" t="str">
        <f>IF(ISERROR(_xll.qlSwapRateHelperSpread($E96)),IF(ISERROR(_xll.qlFuturesRateHelperConvexityAdjustment($E96)),"--",_xll.qlFuturesRateHelperConvexityAdjustment($E96)),_xll.qlSwapRateHelperSpread($E96))</f>
        <v>--</v>
      </c>
      <c r="J96" s="7" t="e">
        <f>_xll.qlRateHelperEarliestDate($E96)</f>
        <v>#VALUE!</v>
      </c>
      <c r="K96" s="7" t="e">
        <f>_xll.qlRateHelperMaturityDate(E96)</f>
        <v>#VALUE!</v>
      </c>
      <c r="L96" s="8" t="e">
        <f>_xll.qlRateHelperPillarDate($E96)</f>
        <v>#VALUE!</v>
      </c>
      <c r="M96" s="240" t="e">
        <v>#N/A</v>
      </c>
      <c r="N96" s="2" t="e">
        <v>#N/A</v>
      </c>
      <c r="O96" s="91"/>
    </row>
    <row r="97" spans="4:15" x14ac:dyDescent="0.2">
      <c r="D97" s="5" t="e">
        <v>#N/A</v>
      </c>
      <c r="E97" s="5" t="e">
        <v>#N/A</v>
      </c>
      <c r="F97" s="5" t="e">
        <f>_xll.qlRateHelperQuoteName(E97)</f>
        <v>#VALUE!</v>
      </c>
      <c r="G97" s="219" t="e">
        <f>_xll.qlRateHelperRate(D97,Trigger)-H97</f>
        <v>#VALUE!</v>
      </c>
      <c r="H97" s="6" t="e">
        <f>_xll.qlRateHelperRate($E97)</f>
        <v>#VALUE!</v>
      </c>
      <c r="I97" s="6" t="str">
        <f>IF(ISERROR(_xll.qlSwapRateHelperSpread($E97)),IF(ISERROR(_xll.qlFuturesRateHelperConvexityAdjustment($E97)),"--",_xll.qlFuturesRateHelperConvexityAdjustment($E97)),_xll.qlSwapRateHelperSpread($E97))</f>
        <v>--</v>
      </c>
      <c r="J97" s="7" t="e">
        <f>_xll.qlRateHelperEarliestDate($E97)</f>
        <v>#VALUE!</v>
      </c>
      <c r="K97" s="7" t="e">
        <f>_xll.qlRateHelperMaturityDate(E97)</f>
        <v>#VALUE!</v>
      </c>
      <c r="L97" s="8" t="e">
        <f>_xll.qlRateHelperPillarDate($E97)</f>
        <v>#VALUE!</v>
      </c>
      <c r="M97" s="240" t="e">
        <v>#N/A</v>
      </c>
      <c r="N97" s="2" t="e">
        <v>#N/A</v>
      </c>
      <c r="O97" s="91"/>
    </row>
    <row r="98" spans="4:15" x14ac:dyDescent="0.2">
      <c r="D98" s="5" t="e">
        <v>#N/A</v>
      </c>
      <c r="E98" s="5" t="e">
        <v>#N/A</v>
      </c>
      <c r="F98" s="5" t="e">
        <f>_xll.qlRateHelperQuoteName(E98)</f>
        <v>#VALUE!</v>
      </c>
      <c r="G98" s="219" t="e">
        <f>_xll.qlRateHelperRate(D98,Trigger)-H98</f>
        <v>#VALUE!</v>
      </c>
      <c r="H98" s="6" t="e">
        <f>_xll.qlRateHelperRate($E98)</f>
        <v>#VALUE!</v>
      </c>
      <c r="I98" s="6" t="str">
        <f>IF(ISERROR(_xll.qlSwapRateHelperSpread($E98)),IF(ISERROR(_xll.qlFuturesRateHelperConvexityAdjustment($E98)),"--",_xll.qlFuturesRateHelperConvexityAdjustment($E98)),_xll.qlSwapRateHelperSpread($E98))</f>
        <v>--</v>
      </c>
      <c r="J98" s="7" t="e">
        <f>_xll.qlRateHelperEarliestDate($E98)</f>
        <v>#VALUE!</v>
      </c>
      <c r="K98" s="7" t="e">
        <f>_xll.qlRateHelperMaturityDate(E98)</f>
        <v>#VALUE!</v>
      </c>
      <c r="L98" s="8" t="e">
        <f>_xll.qlRateHelperPillarDate($E98)</f>
        <v>#VALUE!</v>
      </c>
      <c r="M98" s="240" t="e">
        <v>#N/A</v>
      </c>
      <c r="N98" s="2" t="e">
        <v>#N/A</v>
      </c>
      <c r="O98" s="91"/>
    </row>
    <row r="99" spans="4:15" x14ac:dyDescent="0.2">
      <c r="D99" s="5" t="e">
        <v>#N/A</v>
      </c>
      <c r="E99" s="5" t="e">
        <v>#N/A</v>
      </c>
      <c r="F99" s="5" t="e">
        <f>_xll.qlRateHelperQuoteName(E99)</f>
        <v>#VALUE!</v>
      </c>
      <c r="G99" s="219" t="e">
        <f>_xll.qlRateHelperRate(D99,Trigger)-H99</f>
        <v>#VALUE!</v>
      </c>
      <c r="H99" s="6" t="e">
        <f>_xll.qlRateHelperRate($E99)</f>
        <v>#VALUE!</v>
      </c>
      <c r="I99" s="6" t="str">
        <f>IF(ISERROR(_xll.qlSwapRateHelperSpread($E99)),IF(ISERROR(_xll.qlFuturesRateHelperConvexityAdjustment($E99)),"--",_xll.qlFuturesRateHelperConvexityAdjustment($E99)),_xll.qlSwapRateHelperSpread($E99))</f>
        <v>--</v>
      </c>
      <c r="J99" s="7" t="e">
        <f>_xll.qlRateHelperEarliestDate($E99)</f>
        <v>#VALUE!</v>
      </c>
      <c r="K99" s="7" t="e">
        <f>_xll.qlRateHelperMaturityDate(E99)</f>
        <v>#VALUE!</v>
      </c>
      <c r="L99" s="8" t="e">
        <f>_xll.qlRateHelperPillarDate($E99)</f>
        <v>#VALUE!</v>
      </c>
      <c r="M99" s="240" t="e">
        <v>#N/A</v>
      </c>
      <c r="N99" s="2" t="e">
        <v>#N/A</v>
      </c>
      <c r="O99" s="91"/>
    </row>
    <row r="100" spans="4:15" x14ac:dyDescent="0.2">
      <c r="D100" s="5" t="e">
        <v>#N/A</v>
      </c>
      <c r="E100" s="5" t="e">
        <v>#N/A</v>
      </c>
      <c r="F100" s="5" t="e">
        <f>_xll.qlRateHelperQuoteName(E100)</f>
        <v>#VALUE!</v>
      </c>
      <c r="G100" s="219" t="e">
        <f>_xll.qlRateHelperRate(D100,Trigger)-H100</f>
        <v>#VALUE!</v>
      </c>
      <c r="H100" s="6" t="e">
        <f>_xll.qlRateHelperRate($E100)</f>
        <v>#VALUE!</v>
      </c>
      <c r="I100" s="6" t="str">
        <f>IF(ISERROR(_xll.qlSwapRateHelperSpread($E100)),IF(ISERROR(_xll.qlFuturesRateHelperConvexityAdjustment($E100)),"--",_xll.qlFuturesRateHelperConvexityAdjustment($E100)),_xll.qlSwapRateHelperSpread($E100))</f>
        <v>--</v>
      </c>
      <c r="J100" s="7" t="e">
        <f>_xll.qlRateHelperEarliestDate($E100)</f>
        <v>#VALUE!</v>
      </c>
      <c r="K100" s="7" t="e">
        <f>_xll.qlRateHelperMaturityDate(E100)</f>
        <v>#VALUE!</v>
      </c>
      <c r="L100" s="8" t="e">
        <f>_xll.qlRateHelperPillarDate($E100)</f>
        <v>#VALUE!</v>
      </c>
      <c r="M100" s="240" t="e">
        <v>#N/A</v>
      </c>
      <c r="N100" s="2" t="e">
        <v>#N/A</v>
      </c>
      <c r="O100" s="91"/>
    </row>
    <row r="101" spans="4:15" x14ac:dyDescent="0.2">
      <c r="D101" s="5" t="e">
        <v>#N/A</v>
      </c>
      <c r="E101" s="5" t="e">
        <v>#N/A</v>
      </c>
      <c r="F101" s="5" t="e">
        <f>_xll.qlRateHelperQuoteName(E101)</f>
        <v>#VALUE!</v>
      </c>
      <c r="G101" s="219" t="e">
        <f>_xll.qlRateHelperRate(D101,Trigger)-H101</f>
        <v>#VALUE!</v>
      </c>
      <c r="H101" s="6" t="e">
        <f>_xll.qlRateHelperRate($E101)</f>
        <v>#VALUE!</v>
      </c>
      <c r="I101" s="6" t="str">
        <f>IF(ISERROR(_xll.qlSwapRateHelperSpread($E101)),IF(ISERROR(_xll.qlFuturesRateHelperConvexityAdjustment($E101)),"--",_xll.qlFuturesRateHelperConvexityAdjustment($E101)),_xll.qlSwapRateHelperSpread($E101))</f>
        <v>--</v>
      </c>
      <c r="J101" s="7" t="e">
        <f>_xll.qlRateHelperEarliestDate($E101)</f>
        <v>#VALUE!</v>
      </c>
      <c r="K101" s="7" t="e">
        <f>_xll.qlRateHelperMaturityDate(E101)</f>
        <v>#VALUE!</v>
      </c>
      <c r="L101" s="8" t="e">
        <f>_xll.qlRateHelperPillarDate($E101)</f>
        <v>#VALUE!</v>
      </c>
      <c r="M101" s="240" t="e">
        <v>#N/A</v>
      </c>
      <c r="N101" s="2" t="e">
        <v>#N/A</v>
      </c>
      <c r="O101" s="91"/>
    </row>
    <row r="102" spans="4:15" x14ac:dyDescent="0.2">
      <c r="D102" s="5" t="e">
        <v>#N/A</v>
      </c>
      <c r="E102" s="5" t="e">
        <v>#N/A</v>
      </c>
      <c r="F102" s="5" t="e">
        <f>_xll.qlRateHelperQuoteName(E102)</f>
        <v>#VALUE!</v>
      </c>
      <c r="G102" s="219" t="e">
        <f>_xll.qlRateHelperRate(D102,Trigger)-H102</f>
        <v>#VALUE!</v>
      </c>
      <c r="H102" s="6" t="e">
        <f>_xll.qlRateHelperRate($E102)</f>
        <v>#VALUE!</v>
      </c>
      <c r="I102" s="6" t="str">
        <f>IF(ISERROR(_xll.qlSwapRateHelperSpread($E102)),IF(ISERROR(_xll.qlFuturesRateHelperConvexityAdjustment($E102)),"--",_xll.qlFuturesRateHelperConvexityAdjustment($E102)),_xll.qlSwapRateHelperSpread($E102))</f>
        <v>--</v>
      </c>
      <c r="J102" s="7" t="e">
        <f>_xll.qlRateHelperEarliestDate($E102)</f>
        <v>#VALUE!</v>
      </c>
      <c r="K102" s="7" t="e">
        <f>_xll.qlRateHelperMaturityDate(E102)</f>
        <v>#VALUE!</v>
      </c>
      <c r="L102" s="8" t="e">
        <f>_xll.qlRateHelperPillarDate($E102)</f>
        <v>#VALUE!</v>
      </c>
      <c r="M102" s="240" t="e">
        <v>#N/A</v>
      </c>
      <c r="N102" s="2" t="e">
        <v>#N/A</v>
      </c>
      <c r="O102" s="91"/>
    </row>
    <row r="103" spans="4:15" x14ac:dyDescent="0.2">
      <c r="D103" s="5" t="e">
        <v>#N/A</v>
      </c>
      <c r="E103" s="5" t="e">
        <v>#N/A</v>
      </c>
      <c r="F103" s="5" t="e">
        <f>_xll.qlRateHelperQuoteName(E103)</f>
        <v>#VALUE!</v>
      </c>
      <c r="G103" s="219" t="e">
        <f>_xll.qlRateHelperRate(D103,Trigger)-H103</f>
        <v>#VALUE!</v>
      </c>
      <c r="H103" s="6" t="e">
        <f>_xll.qlRateHelperRate($E103)</f>
        <v>#VALUE!</v>
      </c>
      <c r="I103" s="6" t="str">
        <f>IF(ISERROR(_xll.qlSwapRateHelperSpread($E103)),IF(ISERROR(_xll.qlFuturesRateHelperConvexityAdjustment($E103)),"--",_xll.qlFuturesRateHelperConvexityAdjustment($E103)),_xll.qlSwapRateHelperSpread($E103))</f>
        <v>--</v>
      </c>
      <c r="J103" s="7" t="e">
        <f>_xll.qlRateHelperEarliestDate($E103)</f>
        <v>#VALUE!</v>
      </c>
      <c r="K103" s="7" t="e">
        <f>_xll.qlRateHelperMaturityDate(E103)</f>
        <v>#VALUE!</v>
      </c>
      <c r="L103" s="8" t="e">
        <f>_xll.qlRateHelperPillarDate($E103)</f>
        <v>#VALUE!</v>
      </c>
      <c r="M103" s="240" t="e">
        <v>#N/A</v>
      </c>
      <c r="N103" s="2" t="e">
        <v>#N/A</v>
      </c>
      <c r="O103" s="91"/>
    </row>
    <row r="104" spans="4:15" x14ac:dyDescent="0.2">
      <c r="D104" s="5" t="e">
        <v>#N/A</v>
      </c>
      <c r="E104" s="5" t="e">
        <v>#N/A</v>
      </c>
      <c r="F104" s="5" t="e">
        <f>_xll.qlRateHelperQuoteName(E104)</f>
        <v>#VALUE!</v>
      </c>
      <c r="G104" s="219" t="e">
        <f>_xll.qlRateHelperRate(D104,Trigger)-H104</f>
        <v>#VALUE!</v>
      </c>
      <c r="H104" s="6" t="e">
        <f>_xll.qlRateHelperRate($E104)</f>
        <v>#VALUE!</v>
      </c>
      <c r="I104" s="6" t="str">
        <f>IF(ISERROR(_xll.qlSwapRateHelperSpread($E104)),IF(ISERROR(_xll.qlFuturesRateHelperConvexityAdjustment($E104)),"--",_xll.qlFuturesRateHelperConvexityAdjustment($E104)),_xll.qlSwapRateHelperSpread($E104))</f>
        <v>--</v>
      </c>
      <c r="J104" s="7" t="e">
        <f>_xll.qlRateHelperEarliestDate($E104)</f>
        <v>#VALUE!</v>
      </c>
      <c r="K104" s="7" t="e">
        <f>_xll.qlRateHelperMaturityDate(E104)</f>
        <v>#VALUE!</v>
      </c>
      <c r="L104" s="8" t="e">
        <f>_xll.qlRateHelperPillarDate($E104)</f>
        <v>#VALUE!</v>
      </c>
      <c r="M104" s="240" t="e">
        <v>#N/A</v>
      </c>
      <c r="N104" s="2" t="e">
        <v>#N/A</v>
      </c>
      <c r="O104" s="91"/>
    </row>
    <row r="105" spans="4:15" x14ac:dyDescent="0.2">
      <c r="D105" s="5" t="e">
        <v>#N/A</v>
      </c>
      <c r="E105" s="5" t="e">
        <v>#N/A</v>
      </c>
      <c r="F105" s="5" t="e">
        <f>_xll.qlRateHelperQuoteName(E105)</f>
        <v>#VALUE!</v>
      </c>
      <c r="G105" s="219" t="e">
        <f>_xll.qlRateHelperRate(D105,Trigger)-H105</f>
        <v>#VALUE!</v>
      </c>
      <c r="H105" s="6" t="e">
        <f>_xll.qlRateHelperRate($E105)</f>
        <v>#VALUE!</v>
      </c>
      <c r="I105" s="6" t="str">
        <f>IF(ISERROR(_xll.qlSwapRateHelperSpread($E105)),IF(ISERROR(_xll.qlFuturesRateHelperConvexityAdjustment($E105)),"--",_xll.qlFuturesRateHelperConvexityAdjustment($E105)),_xll.qlSwapRateHelperSpread($E105))</f>
        <v>--</v>
      </c>
      <c r="J105" s="7" t="e">
        <f>_xll.qlRateHelperEarliestDate($E105)</f>
        <v>#VALUE!</v>
      </c>
      <c r="K105" s="7" t="e">
        <f>_xll.qlRateHelperMaturityDate(E105)</f>
        <v>#VALUE!</v>
      </c>
      <c r="L105" s="8" t="e">
        <f>_xll.qlRateHelperPillarDate($E105)</f>
        <v>#VALUE!</v>
      </c>
      <c r="M105" s="240" t="e">
        <v>#N/A</v>
      </c>
      <c r="N105" s="2" t="e">
        <v>#N/A</v>
      </c>
      <c r="O105" s="91"/>
    </row>
    <row r="106" spans="4:15" x14ac:dyDescent="0.2">
      <c r="D106" s="5" t="e">
        <v>#N/A</v>
      </c>
      <c r="E106" s="5" t="e">
        <v>#N/A</v>
      </c>
      <c r="F106" s="5" t="e">
        <f>_xll.qlRateHelperQuoteName(E106)</f>
        <v>#VALUE!</v>
      </c>
      <c r="G106" s="219" t="e">
        <f>_xll.qlRateHelperRate(D106,Trigger)-H106</f>
        <v>#VALUE!</v>
      </c>
      <c r="H106" s="6" t="e">
        <f>_xll.qlRateHelperRate($E106)</f>
        <v>#VALUE!</v>
      </c>
      <c r="I106" s="6" t="str">
        <f>IF(ISERROR(_xll.qlSwapRateHelperSpread($E106)),IF(ISERROR(_xll.qlFuturesRateHelperConvexityAdjustment($E106)),"--",_xll.qlFuturesRateHelperConvexityAdjustment($E106)),_xll.qlSwapRateHelperSpread($E106))</f>
        <v>--</v>
      </c>
      <c r="J106" s="7" t="e">
        <f>_xll.qlRateHelperEarliestDate($E106)</f>
        <v>#VALUE!</v>
      </c>
      <c r="K106" s="7" t="e">
        <f>_xll.qlRateHelperMaturityDate(E106)</f>
        <v>#VALUE!</v>
      </c>
      <c r="L106" s="8" t="e">
        <f>_xll.qlRateHelperPillarDate($E106)</f>
        <v>#VALUE!</v>
      </c>
      <c r="M106" s="240" t="e">
        <v>#N/A</v>
      </c>
      <c r="N106" s="2" t="e">
        <v>#N/A</v>
      </c>
      <c r="O106" s="91"/>
    </row>
    <row r="107" spans="4:15" x14ac:dyDescent="0.2">
      <c r="D107" s="5" t="e">
        <v>#N/A</v>
      </c>
      <c r="E107" s="5" t="e">
        <v>#N/A</v>
      </c>
      <c r="F107" s="5" t="e">
        <f>_xll.qlRateHelperQuoteName(E107)</f>
        <v>#VALUE!</v>
      </c>
      <c r="G107" s="219" t="e">
        <f>_xll.qlRateHelperRate(D107,Trigger)-H107</f>
        <v>#VALUE!</v>
      </c>
      <c r="H107" s="6" t="e">
        <f>_xll.qlRateHelperRate($E107)</f>
        <v>#VALUE!</v>
      </c>
      <c r="I107" s="6" t="str">
        <f>IF(ISERROR(_xll.qlSwapRateHelperSpread($E107)),IF(ISERROR(_xll.qlFuturesRateHelperConvexityAdjustment($E107)),"--",_xll.qlFuturesRateHelperConvexityAdjustment($E107)),_xll.qlSwapRateHelperSpread($E107))</f>
        <v>--</v>
      </c>
      <c r="J107" s="7" t="e">
        <f>_xll.qlRateHelperEarliestDate($E107)</f>
        <v>#VALUE!</v>
      </c>
      <c r="K107" s="7" t="e">
        <f>_xll.qlRateHelperMaturityDate(E107)</f>
        <v>#VALUE!</v>
      </c>
      <c r="L107" s="8" t="e">
        <f>_xll.qlRateHelperPillarDate($E107)</f>
        <v>#VALUE!</v>
      </c>
      <c r="M107" s="240" t="e">
        <v>#N/A</v>
      </c>
      <c r="N107" s="2" t="e">
        <v>#N/A</v>
      </c>
      <c r="O107" s="91"/>
    </row>
    <row r="108" spans="4:15" x14ac:dyDescent="0.2">
      <c r="D108" s="5" t="e">
        <v>#N/A</v>
      </c>
      <c r="E108" s="5" t="e">
        <v>#N/A</v>
      </c>
      <c r="F108" s="5" t="e">
        <f>_xll.qlRateHelperQuoteName(E108)</f>
        <v>#VALUE!</v>
      </c>
      <c r="G108" s="219" t="e">
        <f>_xll.qlRateHelperRate(D108,Trigger)-H108</f>
        <v>#VALUE!</v>
      </c>
      <c r="H108" s="6" t="e">
        <f>_xll.qlRateHelperRate($E108)</f>
        <v>#VALUE!</v>
      </c>
      <c r="I108" s="6" t="str">
        <f>IF(ISERROR(_xll.qlSwapRateHelperSpread($E108)),IF(ISERROR(_xll.qlFuturesRateHelperConvexityAdjustment($E108)),"--",_xll.qlFuturesRateHelperConvexityAdjustment($E108)),_xll.qlSwapRateHelperSpread($E108))</f>
        <v>--</v>
      </c>
      <c r="J108" s="7" t="e">
        <f>_xll.qlRateHelperEarliestDate($E108)</f>
        <v>#VALUE!</v>
      </c>
      <c r="K108" s="7" t="e">
        <f>_xll.qlRateHelperMaturityDate(E108)</f>
        <v>#VALUE!</v>
      </c>
      <c r="L108" s="8" t="e">
        <f>_xll.qlRateHelperPillarDate($E108)</f>
        <v>#VALUE!</v>
      </c>
      <c r="M108" s="240" t="e">
        <v>#N/A</v>
      </c>
      <c r="N108" s="2" t="e">
        <v>#N/A</v>
      </c>
      <c r="O108" s="91"/>
    </row>
    <row r="109" spans="4:15" x14ac:dyDescent="0.2">
      <c r="D109" s="5" t="e">
        <v>#N/A</v>
      </c>
      <c r="E109" s="5" t="e">
        <v>#N/A</v>
      </c>
      <c r="F109" s="5" t="e">
        <f>_xll.qlRateHelperQuoteName(E109)</f>
        <v>#VALUE!</v>
      </c>
      <c r="G109" s="219" t="e">
        <f>_xll.qlRateHelperRate(D109,Trigger)-H109</f>
        <v>#VALUE!</v>
      </c>
      <c r="H109" s="6" t="e">
        <f>_xll.qlRateHelperRate($E109)</f>
        <v>#VALUE!</v>
      </c>
      <c r="I109" s="6" t="str">
        <f>IF(ISERROR(_xll.qlSwapRateHelperSpread($E109)),IF(ISERROR(_xll.qlFuturesRateHelperConvexityAdjustment($E109)),"--",_xll.qlFuturesRateHelperConvexityAdjustment($E109)),_xll.qlSwapRateHelperSpread($E109))</f>
        <v>--</v>
      </c>
      <c r="J109" s="7" t="e">
        <f>_xll.qlRateHelperEarliestDate($E109)</f>
        <v>#VALUE!</v>
      </c>
      <c r="K109" s="7" t="e">
        <f>_xll.qlRateHelperMaturityDate(E109)</f>
        <v>#VALUE!</v>
      </c>
      <c r="L109" s="8" t="e">
        <f>_xll.qlRateHelperPillarDate($E109)</f>
        <v>#VALUE!</v>
      </c>
      <c r="M109" s="240" t="e">
        <v>#N/A</v>
      </c>
      <c r="N109" s="2" t="e">
        <v>#N/A</v>
      </c>
      <c r="O109" s="91"/>
    </row>
    <row r="110" spans="4:15" x14ac:dyDescent="0.2">
      <c r="D110" s="5" t="e">
        <v>#N/A</v>
      </c>
      <c r="E110" s="5" t="e">
        <v>#N/A</v>
      </c>
      <c r="F110" s="5" t="e">
        <f>_xll.qlRateHelperQuoteName(E110)</f>
        <v>#VALUE!</v>
      </c>
      <c r="G110" s="219" t="e">
        <f>_xll.qlRateHelperRate(D110,Trigger)-H110</f>
        <v>#VALUE!</v>
      </c>
      <c r="H110" s="6" t="e">
        <f>_xll.qlRateHelperRate($E110)</f>
        <v>#VALUE!</v>
      </c>
      <c r="I110" s="6" t="str">
        <f>IF(ISERROR(_xll.qlSwapRateHelperSpread($E110)),IF(ISERROR(_xll.qlFuturesRateHelperConvexityAdjustment($E110)),"--",_xll.qlFuturesRateHelperConvexityAdjustment($E110)),_xll.qlSwapRateHelperSpread($E110))</f>
        <v>--</v>
      </c>
      <c r="J110" s="7" t="e">
        <f>_xll.qlRateHelperEarliestDate($E110)</f>
        <v>#VALUE!</v>
      </c>
      <c r="K110" s="7" t="e">
        <f>_xll.qlRateHelperMaturityDate(E110)</f>
        <v>#VALUE!</v>
      </c>
      <c r="L110" s="8" t="e">
        <f>_xll.qlRateHelperPillarDate($E110)</f>
        <v>#VALUE!</v>
      </c>
      <c r="M110" s="240" t="e">
        <v>#N/A</v>
      </c>
      <c r="N110" s="2" t="e">
        <v>#N/A</v>
      </c>
      <c r="O110" s="91"/>
    </row>
    <row r="111" spans="4:15" x14ac:dyDescent="0.2">
      <c r="D111" s="5" t="e">
        <v>#N/A</v>
      </c>
      <c r="E111" s="5" t="e">
        <v>#N/A</v>
      </c>
      <c r="F111" s="5" t="e">
        <f>_xll.qlRateHelperQuoteName(E111)</f>
        <v>#VALUE!</v>
      </c>
      <c r="G111" s="219" t="e">
        <f>_xll.qlRateHelperRate(D111,Trigger)-H111</f>
        <v>#VALUE!</v>
      </c>
      <c r="H111" s="6" t="e">
        <f>_xll.qlRateHelperRate($E111)</f>
        <v>#VALUE!</v>
      </c>
      <c r="I111" s="6" t="str">
        <f>IF(ISERROR(_xll.qlSwapRateHelperSpread($E111)),IF(ISERROR(_xll.qlFuturesRateHelperConvexityAdjustment($E111)),"--",_xll.qlFuturesRateHelperConvexityAdjustment($E111)),_xll.qlSwapRateHelperSpread($E111))</f>
        <v>--</v>
      </c>
      <c r="J111" s="7" t="e">
        <f>_xll.qlRateHelperEarliestDate($E111)</f>
        <v>#VALUE!</v>
      </c>
      <c r="K111" s="7" t="e">
        <f>_xll.qlRateHelperMaturityDate(E111)</f>
        <v>#VALUE!</v>
      </c>
      <c r="L111" s="8" t="e">
        <f>_xll.qlRateHelperPillarDate($E111)</f>
        <v>#VALUE!</v>
      </c>
      <c r="M111" s="240" t="e">
        <v>#N/A</v>
      </c>
      <c r="N111" s="2" t="e">
        <v>#N/A</v>
      </c>
      <c r="O111" s="91"/>
    </row>
    <row r="112" spans="4:15" x14ac:dyDescent="0.2">
      <c r="D112" s="5" t="e">
        <v>#N/A</v>
      </c>
      <c r="E112" s="5" t="e">
        <v>#N/A</v>
      </c>
      <c r="F112" s="5" t="e">
        <f>_xll.qlRateHelperQuoteName(E112)</f>
        <v>#VALUE!</v>
      </c>
      <c r="G112" s="219" t="e">
        <f>_xll.qlRateHelperRate(D112,Trigger)-H112</f>
        <v>#VALUE!</v>
      </c>
      <c r="H112" s="6" t="e">
        <f>_xll.qlRateHelperRate($E112)</f>
        <v>#VALUE!</v>
      </c>
      <c r="I112" s="6" t="str">
        <f>IF(ISERROR(_xll.qlSwapRateHelperSpread($E112)),IF(ISERROR(_xll.qlFuturesRateHelperConvexityAdjustment($E112)),"--",_xll.qlFuturesRateHelperConvexityAdjustment($E112)),_xll.qlSwapRateHelperSpread($E112))</f>
        <v>--</v>
      </c>
      <c r="J112" s="7" t="e">
        <f>_xll.qlRateHelperEarliestDate($E112)</f>
        <v>#VALUE!</v>
      </c>
      <c r="K112" s="7" t="e">
        <f>_xll.qlRateHelperMaturityDate(E112)</f>
        <v>#VALUE!</v>
      </c>
      <c r="L112" s="8" t="e">
        <f>_xll.qlRateHelperPillarDate($E112)</f>
        <v>#VALUE!</v>
      </c>
      <c r="M112" s="240" t="e">
        <v>#N/A</v>
      </c>
      <c r="N112" s="2" t="e">
        <v>#N/A</v>
      </c>
      <c r="O112" s="91"/>
    </row>
    <row r="113" spans="4:15" x14ac:dyDescent="0.2">
      <c r="D113" s="5" t="e">
        <v>#N/A</v>
      </c>
      <c r="E113" s="5" t="e">
        <v>#N/A</v>
      </c>
      <c r="F113" s="5" t="e">
        <f>_xll.qlRateHelperQuoteName(E113)</f>
        <v>#VALUE!</v>
      </c>
      <c r="G113" s="219" t="e">
        <f>_xll.qlRateHelperRate(D113,Trigger)-H113</f>
        <v>#VALUE!</v>
      </c>
      <c r="H113" s="6" t="e">
        <f>_xll.qlRateHelperRate($E113)</f>
        <v>#VALUE!</v>
      </c>
      <c r="I113" s="6" t="str">
        <f>IF(ISERROR(_xll.qlSwapRateHelperSpread($E113)),IF(ISERROR(_xll.qlFuturesRateHelperConvexityAdjustment($E113)),"--",_xll.qlFuturesRateHelperConvexityAdjustment($E113)),_xll.qlSwapRateHelperSpread($E113))</f>
        <v>--</v>
      </c>
      <c r="J113" s="7" t="e">
        <f>_xll.qlRateHelperEarliestDate($E113)</f>
        <v>#VALUE!</v>
      </c>
      <c r="K113" s="7" t="e">
        <f>_xll.qlRateHelperMaturityDate(E113)</f>
        <v>#VALUE!</v>
      </c>
      <c r="L113" s="8" t="e">
        <f>_xll.qlRateHelperPillarDate($E113)</f>
        <v>#VALUE!</v>
      </c>
      <c r="M113" s="240" t="e">
        <v>#N/A</v>
      </c>
      <c r="N113" s="2" t="e">
        <v>#N/A</v>
      </c>
      <c r="O113" s="91"/>
    </row>
    <row r="114" spans="4:15" x14ac:dyDescent="0.2">
      <c r="D114" s="5" t="e">
        <v>#N/A</v>
      </c>
      <c r="E114" s="5" t="e">
        <v>#N/A</v>
      </c>
      <c r="F114" s="5" t="e">
        <f>_xll.qlRateHelperQuoteName(E114)</f>
        <v>#VALUE!</v>
      </c>
      <c r="G114" s="219" t="e">
        <f>_xll.qlRateHelperRate(D114,Trigger)-H114</f>
        <v>#VALUE!</v>
      </c>
      <c r="H114" s="6" t="e">
        <f>_xll.qlRateHelperRate($E114)</f>
        <v>#VALUE!</v>
      </c>
      <c r="I114" s="6" t="str">
        <f>IF(ISERROR(_xll.qlSwapRateHelperSpread($E114)),IF(ISERROR(_xll.qlFuturesRateHelperConvexityAdjustment($E114)),"--",_xll.qlFuturesRateHelperConvexityAdjustment($E114)),_xll.qlSwapRateHelperSpread($E114))</f>
        <v>--</v>
      </c>
      <c r="J114" s="7" t="e">
        <f>_xll.qlRateHelperEarliestDate($E114)</f>
        <v>#VALUE!</v>
      </c>
      <c r="K114" s="7" t="e">
        <f>_xll.qlRateHelperMaturityDate(E114)</f>
        <v>#VALUE!</v>
      </c>
      <c r="L114" s="8" t="e">
        <f>_xll.qlRateHelperPillarDate($E114)</f>
        <v>#VALUE!</v>
      </c>
      <c r="M114" s="240" t="e">
        <v>#N/A</v>
      </c>
      <c r="N114" s="2" t="e">
        <v>#N/A</v>
      </c>
      <c r="O114" s="91"/>
    </row>
    <row r="115" spans="4:15" x14ac:dyDescent="0.2">
      <c r="D115" s="5" t="e">
        <v>#N/A</v>
      </c>
      <c r="E115" s="5" t="e">
        <v>#N/A</v>
      </c>
      <c r="F115" s="5" t="e">
        <f>_xll.qlRateHelperQuoteName(E115)</f>
        <v>#VALUE!</v>
      </c>
      <c r="G115" s="219" t="e">
        <f>_xll.qlRateHelperRate(D115,Trigger)-H115</f>
        <v>#VALUE!</v>
      </c>
      <c r="H115" s="6" t="e">
        <f>_xll.qlRateHelperRate($E115)</f>
        <v>#VALUE!</v>
      </c>
      <c r="I115" s="6" t="str">
        <f>IF(ISERROR(_xll.qlSwapRateHelperSpread($E115)),IF(ISERROR(_xll.qlFuturesRateHelperConvexityAdjustment($E115)),"--",_xll.qlFuturesRateHelperConvexityAdjustment($E115)),_xll.qlSwapRateHelperSpread($E115))</f>
        <v>--</v>
      </c>
      <c r="J115" s="7" t="e">
        <f>_xll.qlRateHelperEarliestDate($E115)</f>
        <v>#VALUE!</v>
      </c>
      <c r="K115" s="7" t="e">
        <f>_xll.qlRateHelperMaturityDate(E115)</f>
        <v>#VALUE!</v>
      </c>
      <c r="L115" s="8" t="e">
        <f>_xll.qlRateHelperPillarDate($E115)</f>
        <v>#VALUE!</v>
      </c>
      <c r="M115" s="240" t="e">
        <v>#N/A</v>
      </c>
      <c r="N115" s="2" t="e">
        <v>#N/A</v>
      </c>
      <c r="O115" s="91"/>
    </row>
    <row r="116" spans="4:15" x14ac:dyDescent="0.2">
      <c r="D116" s="5" t="e">
        <v>#N/A</v>
      </c>
      <c r="E116" s="5" t="e">
        <v>#N/A</v>
      </c>
      <c r="F116" s="5" t="e">
        <f>_xll.qlRateHelperQuoteName(E116)</f>
        <v>#VALUE!</v>
      </c>
      <c r="G116" s="219" t="e">
        <f>_xll.qlRateHelperRate(D116,Trigger)-H116</f>
        <v>#VALUE!</v>
      </c>
      <c r="H116" s="6" t="e">
        <f>_xll.qlRateHelperRate($E116)</f>
        <v>#VALUE!</v>
      </c>
      <c r="I116" s="6" t="str">
        <f>IF(ISERROR(_xll.qlSwapRateHelperSpread($E116)),IF(ISERROR(_xll.qlFuturesRateHelperConvexityAdjustment($E116)),"--",_xll.qlFuturesRateHelperConvexityAdjustment($E116)),_xll.qlSwapRateHelperSpread($E116))</f>
        <v>--</v>
      </c>
      <c r="J116" s="7" t="e">
        <f>_xll.qlRateHelperEarliestDate($E116)</f>
        <v>#VALUE!</v>
      </c>
      <c r="K116" s="7" t="e">
        <f>_xll.qlRateHelperMaturityDate(E116)</f>
        <v>#VALUE!</v>
      </c>
      <c r="L116" s="8" t="e">
        <f>_xll.qlRateHelperPillarDate($E116)</f>
        <v>#VALUE!</v>
      </c>
      <c r="M116" s="240" t="e">
        <v>#N/A</v>
      </c>
      <c r="N116" s="2" t="e">
        <v>#N/A</v>
      </c>
      <c r="O116" s="91"/>
    </row>
    <row r="117" spans="4:15" x14ac:dyDescent="0.2">
      <c r="D117" s="5" t="e">
        <v>#N/A</v>
      </c>
      <c r="E117" s="5" t="e">
        <v>#N/A</v>
      </c>
      <c r="F117" s="5" t="e">
        <f>_xll.qlRateHelperQuoteName(E117)</f>
        <v>#VALUE!</v>
      </c>
      <c r="G117" s="219" t="e">
        <f>_xll.qlRateHelperRate(D117,Trigger)-H117</f>
        <v>#VALUE!</v>
      </c>
      <c r="H117" s="6" t="e">
        <f>_xll.qlRateHelperRate($E117)</f>
        <v>#VALUE!</v>
      </c>
      <c r="I117" s="6" t="str">
        <f>IF(ISERROR(_xll.qlSwapRateHelperSpread($E117)),IF(ISERROR(_xll.qlFuturesRateHelperConvexityAdjustment($E117)),"--",_xll.qlFuturesRateHelperConvexityAdjustment($E117)),_xll.qlSwapRateHelperSpread($E117))</f>
        <v>--</v>
      </c>
      <c r="J117" s="7" t="e">
        <f>_xll.qlRateHelperEarliestDate($E117)</f>
        <v>#VALUE!</v>
      </c>
      <c r="K117" s="7" t="e">
        <f>_xll.qlRateHelperMaturityDate(E117)</f>
        <v>#VALUE!</v>
      </c>
      <c r="L117" s="8" t="e">
        <f>_xll.qlRateHelperPillarDate($E117)</f>
        <v>#VALUE!</v>
      </c>
      <c r="M117" s="240" t="e">
        <v>#N/A</v>
      </c>
      <c r="N117" s="2" t="e">
        <v>#N/A</v>
      </c>
      <c r="O117" s="91"/>
    </row>
    <row r="118" spans="4:15" x14ac:dyDescent="0.2">
      <c r="D118" s="5" t="e">
        <v>#N/A</v>
      </c>
      <c r="E118" s="5" t="e">
        <v>#N/A</v>
      </c>
      <c r="F118" s="5" t="e">
        <f>_xll.qlRateHelperQuoteName(E118)</f>
        <v>#VALUE!</v>
      </c>
      <c r="G118" s="219" t="e">
        <f>_xll.qlRateHelperRate(D118,Trigger)-H118</f>
        <v>#VALUE!</v>
      </c>
      <c r="H118" s="6" t="e">
        <f>_xll.qlRateHelperRate($E118)</f>
        <v>#VALUE!</v>
      </c>
      <c r="I118" s="6" t="str">
        <f>IF(ISERROR(_xll.qlSwapRateHelperSpread($E118)),IF(ISERROR(_xll.qlFuturesRateHelperConvexityAdjustment($E118)),"--",_xll.qlFuturesRateHelperConvexityAdjustment($E118)),_xll.qlSwapRateHelperSpread($E118))</f>
        <v>--</v>
      </c>
      <c r="J118" s="7" t="e">
        <f>_xll.qlRateHelperEarliestDate($E118)</f>
        <v>#VALUE!</v>
      </c>
      <c r="K118" s="7" t="e">
        <f>_xll.qlRateHelperMaturityDate(E118)</f>
        <v>#VALUE!</v>
      </c>
      <c r="L118" s="8" t="e">
        <f>_xll.qlRateHelperPillarDate($E118)</f>
        <v>#VALUE!</v>
      </c>
      <c r="M118" s="240" t="e">
        <v>#N/A</v>
      </c>
      <c r="N118" s="2" t="e">
        <v>#N/A</v>
      </c>
      <c r="O118" s="91"/>
    </row>
    <row r="119" spans="4:15" x14ac:dyDescent="0.2">
      <c r="D119" s="5" t="e">
        <v>#N/A</v>
      </c>
      <c r="E119" s="5" t="e">
        <v>#N/A</v>
      </c>
      <c r="F119" s="5" t="e">
        <f>_xll.qlRateHelperQuoteName(E119)</f>
        <v>#VALUE!</v>
      </c>
      <c r="G119" s="219" t="e">
        <f>_xll.qlRateHelperRate(D119,Trigger)-H119</f>
        <v>#VALUE!</v>
      </c>
      <c r="H119" s="6" t="e">
        <f>_xll.qlRateHelperRate($E119)</f>
        <v>#VALUE!</v>
      </c>
      <c r="I119" s="6" t="str">
        <f>IF(ISERROR(_xll.qlSwapRateHelperSpread($E119)),IF(ISERROR(_xll.qlFuturesRateHelperConvexityAdjustment($E119)),"--",_xll.qlFuturesRateHelperConvexityAdjustment($E119)),_xll.qlSwapRateHelperSpread($E119))</f>
        <v>--</v>
      </c>
      <c r="J119" s="7" t="e">
        <f>_xll.qlRateHelperEarliestDate($E119)</f>
        <v>#VALUE!</v>
      </c>
      <c r="K119" s="7" t="e">
        <f>_xll.qlRateHelperMaturityDate(E119)</f>
        <v>#VALUE!</v>
      </c>
      <c r="L119" s="8" t="e">
        <f>_xll.qlRateHelperPillarDate($E119)</f>
        <v>#VALUE!</v>
      </c>
      <c r="M119" s="240" t="e">
        <v>#N/A</v>
      </c>
      <c r="N119" s="2" t="e">
        <v>#N/A</v>
      </c>
      <c r="O119" s="91"/>
    </row>
    <row r="120" spans="4:15" x14ac:dyDescent="0.2">
      <c r="D120" s="5" t="e">
        <v>#N/A</v>
      </c>
      <c r="E120" s="5" t="e">
        <v>#N/A</v>
      </c>
      <c r="F120" s="5" t="e">
        <f>_xll.qlRateHelperQuoteName(E120)</f>
        <v>#VALUE!</v>
      </c>
      <c r="G120" s="219" t="e">
        <f>_xll.qlRateHelperRate(D120,Trigger)-H120</f>
        <v>#VALUE!</v>
      </c>
      <c r="H120" s="6" t="e">
        <f>_xll.qlRateHelperRate($E120)</f>
        <v>#VALUE!</v>
      </c>
      <c r="I120" s="6" t="str">
        <f>IF(ISERROR(_xll.qlSwapRateHelperSpread($E120)),IF(ISERROR(_xll.qlFuturesRateHelperConvexityAdjustment($E120)),"--",_xll.qlFuturesRateHelperConvexityAdjustment($E120)),_xll.qlSwapRateHelperSpread($E120))</f>
        <v>--</v>
      </c>
      <c r="J120" s="7" t="e">
        <f>_xll.qlRateHelperEarliestDate($E120)</f>
        <v>#VALUE!</v>
      </c>
      <c r="K120" s="7" t="e">
        <f>_xll.qlRateHelperMaturityDate(E120)</f>
        <v>#VALUE!</v>
      </c>
      <c r="L120" s="8" t="e">
        <f>_xll.qlRateHelperPillarDate($E120)</f>
        <v>#VALUE!</v>
      </c>
      <c r="M120" s="240" t="e">
        <v>#N/A</v>
      </c>
      <c r="N120" s="2" t="e">
        <v>#N/A</v>
      </c>
      <c r="O120" s="91"/>
    </row>
    <row r="121" spans="4:15" x14ac:dyDescent="0.2">
      <c r="D121" s="5" t="e">
        <v>#N/A</v>
      </c>
      <c r="E121" s="5" t="e">
        <v>#N/A</v>
      </c>
      <c r="F121" s="5" t="e">
        <f>_xll.qlRateHelperQuoteName(E121)</f>
        <v>#VALUE!</v>
      </c>
      <c r="G121" s="219" t="e">
        <f>_xll.qlRateHelperRate(D121,Trigger)-H121</f>
        <v>#VALUE!</v>
      </c>
      <c r="H121" s="6" t="e">
        <f>_xll.qlRateHelperRate($E121)</f>
        <v>#VALUE!</v>
      </c>
      <c r="I121" s="6" t="str">
        <f>IF(ISERROR(_xll.qlSwapRateHelperSpread($E121)),IF(ISERROR(_xll.qlFuturesRateHelperConvexityAdjustment($E121)),"--",_xll.qlFuturesRateHelperConvexityAdjustment($E121)),_xll.qlSwapRateHelperSpread($E121))</f>
        <v>--</v>
      </c>
      <c r="J121" s="7" t="e">
        <f>_xll.qlRateHelperEarliestDate($E121)</f>
        <v>#VALUE!</v>
      </c>
      <c r="K121" s="7" t="e">
        <f>_xll.qlRateHelperMaturityDate(E121)</f>
        <v>#VALUE!</v>
      </c>
      <c r="L121" s="8" t="e">
        <f>_xll.qlRateHelperPillarDate($E121)</f>
        <v>#VALUE!</v>
      </c>
      <c r="M121" s="240" t="e">
        <v>#N/A</v>
      </c>
      <c r="N121" s="2" t="e">
        <v>#N/A</v>
      </c>
      <c r="O121" s="91"/>
    </row>
    <row r="122" spans="4:15" x14ac:dyDescent="0.2">
      <c r="D122" s="5" t="e">
        <v>#N/A</v>
      </c>
      <c r="E122" s="5" t="e">
        <v>#N/A</v>
      </c>
      <c r="F122" s="5" t="e">
        <f>_xll.qlRateHelperQuoteName(E122)</f>
        <v>#VALUE!</v>
      </c>
      <c r="G122" s="219" t="e">
        <f>_xll.qlRateHelperRate(D122,Trigger)-H122</f>
        <v>#VALUE!</v>
      </c>
      <c r="H122" s="6" t="e">
        <f>_xll.qlRateHelperRate($E122)</f>
        <v>#VALUE!</v>
      </c>
      <c r="I122" s="6" t="str">
        <f>IF(ISERROR(_xll.qlSwapRateHelperSpread($E122)),IF(ISERROR(_xll.qlFuturesRateHelperConvexityAdjustment($E122)),"--",_xll.qlFuturesRateHelperConvexityAdjustment($E122)),_xll.qlSwapRateHelperSpread($E122))</f>
        <v>--</v>
      </c>
      <c r="J122" s="7" t="e">
        <f>_xll.qlRateHelperEarliestDate($E122)</f>
        <v>#VALUE!</v>
      </c>
      <c r="K122" s="7" t="e">
        <f>_xll.qlRateHelperMaturityDate(E122)</f>
        <v>#VALUE!</v>
      </c>
      <c r="L122" s="8" t="e">
        <f>_xll.qlRateHelperPillarDate($E122)</f>
        <v>#VALUE!</v>
      </c>
      <c r="M122" s="240" t="e">
        <v>#N/A</v>
      </c>
      <c r="N122" s="2" t="e">
        <v>#N/A</v>
      </c>
      <c r="O122" s="91"/>
    </row>
    <row r="123" spans="4:15" x14ac:dyDescent="0.2">
      <c r="D123" s="5" t="e">
        <v>#N/A</v>
      </c>
      <c r="E123" s="5" t="e">
        <v>#N/A</v>
      </c>
      <c r="F123" s="5" t="e">
        <f>_xll.qlRateHelperQuoteName(E123)</f>
        <v>#VALUE!</v>
      </c>
      <c r="G123" s="219" t="e">
        <f>_xll.qlRateHelperRate(D123,Trigger)-H123</f>
        <v>#VALUE!</v>
      </c>
      <c r="H123" s="6" t="e">
        <f>_xll.qlRateHelperRate($E123)</f>
        <v>#VALUE!</v>
      </c>
      <c r="I123" s="6" t="str">
        <f>IF(ISERROR(_xll.qlSwapRateHelperSpread($E123)),IF(ISERROR(_xll.qlFuturesRateHelperConvexityAdjustment($E123)),"--",_xll.qlFuturesRateHelperConvexityAdjustment($E123)),_xll.qlSwapRateHelperSpread($E123))</f>
        <v>--</v>
      </c>
      <c r="J123" s="7" t="e">
        <f>_xll.qlRateHelperEarliestDate($E123)</f>
        <v>#VALUE!</v>
      </c>
      <c r="K123" s="7" t="e">
        <f>_xll.qlRateHelperMaturityDate(E123)</f>
        <v>#VALUE!</v>
      </c>
      <c r="L123" s="8" t="e">
        <f>_xll.qlRateHelperPillarDate($E123)</f>
        <v>#VALUE!</v>
      </c>
      <c r="M123" s="240" t="e">
        <v>#N/A</v>
      </c>
      <c r="N123" s="2" t="e">
        <v>#N/A</v>
      </c>
      <c r="O123" s="91"/>
    </row>
    <row r="124" spans="4:15" x14ac:dyDescent="0.2">
      <c r="D124" s="5" t="e">
        <v>#N/A</v>
      </c>
      <c r="E124" s="5" t="e">
        <v>#N/A</v>
      </c>
      <c r="F124" s="5" t="e">
        <f>_xll.qlRateHelperQuoteName(E124)</f>
        <v>#VALUE!</v>
      </c>
      <c r="G124" s="219" t="e">
        <f>_xll.qlRateHelperRate(D124,Trigger)-H124</f>
        <v>#VALUE!</v>
      </c>
      <c r="H124" s="6" t="e">
        <f>_xll.qlRateHelperRate($E124)</f>
        <v>#VALUE!</v>
      </c>
      <c r="I124" s="6" t="str">
        <f>IF(ISERROR(_xll.qlSwapRateHelperSpread($E124)),IF(ISERROR(_xll.qlFuturesRateHelperConvexityAdjustment($E124)),"--",_xll.qlFuturesRateHelperConvexityAdjustment($E124)),_xll.qlSwapRateHelperSpread($E124))</f>
        <v>--</v>
      </c>
      <c r="J124" s="7" t="e">
        <f>_xll.qlRateHelperEarliestDate($E124)</f>
        <v>#VALUE!</v>
      </c>
      <c r="K124" s="7" t="e">
        <f>_xll.qlRateHelperMaturityDate(E124)</f>
        <v>#VALUE!</v>
      </c>
      <c r="L124" s="8" t="e">
        <f>_xll.qlRateHelperPillarDate($E124)</f>
        <v>#VALUE!</v>
      </c>
      <c r="M124" s="240" t="e">
        <v>#N/A</v>
      </c>
      <c r="N124" s="2" t="e">
        <v>#N/A</v>
      </c>
      <c r="O124" s="91"/>
    </row>
    <row r="125" spans="4:15" x14ac:dyDescent="0.2">
      <c r="D125" s="5" t="e">
        <v>#N/A</v>
      </c>
      <c r="E125" s="5" t="e">
        <v>#N/A</v>
      </c>
      <c r="F125" s="5" t="e">
        <f>_xll.qlRateHelperQuoteName(E125)</f>
        <v>#VALUE!</v>
      </c>
      <c r="G125" s="219" t="e">
        <f>_xll.qlRateHelperRate(D125,Trigger)-H125</f>
        <v>#VALUE!</v>
      </c>
      <c r="H125" s="6" t="e">
        <f>_xll.qlRateHelperRate($E125)</f>
        <v>#VALUE!</v>
      </c>
      <c r="I125" s="6" t="str">
        <f>IF(ISERROR(_xll.qlSwapRateHelperSpread($E125)),IF(ISERROR(_xll.qlFuturesRateHelperConvexityAdjustment($E125)),"--",_xll.qlFuturesRateHelperConvexityAdjustment($E125)),_xll.qlSwapRateHelperSpread($E125))</f>
        <v>--</v>
      </c>
      <c r="J125" s="7" t="e">
        <f>_xll.qlRateHelperEarliestDate($E125)</f>
        <v>#VALUE!</v>
      </c>
      <c r="K125" s="7" t="e">
        <f>_xll.qlRateHelperMaturityDate(E125)</f>
        <v>#VALUE!</v>
      </c>
      <c r="L125" s="8" t="e">
        <f>_xll.qlRateHelperPillarDate($E125)</f>
        <v>#VALUE!</v>
      </c>
      <c r="M125" s="240" t="e">
        <v>#N/A</v>
      </c>
      <c r="N125" s="2" t="e">
        <v>#N/A</v>
      </c>
      <c r="O125" s="91"/>
    </row>
    <row r="126" spans="4:15" ht="12" thickBot="1" x14ac:dyDescent="0.25">
      <c r="D126" s="14" t="e">
        <v>#N/A</v>
      </c>
      <c r="E126" s="14" t="e">
        <v>#N/A</v>
      </c>
      <c r="F126" s="14" t="e">
        <f>_xll.qlRateHelperQuoteName(E126)</f>
        <v>#VALUE!</v>
      </c>
      <c r="G126" s="220" t="e">
        <f>_xll.qlRateHelperRate(D126,Trigger)-H126</f>
        <v>#VALUE!</v>
      </c>
      <c r="H126" s="15" t="e">
        <f>_xll.qlRateHelperRate($E126)</f>
        <v>#VALUE!</v>
      </c>
      <c r="I126" s="15" t="str">
        <f>IF(ISERROR(_xll.qlSwapRateHelperSpread($E126)),IF(ISERROR(_xll.qlFuturesRateHelperConvexityAdjustment($E126)),"--",_xll.qlFuturesRateHelperConvexityAdjustment($E126)),_xll.qlSwapRateHelperSpread($E126))</f>
        <v>--</v>
      </c>
      <c r="J126" s="16" t="e">
        <f>_xll.qlRateHelperEarliestDate($E126)</f>
        <v>#VALUE!</v>
      </c>
      <c r="K126" s="16" t="e">
        <f>_xll.qlRateHelperMaturityDate(E126)</f>
        <v>#VALUE!</v>
      </c>
      <c r="L126" s="17" t="e">
        <f>_xll.qlRateHelperPillarDate($E126)</f>
        <v>#VALUE!</v>
      </c>
      <c r="M126" s="240" t="e">
        <v>#N/A</v>
      </c>
      <c r="N126" s="2" t="e">
        <v>#N/A</v>
      </c>
      <c r="O126" s="91"/>
    </row>
  </sheetData>
  <mergeCells count="1">
    <mergeCell ref="A1:B1"/>
  </mergeCells>
  <dataValidations disablePrompts="1" count="1">
    <dataValidation type="list" allowBlank="1" showInputMessage="1" showErrorMessage="1" sqref="B5 JB5 SX5 ACT5 AMP5 AWL5 BGH5 BQD5 BZZ5 CJV5 CTR5 DDN5 DNJ5 DXF5 EHB5 EQX5 FAT5 FKP5 FUL5 GEH5 GOD5 GXZ5 HHV5 HRR5 IBN5 ILJ5 IVF5 JFB5 JOX5 JYT5 KIP5 KSL5 LCH5 LMD5 LVZ5 MFV5 MPR5 MZN5 NJJ5 NTF5 ODB5 OMX5 OWT5 PGP5 PQL5 QAH5 QKD5 QTZ5 RDV5 RNR5 RXN5 SHJ5 SRF5 TBB5 TKX5 TUT5 UEP5 UOL5 UYH5 VID5 VRZ5 WBV5 WLR5 WVN5 B65541 JB65541 SX65541 ACT65541 AMP65541 AWL65541 BGH65541 BQD65541 BZZ65541 CJV65541 CTR65541 DDN65541 DNJ65541 DXF65541 EHB65541 EQX65541 FAT65541 FKP65541 FUL65541 GEH65541 GOD65541 GXZ65541 HHV65541 HRR65541 IBN65541 ILJ65541 IVF65541 JFB65541 JOX65541 JYT65541 KIP65541 KSL65541 LCH65541 LMD65541 LVZ65541 MFV65541 MPR65541 MZN65541 NJJ65541 NTF65541 ODB65541 OMX65541 OWT65541 PGP65541 PQL65541 QAH65541 QKD65541 QTZ65541 RDV65541 RNR65541 RXN65541 SHJ65541 SRF65541 TBB65541 TKX65541 TUT65541 UEP65541 UOL65541 UYH65541 VID65541 VRZ65541 WBV65541 WLR65541 WVN65541 B131077 JB131077 SX131077 ACT131077 AMP131077 AWL131077 BGH131077 BQD131077 BZZ131077 CJV131077 CTR131077 DDN131077 DNJ131077 DXF131077 EHB131077 EQX131077 FAT131077 FKP131077 FUL131077 GEH131077 GOD131077 GXZ131077 HHV131077 HRR131077 IBN131077 ILJ131077 IVF131077 JFB131077 JOX131077 JYT131077 KIP131077 KSL131077 LCH131077 LMD131077 LVZ131077 MFV131077 MPR131077 MZN131077 NJJ131077 NTF131077 ODB131077 OMX131077 OWT131077 PGP131077 PQL131077 QAH131077 QKD131077 QTZ131077 RDV131077 RNR131077 RXN131077 SHJ131077 SRF131077 TBB131077 TKX131077 TUT131077 UEP131077 UOL131077 UYH131077 VID131077 VRZ131077 WBV131077 WLR131077 WVN131077 B196613 JB196613 SX196613 ACT196613 AMP196613 AWL196613 BGH196613 BQD196613 BZZ196613 CJV196613 CTR196613 DDN196613 DNJ196613 DXF196613 EHB196613 EQX196613 FAT196613 FKP196613 FUL196613 GEH196613 GOD196613 GXZ196613 HHV196613 HRR196613 IBN196613 ILJ196613 IVF196613 JFB196613 JOX196613 JYT196613 KIP196613 KSL196613 LCH196613 LMD196613 LVZ196613 MFV196613 MPR196613 MZN196613 NJJ196613 NTF196613 ODB196613 OMX196613 OWT196613 PGP196613 PQL196613 QAH196613 QKD196613 QTZ196613 RDV196613 RNR196613 RXN196613 SHJ196613 SRF196613 TBB196613 TKX196613 TUT196613 UEP196613 UOL196613 UYH196613 VID196613 VRZ196613 WBV196613 WLR196613 WVN196613 B262149 JB262149 SX262149 ACT262149 AMP262149 AWL262149 BGH262149 BQD262149 BZZ262149 CJV262149 CTR262149 DDN262149 DNJ262149 DXF262149 EHB262149 EQX262149 FAT262149 FKP262149 FUL262149 GEH262149 GOD262149 GXZ262149 HHV262149 HRR262149 IBN262149 ILJ262149 IVF262149 JFB262149 JOX262149 JYT262149 KIP262149 KSL262149 LCH262149 LMD262149 LVZ262149 MFV262149 MPR262149 MZN262149 NJJ262149 NTF262149 ODB262149 OMX262149 OWT262149 PGP262149 PQL262149 QAH262149 QKD262149 QTZ262149 RDV262149 RNR262149 RXN262149 SHJ262149 SRF262149 TBB262149 TKX262149 TUT262149 UEP262149 UOL262149 UYH262149 VID262149 VRZ262149 WBV262149 WLR262149 WVN262149 B327685 JB327685 SX327685 ACT327685 AMP327685 AWL327685 BGH327685 BQD327685 BZZ327685 CJV327685 CTR327685 DDN327685 DNJ327685 DXF327685 EHB327685 EQX327685 FAT327685 FKP327685 FUL327685 GEH327685 GOD327685 GXZ327685 HHV327685 HRR327685 IBN327685 ILJ327685 IVF327685 JFB327685 JOX327685 JYT327685 KIP327685 KSL327685 LCH327685 LMD327685 LVZ327685 MFV327685 MPR327685 MZN327685 NJJ327685 NTF327685 ODB327685 OMX327685 OWT327685 PGP327685 PQL327685 QAH327685 QKD327685 QTZ327685 RDV327685 RNR327685 RXN327685 SHJ327685 SRF327685 TBB327685 TKX327685 TUT327685 UEP327685 UOL327685 UYH327685 VID327685 VRZ327685 WBV327685 WLR327685 WVN327685 B393221 JB393221 SX393221 ACT393221 AMP393221 AWL393221 BGH393221 BQD393221 BZZ393221 CJV393221 CTR393221 DDN393221 DNJ393221 DXF393221 EHB393221 EQX393221 FAT393221 FKP393221 FUL393221 GEH393221 GOD393221 GXZ393221 HHV393221 HRR393221 IBN393221 ILJ393221 IVF393221 JFB393221 JOX393221 JYT393221 KIP393221 KSL393221 LCH393221 LMD393221 LVZ393221 MFV393221 MPR393221 MZN393221 NJJ393221 NTF393221 ODB393221 OMX393221 OWT393221 PGP393221 PQL393221 QAH393221 QKD393221 QTZ393221 RDV393221 RNR393221 RXN393221 SHJ393221 SRF393221 TBB393221 TKX393221 TUT393221 UEP393221 UOL393221 UYH393221 VID393221 VRZ393221 WBV393221 WLR393221 WVN393221 B458757 JB458757 SX458757 ACT458757 AMP458757 AWL458757 BGH458757 BQD458757 BZZ458757 CJV458757 CTR458757 DDN458757 DNJ458757 DXF458757 EHB458757 EQX458757 FAT458757 FKP458757 FUL458757 GEH458757 GOD458757 GXZ458757 HHV458757 HRR458757 IBN458757 ILJ458757 IVF458757 JFB458757 JOX458757 JYT458757 KIP458757 KSL458757 LCH458757 LMD458757 LVZ458757 MFV458757 MPR458757 MZN458757 NJJ458757 NTF458757 ODB458757 OMX458757 OWT458757 PGP458757 PQL458757 QAH458757 QKD458757 QTZ458757 RDV458757 RNR458757 RXN458757 SHJ458757 SRF458757 TBB458757 TKX458757 TUT458757 UEP458757 UOL458757 UYH458757 VID458757 VRZ458757 WBV458757 WLR458757 WVN458757 B524293 JB524293 SX524293 ACT524293 AMP524293 AWL524293 BGH524293 BQD524293 BZZ524293 CJV524293 CTR524293 DDN524293 DNJ524293 DXF524293 EHB524293 EQX524293 FAT524293 FKP524293 FUL524293 GEH524293 GOD524293 GXZ524293 HHV524293 HRR524293 IBN524293 ILJ524293 IVF524293 JFB524293 JOX524293 JYT524293 KIP524293 KSL524293 LCH524293 LMD524293 LVZ524293 MFV524293 MPR524293 MZN524293 NJJ524293 NTF524293 ODB524293 OMX524293 OWT524293 PGP524293 PQL524293 QAH524293 QKD524293 QTZ524293 RDV524293 RNR524293 RXN524293 SHJ524293 SRF524293 TBB524293 TKX524293 TUT524293 UEP524293 UOL524293 UYH524293 VID524293 VRZ524293 WBV524293 WLR524293 WVN524293 B589829 JB589829 SX589829 ACT589829 AMP589829 AWL589829 BGH589829 BQD589829 BZZ589829 CJV589829 CTR589829 DDN589829 DNJ589829 DXF589829 EHB589829 EQX589829 FAT589829 FKP589829 FUL589829 GEH589829 GOD589829 GXZ589829 HHV589829 HRR589829 IBN589829 ILJ589829 IVF589829 JFB589829 JOX589829 JYT589829 KIP589829 KSL589829 LCH589829 LMD589829 LVZ589829 MFV589829 MPR589829 MZN589829 NJJ589829 NTF589829 ODB589829 OMX589829 OWT589829 PGP589829 PQL589829 QAH589829 QKD589829 QTZ589829 RDV589829 RNR589829 RXN589829 SHJ589829 SRF589829 TBB589829 TKX589829 TUT589829 UEP589829 UOL589829 UYH589829 VID589829 VRZ589829 WBV589829 WLR589829 WVN589829 B655365 JB655365 SX655365 ACT655365 AMP655365 AWL655365 BGH655365 BQD655365 BZZ655365 CJV655365 CTR655365 DDN655365 DNJ655365 DXF655365 EHB655365 EQX655365 FAT655365 FKP655365 FUL655365 GEH655365 GOD655365 GXZ655365 HHV655365 HRR655365 IBN655365 ILJ655365 IVF655365 JFB655365 JOX655365 JYT655365 KIP655365 KSL655365 LCH655365 LMD655365 LVZ655365 MFV655365 MPR655365 MZN655365 NJJ655365 NTF655365 ODB655365 OMX655365 OWT655365 PGP655365 PQL655365 QAH655365 QKD655365 QTZ655365 RDV655365 RNR655365 RXN655365 SHJ655365 SRF655365 TBB655365 TKX655365 TUT655365 UEP655365 UOL655365 UYH655365 VID655365 VRZ655365 WBV655365 WLR655365 WVN655365 B720901 JB720901 SX720901 ACT720901 AMP720901 AWL720901 BGH720901 BQD720901 BZZ720901 CJV720901 CTR720901 DDN720901 DNJ720901 DXF720901 EHB720901 EQX720901 FAT720901 FKP720901 FUL720901 GEH720901 GOD720901 GXZ720901 HHV720901 HRR720901 IBN720901 ILJ720901 IVF720901 JFB720901 JOX720901 JYT720901 KIP720901 KSL720901 LCH720901 LMD720901 LVZ720901 MFV720901 MPR720901 MZN720901 NJJ720901 NTF720901 ODB720901 OMX720901 OWT720901 PGP720901 PQL720901 QAH720901 QKD720901 QTZ720901 RDV720901 RNR720901 RXN720901 SHJ720901 SRF720901 TBB720901 TKX720901 TUT720901 UEP720901 UOL720901 UYH720901 VID720901 VRZ720901 WBV720901 WLR720901 WVN720901 B786437 JB786437 SX786437 ACT786437 AMP786437 AWL786437 BGH786437 BQD786437 BZZ786437 CJV786437 CTR786437 DDN786437 DNJ786437 DXF786437 EHB786437 EQX786437 FAT786437 FKP786437 FUL786437 GEH786437 GOD786437 GXZ786437 HHV786437 HRR786437 IBN786437 ILJ786437 IVF786437 JFB786437 JOX786437 JYT786437 KIP786437 KSL786437 LCH786437 LMD786437 LVZ786437 MFV786437 MPR786437 MZN786437 NJJ786437 NTF786437 ODB786437 OMX786437 OWT786437 PGP786437 PQL786437 QAH786437 QKD786437 QTZ786437 RDV786437 RNR786437 RXN786437 SHJ786437 SRF786437 TBB786437 TKX786437 TUT786437 UEP786437 UOL786437 UYH786437 VID786437 VRZ786437 WBV786437 WLR786437 WVN786437 B851973 JB851973 SX851973 ACT851973 AMP851973 AWL851973 BGH851973 BQD851973 BZZ851973 CJV851973 CTR851973 DDN851973 DNJ851973 DXF851973 EHB851973 EQX851973 FAT851973 FKP851973 FUL851973 GEH851973 GOD851973 GXZ851973 HHV851973 HRR851973 IBN851973 ILJ851973 IVF851973 JFB851973 JOX851973 JYT851973 KIP851973 KSL851973 LCH851973 LMD851973 LVZ851973 MFV851973 MPR851973 MZN851973 NJJ851973 NTF851973 ODB851973 OMX851973 OWT851973 PGP851973 PQL851973 QAH851973 QKD851973 QTZ851973 RDV851973 RNR851973 RXN851973 SHJ851973 SRF851973 TBB851973 TKX851973 TUT851973 UEP851973 UOL851973 UYH851973 VID851973 VRZ851973 WBV851973 WLR851973 WVN851973 B917509 JB917509 SX917509 ACT917509 AMP917509 AWL917509 BGH917509 BQD917509 BZZ917509 CJV917509 CTR917509 DDN917509 DNJ917509 DXF917509 EHB917509 EQX917509 FAT917509 FKP917509 FUL917509 GEH917509 GOD917509 GXZ917509 HHV917509 HRR917509 IBN917509 ILJ917509 IVF917509 JFB917509 JOX917509 JYT917509 KIP917509 KSL917509 LCH917509 LMD917509 LVZ917509 MFV917509 MPR917509 MZN917509 NJJ917509 NTF917509 ODB917509 OMX917509 OWT917509 PGP917509 PQL917509 QAH917509 QKD917509 QTZ917509 RDV917509 RNR917509 RXN917509 SHJ917509 SRF917509 TBB917509 TKX917509 TUT917509 UEP917509 UOL917509 UYH917509 VID917509 VRZ917509 WBV917509 WLR917509 WVN917509 B983045 JB983045 SX983045 ACT983045 AMP983045 AWL983045 BGH983045 BQD983045 BZZ983045 CJV983045 CTR983045 DDN983045 DNJ983045 DXF983045 EHB983045 EQX983045 FAT983045 FKP983045 FUL983045 GEH983045 GOD983045 GXZ983045 HHV983045 HRR983045 IBN983045 ILJ983045 IVF983045 JFB983045 JOX983045 JYT983045 KIP983045 KSL983045 LCH983045 LMD983045 LVZ983045 MFV983045 MPR983045 MZN983045 NJJ983045 NTF983045 ODB983045 OMX983045 OWT983045 PGP983045 PQL983045 QAH983045 QKD983045 QTZ983045 RDV983045 RNR983045 RXN983045 SHJ983045 SRF983045 TBB983045 TKX983045 TUT983045 UEP983045 UOL983045 UYH983045 VID983045 VRZ983045 WBV983045 WLR983045 WVN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2"/>
  <sheetViews>
    <sheetView workbookViewId="0">
      <selection activeCell="E3" sqref="E3"/>
    </sheetView>
  </sheetViews>
  <sheetFormatPr defaultRowHeight="13.5" x14ac:dyDescent="0.25"/>
  <cols>
    <col min="1" max="1" width="2.7109375" style="181" customWidth="1"/>
    <col min="2" max="2" width="3" style="181" bestFit="1" customWidth="1"/>
    <col min="3" max="3" width="15.140625" style="181" bestFit="1" customWidth="1"/>
    <col min="4" max="4" width="21.42578125" style="181" bestFit="1" customWidth="1"/>
    <col min="5" max="5" width="21.42578125" style="204" customWidth="1"/>
    <col min="6" max="6" width="16.5703125" style="181" customWidth="1"/>
    <col min="7" max="7" width="20.7109375" style="181" customWidth="1"/>
    <col min="8" max="8" width="2.7109375" style="181" customWidth="1"/>
    <col min="9" max="9" width="9.140625" style="181"/>
    <col min="10" max="10" width="16.42578125" style="181" bestFit="1" customWidth="1"/>
    <col min="11" max="16384" width="9.140625" style="181"/>
  </cols>
  <sheetData>
    <row r="1" spans="1:10" ht="11.25" customHeight="1" x14ac:dyDescent="0.25">
      <c r="A1" s="19"/>
      <c r="B1" s="20"/>
      <c r="C1" s="21" t="s">
        <v>49</v>
      </c>
      <c r="D1" s="22" t="str">
        <f>Currency&amp;"_YC"&amp;$C$1&amp;"RH"</f>
        <v>EUR_YC3MRH</v>
      </c>
      <c r="E1" s="112"/>
      <c r="F1" s="32" t="str">
        <f>$D$1&amp;"_Deposits.xml"</f>
        <v>EUR_YC3MRH_Deposits.xml</v>
      </c>
      <c r="G1" s="1"/>
      <c r="H1" s="23"/>
    </row>
    <row r="2" spans="1:10" ht="22.5" customHeight="1" x14ac:dyDescent="0.25">
      <c r="A2" s="25"/>
      <c r="B2" s="173"/>
      <c r="C2" s="173" t="s">
        <v>51</v>
      </c>
      <c r="D2" s="173" t="s">
        <v>50</v>
      </c>
      <c r="E2" s="199" t="s">
        <v>83</v>
      </c>
      <c r="F2" s="200" t="str">
        <f>IF(Serialize,_xll.ohObjectSave(F4:F4,SerializationPath&amp;F1,FileOverwrite,Serialize),"---")</f>
        <v>---</v>
      </c>
      <c r="G2" s="177" t="str">
        <f>_xll.ohRangeRetrieveError(F2)</f>
        <v/>
      </c>
      <c r="H2" s="23"/>
    </row>
    <row r="3" spans="1:10" x14ac:dyDescent="0.25">
      <c r="A3" s="25"/>
      <c r="B3" s="177"/>
      <c r="C3" s="177"/>
      <c r="D3" s="177"/>
      <c r="E3" s="116" t="b">
        <v>1</v>
      </c>
      <c r="F3" s="201"/>
      <c r="G3" s="202"/>
      <c r="H3" s="23"/>
    </row>
    <row r="4" spans="1:10" ht="11.25" customHeight="1" x14ac:dyDescent="0.25">
      <c r="A4" s="25"/>
      <c r="B4" s="98" t="s">
        <v>49</v>
      </c>
      <c r="C4" s="28" t="str">
        <f>_xll.qlEuribor(,$C$1,,Permanent,Trigger,ObjectOverwrite)</f>
        <v>obj_00669#0017</v>
      </c>
      <c r="D4" s="114" t="str">
        <f>Currency&amp;B4&amp;"D"&amp;QuoteSuffix</f>
        <v>EUR3MD_Quote</v>
      </c>
      <c r="E4" s="117" t="str">
        <f>Currency&amp;B4&amp;"D"&amp;LCHQuoteSuffix</f>
        <v>EUR3MD_LCHQuote</v>
      </c>
      <c r="F4" s="115" t="str">
        <f>_xll.qlDepositRateHelper(,IF(E3,E4,D4),C4,Permanent,Trigger,ObjectOverwrite)</f>
        <v>obj_0066a#0002</v>
      </c>
      <c r="G4" s="203" t="str">
        <f>_xll.ohRangeRetrieveError(F4)</f>
        <v/>
      </c>
      <c r="H4" s="23"/>
    </row>
    <row r="5" spans="1:10" ht="11.25" customHeight="1" thickBot="1" x14ac:dyDescent="0.3">
      <c r="A5" s="29"/>
      <c r="B5" s="30"/>
      <c r="C5" s="30"/>
      <c r="D5" s="30"/>
      <c r="E5" s="113"/>
      <c r="F5" s="30"/>
      <c r="G5" s="30"/>
      <c r="H5" s="31"/>
      <c r="J5" s="205"/>
    </row>
    <row r="6" spans="1:10" ht="11.25" customHeight="1" x14ac:dyDescent="0.25">
      <c r="J6" s="205"/>
    </row>
    <row r="7" spans="1:10" ht="11.25" customHeight="1" x14ac:dyDescent="0.25">
      <c r="J7" s="205"/>
    </row>
    <row r="8" spans="1:10" ht="11.25" customHeight="1" x14ac:dyDescent="0.25">
      <c r="J8" s="205"/>
    </row>
    <row r="9" spans="1:10" ht="11.25" customHeight="1" x14ac:dyDescent="0.25">
      <c r="J9" s="205"/>
    </row>
    <row r="10" spans="1:10" ht="11.25" customHeight="1" x14ac:dyDescent="0.25">
      <c r="J10" s="205"/>
    </row>
    <row r="11" spans="1:10" ht="11.25" customHeight="1" x14ac:dyDescent="0.25">
      <c r="J11" s="205"/>
    </row>
    <row r="12" spans="1:10" x14ac:dyDescent="0.25">
      <c r="J12" s="205"/>
    </row>
  </sheetData>
  <dataValidations count="1">
    <dataValidation type="list" allowBlank="1" showInputMessage="1" showErrorMessage="1" sqref="E3">
      <formula1>"TRUE, FALSE"</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O37"/>
  <sheetViews>
    <sheetView workbookViewId="0">
      <selection activeCell="K3" sqref="K3"/>
    </sheetView>
  </sheetViews>
  <sheetFormatPr defaultRowHeight="13.5" x14ac:dyDescent="0.25"/>
  <cols>
    <col min="1" max="1" width="2.7109375" style="181" customWidth="1"/>
    <col min="2" max="2" width="3" style="181" bestFit="1" customWidth="1"/>
    <col min="3" max="3" width="7.5703125" style="181" customWidth="1"/>
    <col min="4" max="4" width="6" style="181" bestFit="1" customWidth="1"/>
    <col min="5" max="5" width="7" style="181" bestFit="1" customWidth="1"/>
    <col min="6" max="6" width="10" style="181" bestFit="1" customWidth="1"/>
    <col min="7" max="7" width="12.7109375" style="181" customWidth="1"/>
    <col min="8" max="8" width="19.28515625" style="181" bestFit="1" customWidth="1"/>
    <col min="9" max="9" width="17.28515625" style="181" bestFit="1" customWidth="1"/>
    <col min="10" max="10" width="26.140625" style="181" bestFit="1" customWidth="1"/>
    <col min="11" max="11" width="26.140625" style="181" customWidth="1"/>
    <col min="12" max="12" width="21.140625" style="181" customWidth="1"/>
    <col min="13" max="13" width="20.7109375" style="181" customWidth="1"/>
    <col min="14" max="14" width="2.7109375" style="181" customWidth="1"/>
    <col min="15" max="16384" width="9.140625" style="181"/>
  </cols>
  <sheetData>
    <row r="1" spans="1:15" ht="11.25" customHeight="1" x14ac:dyDescent="0.25">
      <c r="A1" s="19"/>
      <c r="B1" s="33"/>
      <c r="C1" s="33"/>
      <c r="D1" s="33"/>
      <c r="E1" s="33"/>
      <c r="F1" s="33"/>
      <c r="G1" s="24"/>
      <c r="H1" s="24"/>
      <c r="I1" s="21" t="s">
        <v>49</v>
      </c>
      <c r="J1" s="34" t="str">
        <f>Currency&amp;"_YC"&amp;$I$1&amp;"RH"</f>
        <v>EUR_YC3MRH</v>
      </c>
      <c r="K1" s="34"/>
      <c r="L1" s="27" t="str">
        <f>$J$1&amp;"_Futures"&amp;$I$1&amp;".xml"</f>
        <v>EUR_YC3MRH_Futures3M.xml</v>
      </c>
      <c r="M1" s="35"/>
      <c r="N1" s="23"/>
    </row>
    <row r="2" spans="1:15" ht="22.5" customHeight="1" x14ac:dyDescent="0.25">
      <c r="A2" s="19"/>
      <c r="B2" s="172" t="s">
        <v>63</v>
      </c>
      <c r="C2" s="172" t="s">
        <v>78</v>
      </c>
      <c r="D2" s="173" t="s">
        <v>62</v>
      </c>
      <c r="E2" s="174" t="s">
        <v>61</v>
      </c>
      <c r="F2" s="174" t="s">
        <v>79</v>
      </c>
      <c r="G2" s="173" t="s">
        <v>51</v>
      </c>
      <c r="H2" s="173" t="s">
        <v>34</v>
      </c>
      <c r="I2" s="173" t="s">
        <v>50</v>
      </c>
      <c r="J2" s="172" t="s">
        <v>60</v>
      </c>
      <c r="K2" s="175" t="s">
        <v>83</v>
      </c>
      <c r="L2" s="176" t="str">
        <f>IF(Serialize,_xll.ohObjectSave(L4:L15,SerializationPath&amp;L1,FileOverwrite,Serialize),"---")</f>
        <v>---</v>
      </c>
      <c r="M2" s="177" t="str">
        <f>_xll.ohRangeRetrieveError(L2)</f>
        <v/>
      </c>
      <c r="N2" s="23"/>
    </row>
    <row r="3" spans="1:15" x14ac:dyDescent="0.25">
      <c r="A3" s="19"/>
      <c r="B3" s="177"/>
      <c r="C3" s="177"/>
      <c r="D3" s="177"/>
      <c r="E3" s="177"/>
      <c r="F3" s="177"/>
      <c r="G3" s="177"/>
      <c r="H3" s="177"/>
      <c r="I3" s="177"/>
      <c r="J3" s="177"/>
      <c r="K3" s="26" t="b">
        <v>1</v>
      </c>
      <c r="L3" s="176"/>
      <c r="M3" s="178"/>
      <c r="N3" s="23"/>
    </row>
    <row r="4" spans="1:15" ht="11.25" customHeight="1" x14ac:dyDescent="0.25">
      <c r="A4" s="36"/>
      <c r="B4" s="100">
        <v>3</v>
      </c>
      <c r="C4" s="100" t="s">
        <v>77</v>
      </c>
      <c r="D4" s="101" t="b">
        <v>1</v>
      </c>
      <c r="E4" s="101" t="str">
        <f t="array" ref="E4:E15">_xll.qlIMMNextCodes(_xll.qlSettingsEvaluationDate(Trigger)-1,D4:D15,Trigger)</f>
        <v>U5</v>
      </c>
      <c r="F4" s="102">
        <f>_xll.qlIMMdate(E4)</f>
        <v>42263</v>
      </c>
      <c r="G4" s="101" t="str">
        <f t="shared" ref="G4:G15" si="0">PROPER(Currency)&amp;FamilyName&amp;$I$1</f>
        <v>Euribor3M</v>
      </c>
      <c r="H4" s="127" t="s">
        <v>119</v>
      </c>
      <c r="I4" s="103" t="str">
        <f t="shared" ref="I4:I15" si="1">Currency&amp;"FUT"&amp;$I$1&amp;$E4&amp;QuoteSuffix</f>
        <v>EURFUT3MU5_Quote</v>
      </c>
      <c r="J4" s="243" t="str">
        <f t="shared" ref="J4" si="2">Currency&amp;"FUT3M"&amp;E4&amp;"ConvAdj"&amp;QuoteSuffix</f>
        <v>EURFUT3MU5ConvAdj_Quote</v>
      </c>
      <c r="K4" s="120" t="str">
        <f t="shared" ref="K4:K15" si="3">"FEI"&amp;$E4&amp;LCHQuoteSuffix</f>
        <v>FEIU5_LCHQuote</v>
      </c>
      <c r="L4" s="118" t="str">
        <f>_xll.qlFuturesRateHelper3(,IF($K$3,K4,I4),C4,F4,,H4,IF($K$3,0,J4),Permanent,Trigger,ObjectOverwrite)</f>
        <v>obj_0066b#0001</v>
      </c>
      <c r="M4" s="179" t="str">
        <f>_xll.ohRangeRetrieveError(L4)</f>
        <v/>
      </c>
      <c r="N4" s="23"/>
      <c r="O4" s="182"/>
    </row>
    <row r="5" spans="1:15" ht="11.25" customHeight="1" x14ac:dyDescent="0.25">
      <c r="A5" s="36"/>
      <c r="B5" s="100">
        <v>3</v>
      </c>
      <c r="C5" s="100" t="s">
        <v>77</v>
      </c>
      <c r="D5" s="101" t="b">
        <v>1</v>
      </c>
      <c r="E5" s="101" t="str">
        <v>Z5</v>
      </c>
      <c r="F5" s="102">
        <f>_xll.qlIMMdate(E5)</f>
        <v>42354</v>
      </c>
      <c r="G5" s="101" t="str">
        <f t="shared" si="0"/>
        <v>Euribor3M</v>
      </c>
      <c r="H5" s="127" t="s">
        <v>119</v>
      </c>
      <c r="I5" s="103" t="str">
        <f t="shared" si="1"/>
        <v>EURFUT3MZ5_Quote</v>
      </c>
      <c r="J5" s="244" t="str">
        <f t="shared" ref="J5:J15" si="4">Currency&amp;"FUT3M"&amp;E5&amp;"ConvAdj"&amp;QuoteSuffix</f>
        <v>EURFUT3MZ5ConvAdj_Quote</v>
      </c>
      <c r="K5" s="120" t="str">
        <f t="shared" si="3"/>
        <v>FEIZ5_LCHQuote</v>
      </c>
      <c r="L5" s="118" t="str">
        <f>_xll.qlFuturesRateHelper3(,IF($K$3,K5,I5),C5,F5,,H5,IF($K$3,0,J5),Permanent,Trigger,ObjectOverwrite)</f>
        <v>obj_00623#0001</v>
      </c>
      <c r="M5" s="179" t="str">
        <f>_xll.ohRangeRetrieveError(L5)</f>
        <v/>
      </c>
      <c r="N5" s="23"/>
      <c r="O5" s="182"/>
    </row>
    <row r="6" spans="1:15" ht="11.25" customHeight="1" x14ac:dyDescent="0.25">
      <c r="A6" s="36"/>
      <c r="B6" s="100">
        <v>3</v>
      </c>
      <c r="C6" s="100" t="s">
        <v>77</v>
      </c>
      <c r="D6" s="101" t="b">
        <v>1</v>
      </c>
      <c r="E6" s="101" t="str">
        <v>H6</v>
      </c>
      <c r="F6" s="102">
        <f>_xll.qlIMMdate(E6)</f>
        <v>42445</v>
      </c>
      <c r="G6" s="101" t="str">
        <f t="shared" si="0"/>
        <v>Euribor3M</v>
      </c>
      <c r="H6" s="127" t="s">
        <v>119</v>
      </c>
      <c r="I6" s="103" t="str">
        <f t="shared" si="1"/>
        <v>EURFUT3MH6_Quote</v>
      </c>
      <c r="J6" s="244" t="str">
        <f t="shared" si="4"/>
        <v>EURFUT3MH6ConvAdj_Quote</v>
      </c>
      <c r="K6" s="120" t="str">
        <f t="shared" si="3"/>
        <v>FEIH6_LCHQuote</v>
      </c>
      <c r="L6" s="118" t="str">
        <f>_xll.qlFuturesRateHelper3(,IF($K$3,K6,I6),C6,F6,,H6,IF($K$3,0,J6),Permanent,Trigger,ObjectOverwrite)</f>
        <v>obj_00626#0001</v>
      </c>
      <c r="M6" s="179" t="str">
        <f>_xll.ohRangeRetrieveError(L6)</f>
        <v/>
      </c>
      <c r="N6" s="23"/>
      <c r="O6" s="182"/>
    </row>
    <row r="7" spans="1:15" ht="11.25" customHeight="1" x14ac:dyDescent="0.25">
      <c r="A7" s="36"/>
      <c r="B7" s="100">
        <v>3</v>
      </c>
      <c r="C7" s="100" t="s">
        <v>77</v>
      </c>
      <c r="D7" s="101" t="b">
        <v>1</v>
      </c>
      <c r="E7" s="101" t="str">
        <v>M6</v>
      </c>
      <c r="F7" s="102">
        <f>_xll.qlIMMdate(E7)</f>
        <v>42536</v>
      </c>
      <c r="G7" s="101" t="str">
        <f t="shared" si="0"/>
        <v>Euribor3M</v>
      </c>
      <c r="H7" s="127" t="s">
        <v>119</v>
      </c>
      <c r="I7" s="103" t="str">
        <f t="shared" si="1"/>
        <v>EURFUT3MM6_Quote</v>
      </c>
      <c r="J7" s="244" t="str">
        <f t="shared" si="4"/>
        <v>EURFUT3MM6ConvAdj_Quote</v>
      </c>
      <c r="K7" s="120" t="str">
        <f t="shared" si="3"/>
        <v>FEIM6_LCHQuote</v>
      </c>
      <c r="L7" s="118" t="str">
        <f>_xll.qlFuturesRateHelper3(,IF($K$3,K7,I7),C7,F7,,H7,IF($K$3,0,J7),Permanent,Trigger,ObjectOverwrite)</f>
        <v>obj_0062b#0001</v>
      </c>
      <c r="M7" s="179" t="str">
        <f>_xll.ohRangeRetrieveError(L7)</f>
        <v/>
      </c>
      <c r="N7" s="23"/>
      <c r="O7" s="182"/>
    </row>
    <row r="8" spans="1:15" ht="11.25" customHeight="1" x14ac:dyDescent="0.25">
      <c r="A8" s="36"/>
      <c r="B8" s="100">
        <v>3</v>
      </c>
      <c r="C8" s="100" t="s">
        <v>77</v>
      </c>
      <c r="D8" s="101" t="b">
        <v>1</v>
      </c>
      <c r="E8" s="101" t="str">
        <v>U6</v>
      </c>
      <c r="F8" s="102">
        <f>_xll.qlIMMdate(E8)</f>
        <v>42634</v>
      </c>
      <c r="G8" s="101" t="str">
        <f t="shared" si="0"/>
        <v>Euribor3M</v>
      </c>
      <c r="H8" s="127" t="s">
        <v>119</v>
      </c>
      <c r="I8" s="103" t="str">
        <f t="shared" si="1"/>
        <v>EURFUT3MU6_Quote</v>
      </c>
      <c r="J8" s="244" t="str">
        <f t="shared" si="4"/>
        <v>EURFUT3MU6ConvAdj_Quote</v>
      </c>
      <c r="K8" s="120" t="str">
        <f t="shared" si="3"/>
        <v>FEIU6_LCHQuote</v>
      </c>
      <c r="L8" s="118" t="str">
        <f>_xll.qlFuturesRateHelper3(,IF($K$3,K8,I8),C8,F8,,H8,IF($K$3,0,J8),Permanent,Trigger,ObjectOverwrite)</f>
        <v>obj_0062c#0001</v>
      </c>
      <c r="M8" s="179" t="str">
        <f>_xll.ohRangeRetrieveError(L8)</f>
        <v/>
      </c>
      <c r="N8" s="23"/>
      <c r="O8" s="182"/>
    </row>
    <row r="9" spans="1:15" ht="11.25" customHeight="1" x14ac:dyDescent="0.25">
      <c r="A9" s="36"/>
      <c r="B9" s="100">
        <v>3</v>
      </c>
      <c r="C9" s="100" t="s">
        <v>77</v>
      </c>
      <c r="D9" s="101" t="b">
        <v>1</v>
      </c>
      <c r="E9" s="101" t="str">
        <v>Z6</v>
      </c>
      <c r="F9" s="102">
        <f>_xll.qlIMMdate(E9)</f>
        <v>42725</v>
      </c>
      <c r="G9" s="101" t="str">
        <f t="shared" si="0"/>
        <v>Euribor3M</v>
      </c>
      <c r="H9" s="127" t="s">
        <v>119</v>
      </c>
      <c r="I9" s="103" t="str">
        <f t="shared" si="1"/>
        <v>EURFUT3MZ6_Quote</v>
      </c>
      <c r="J9" s="244" t="str">
        <f t="shared" si="4"/>
        <v>EURFUT3MZ6ConvAdj_Quote</v>
      </c>
      <c r="K9" s="120" t="str">
        <f t="shared" si="3"/>
        <v>FEIZ6_LCHQuote</v>
      </c>
      <c r="L9" s="118" t="str">
        <f>_xll.qlFuturesRateHelper3(,IF($K$3,K9,I9),C9,F9,,H9,IF($K$3,0,J9),Permanent,Trigger,ObjectOverwrite)</f>
        <v>obj_00628#0001</v>
      </c>
      <c r="M9" s="179" t="str">
        <f>_xll.ohRangeRetrieveError(L9)</f>
        <v/>
      </c>
      <c r="N9" s="23"/>
      <c r="O9" s="182"/>
    </row>
    <row r="10" spans="1:15" ht="11.25" customHeight="1" x14ac:dyDescent="0.25">
      <c r="A10" s="36"/>
      <c r="B10" s="100">
        <v>3</v>
      </c>
      <c r="C10" s="100" t="s">
        <v>77</v>
      </c>
      <c r="D10" s="101" t="b">
        <v>1</v>
      </c>
      <c r="E10" s="101" t="str">
        <v>H7</v>
      </c>
      <c r="F10" s="102">
        <f>_xll.qlIMMdate(E10)</f>
        <v>42809</v>
      </c>
      <c r="G10" s="101" t="str">
        <f t="shared" si="0"/>
        <v>Euribor3M</v>
      </c>
      <c r="H10" s="127" t="s">
        <v>119</v>
      </c>
      <c r="I10" s="103" t="str">
        <f t="shared" si="1"/>
        <v>EURFUT3MH7_Quote</v>
      </c>
      <c r="J10" s="244" t="str">
        <f t="shared" si="4"/>
        <v>EURFUT3MH7ConvAdj_Quote</v>
      </c>
      <c r="K10" s="120" t="str">
        <f t="shared" si="3"/>
        <v>FEIH7_LCHQuote</v>
      </c>
      <c r="L10" s="118" t="str">
        <f>_xll.qlFuturesRateHelper3(,IF($K$3,K10,I10),C10,F10,,H10,IF($K$3,0,J10),Permanent,Trigger,ObjectOverwrite)</f>
        <v>obj_00624#0001</v>
      </c>
      <c r="M10" s="179" t="str">
        <f>_xll.ohRangeRetrieveError(L10)</f>
        <v/>
      </c>
      <c r="N10" s="23"/>
      <c r="O10" s="182"/>
    </row>
    <row r="11" spans="1:15" ht="11.25" customHeight="1" x14ac:dyDescent="0.25">
      <c r="A11" s="36"/>
      <c r="B11" s="100">
        <v>3</v>
      </c>
      <c r="C11" s="100" t="s">
        <v>77</v>
      </c>
      <c r="D11" s="101" t="b">
        <v>1</v>
      </c>
      <c r="E11" s="101" t="str">
        <v>M7</v>
      </c>
      <c r="F11" s="102">
        <f>_xll.qlIMMdate(E11)</f>
        <v>42907</v>
      </c>
      <c r="G11" s="101" t="str">
        <f t="shared" si="0"/>
        <v>Euribor3M</v>
      </c>
      <c r="H11" s="127" t="s">
        <v>119</v>
      </c>
      <c r="I11" s="103" t="str">
        <f t="shared" si="1"/>
        <v>EURFUT3MM7_Quote</v>
      </c>
      <c r="J11" s="244" t="str">
        <f t="shared" si="4"/>
        <v>EURFUT3MM7ConvAdj_Quote</v>
      </c>
      <c r="K11" s="120" t="str">
        <f t="shared" si="3"/>
        <v>FEIM7_LCHQuote</v>
      </c>
      <c r="L11" s="118" t="str">
        <f>_xll.qlFuturesRateHelper3(,IF($K$3,K11,I11),C11,F11,,H11,IF($K$3,0,J11),Permanent,Trigger,ObjectOverwrite)</f>
        <v>obj_00627#0001</v>
      </c>
      <c r="M11" s="179" t="str">
        <f>_xll.ohRangeRetrieveError(L11)</f>
        <v/>
      </c>
      <c r="N11" s="23"/>
      <c r="O11" s="182"/>
    </row>
    <row r="12" spans="1:15" ht="11.25" customHeight="1" x14ac:dyDescent="0.25">
      <c r="A12" s="36"/>
      <c r="B12" s="100">
        <v>3</v>
      </c>
      <c r="C12" s="100" t="s">
        <v>77</v>
      </c>
      <c r="D12" s="101" t="b">
        <v>1</v>
      </c>
      <c r="E12" s="101" t="str">
        <v>U7</v>
      </c>
      <c r="F12" s="102">
        <f>_xll.qlIMMdate(E12)</f>
        <v>42998</v>
      </c>
      <c r="G12" s="101" t="str">
        <f t="shared" si="0"/>
        <v>Euribor3M</v>
      </c>
      <c r="H12" s="127" t="s">
        <v>119</v>
      </c>
      <c r="I12" s="103" t="str">
        <f t="shared" si="1"/>
        <v>EURFUT3MU7_Quote</v>
      </c>
      <c r="J12" s="244" t="str">
        <f t="shared" si="4"/>
        <v>EURFUT3MU7ConvAdj_Quote</v>
      </c>
      <c r="K12" s="120" t="str">
        <f t="shared" si="3"/>
        <v>FEIU7_LCHQuote</v>
      </c>
      <c r="L12" s="118" t="str">
        <f>_xll.qlFuturesRateHelper3(,IF($K$3,K12,I12),C12,F12,,H12,IF($K$3,0,J12),Permanent,Trigger,ObjectOverwrite)</f>
        <v>obj_00625#0001</v>
      </c>
      <c r="M12" s="179" t="str">
        <f>_xll.ohRangeRetrieveError(L12)</f>
        <v/>
      </c>
      <c r="N12" s="23"/>
      <c r="O12" s="182"/>
    </row>
    <row r="13" spans="1:15" ht="11.25" customHeight="1" x14ac:dyDescent="0.25">
      <c r="A13" s="36"/>
      <c r="B13" s="100">
        <v>3</v>
      </c>
      <c r="C13" s="100" t="s">
        <v>77</v>
      </c>
      <c r="D13" s="101" t="b">
        <v>1</v>
      </c>
      <c r="E13" s="101" t="str">
        <v>Z7</v>
      </c>
      <c r="F13" s="102">
        <f>_xll.qlIMMdate(E13)</f>
        <v>43089</v>
      </c>
      <c r="G13" s="101" t="str">
        <f t="shared" si="0"/>
        <v>Euribor3M</v>
      </c>
      <c r="H13" s="127" t="s">
        <v>119</v>
      </c>
      <c r="I13" s="103" t="str">
        <f t="shared" si="1"/>
        <v>EURFUT3MZ7_Quote</v>
      </c>
      <c r="J13" s="244" t="str">
        <f t="shared" si="4"/>
        <v>EURFUT3MZ7ConvAdj_Quote</v>
      </c>
      <c r="K13" s="120" t="str">
        <f t="shared" si="3"/>
        <v>FEIZ7_LCHQuote</v>
      </c>
      <c r="L13" s="118" t="str">
        <f>_xll.qlFuturesRateHelper3(,IF($K$3,K13,I13),C13,F13,,H13,IF($K$3,0,J13),Permanent,Trigger,ObjectOverwrite)</f>
        <v>obj_00622#0001</v>
      </c>
      <c r="M13" s="179" t="str">
        <f>_xll.ohRangeRetrieveError(L13)</f>
        <v/>
      </c>
      <c r="N13" s="23"/>
      <c r="O13" s="182"/>
    </row>
    <row r="14" spans="1:15" ht="11.25" customHeight="1" x14ac:dyDescent="0.25">
      <c r="A14" s="36"/>
      <c r="B14" s="100">
        <v>3</v>
      </c>
      <c r="C14" s="100" t="s">
        <v>77</v>
      </c>
      <c r="D14" s="101" t="b">
        <v>1</v>
      </c>
      <c r="E14" s="101" t="str">
        <v>H8</v>
      </c>
      <c r="F14" s="102">
        <f>_xll.qlIMMdate(E14)</f>
        <v>43180</v>
      </c>
      <c r="G14" s="101" t="str">
        <f t="shared" si="0"/>
        <v>Euribor3M</v>
      </c>
      <c r="H14" s="127" t="s">
        <v>119</v>
      </c>
      <c r="I14" s="103" t="str">
        <f t="shared" si="1"/>
        <v>EURFUT3MH8_Quote</v>
      </c>
      <c r="J14" s="244" t="str">
        <f t="shared" si="4"/>
        <v>EURFUT3MH8ConvAdj_Quote</v>
      </c>
      <c r="K14" s="120" t="str">
        <f t="shared" si="3"/>
        <v>FEIH8_LCHQuote</v>
      </c>
      <c r="L14" s="118" t="str">
        <f>_xll.qlFuturesRateHelper3(,IF($K$3,K14,I14),C14,F14,,H14,IF($K$3,0,J14),Permanent,Trigger,ObjectOverwrite)</f>
        <v>obj_00629#0001</v>
      </c>
      <c r="M14" s="179" t="str">
        <f>_xll.ohRangeRetrieveError(L14)</f>
        <v/>
      </c>
      <c r="N14" s="23"/>
      <c r="O14" s="182"/>
    </row>
    <row r="15" spans="1:15" ht="11.25" customHeight="1" x14ac:dyDescent="0.25">
      <c r="A15" s="36"/>
      <c r="B15" s="37">
        <v>3</v>
      </c>
      <c r="C15" s="37" t="s">
        <v>77</v>
      </c>
      <c r="D15" s="38" t="b">
        <v>1</v>
      </c>
      <c r="E15" s="38" t="str">
        <v>M8</v>
      </c>
      <c r="F15" s="99">
        <f>_xll.qlIMMdate(E15)</f>
        <v>43271</v>
      </c>
      <c r="G15" s="38" t="str">
        <f t="shared" si="0"/>
        <v>Euribor3M</v>
      </c>
      <c r="H15" s="128" t="s">
        <v>119</v>
      </c>
      <c r="I15" s="42" t="str">
        <f t="shared" si="1"/>
        <v>EURFUT3MM8_Quote</v>
      </c>
      <c r="J15" s="245" t="str">
        <f t="shared" si="4"/>
        <v>EURFUT3MM8ConvAdj_Quote</v>
      </c>
      <c r="K15" s="121" t="str">
        <f t="shared" si="3"/>
        <v>FEIM8_LCHQuote</v>
      </c>
      <c r="L15" s="119" t="str">
        <f>_xll.qlFuturesRateHelper3(,IF($K$3,K15,I15),C15,F15,,H15,IF($K$3,0,J15),Permanent,Trigger,ObjectOverwrite)</f>
        <v>obj_0062a#0001</v>
      </c>
      <c r="M15" s="180" t="str">
        <f>_xll.ohRangeRetrieveError(L15)</f>
        <v/>
      </c>
      <c r="N15" s="23"/>
      <c r="O15" s="182"/>
    </row>
    <row r="16" spans="1:15" ht="11.25" customHeight="1" thickBot="1" x14ac:dyDescent="0.3">
      <c r="A16" s="40"/>
      <c r="B16" s="41"/>
      <c r="C16" s="41"/>
      <c r="D16" s="41"/>
      <c r="E16" s="41"/>
      <c r="F16" s="41"/>
      <c r="G16" s="41"/>
      <c r="H16" s="41"/>
      <c r="I16" s="41"/>
      <c r="J16" s="41"/>
      <c r="K16" s="41"/>
      <c r="L16" s="41"/>
      <c r="M16" s="41"/>
      <c r="N16" s="31"/>
    </row>
    <row r="17" spans="11:12" ht="11.25" customHeight="1" x14ac:dyDescent="0.25"/>
    <row r="20" spans="11:12" x14ac:dyDescent="0.25">
      <c r="K20" s="205"/>
      <c r="L20" s="205"/>
    </row>
    <row r="21" spans="11:12" x14ac:dyDescent="0.25">
      <c r="K21" s="205"/>
      <c r="L21" s="205"/>
    </row>
    <row r="22" spans="11:12" x14ac:dyDescent="0.25">
      <c r="K22" s="205"/>
      <c r="L22" s="205"/>
    </row>
    <row r="23" spans="11:12" x14ac:dyDescent="0.25">
      <c r="K23" s="205"/>
      <c r="L23" s="205"/>
    </row>
    <row r="24" spans="11:12" x14ac:dyDescent="0.25">
      <c r="K24" s="205"/>
      <c r="L24" s="205"/>
    </row>
    <row r="25" spans="11:12" x14ac:dyDescent="0.25">
      <c r="K25" s="205"/>
      <c r="L25" s="205"/>
    </row>
    <row r="26" spans="11:12" x14ac:dyDescent="0.25">
      <c r="K26" s="205"/>
      <c r="L26" s="205"/>
    </row>
    <row r="27" spans="11:12" x14ac:dyDescent="0.25">
      <c r="K27" s="205"/>
      <c r="L27" s="205"/>
    </row>
    <row r="28" spans="11:12" x14ac:dyDescent="0.25">
      <c r="K28" s="205"/>
      <c r="L28" s="205"/>
    </row>
    <row r="29" spans="11:12" x14ac:dyDescent="0.25">
      <c r="K29" s="205"/>
      <c r="L29" s="205"/>
    </row>
    <row r="30" spans="11:12" x14ac:dyDescent="0.25">
      <c r="K30" s="205"/>
      <c r="L30" s="205"/>
    </row>
    <row r="31" spans="11:12" x14ac:dyDescent="0.25">
      <c r="K31" s="205"/>
      <c r="L31" s="205"/>
    </row>
    <row r="32" spans="11:12" x14ac:dyDescent="0.25">
      <c r="K32" s="205"/>
      <c r="L32" s="205"/>
    </row>
    <row r="33" spans="11:12" x14ac:dyDescent="0.25">
      <c r="K33" s="205"/>
      <c r="L33" s="205"/>
    </row>
    <row r="34" spans="11:12" x14ac:dyDescent="0.25">
      <c r="K34" s="205"/>
      <c r="L34" s="205"/>
    </row>
    <row r="35" spans="11:12" x14ac:dyDescent="0.25">
      <c r="K35" s="205"/>
      <c r="L35" s="205"/>
    </row>
    <row r="36" spans="11:12" x14ac:dyDescent="0.25">
      <c r="K36" s="205"/>
      <c r="L36" s="205"/>
    </row>
    <row r="37" spans="11:12" x14ac:dyDescent="0.25">
      <c r="K37" s="205"/>
      <c r="L37" s="205"/>
    </row>
  </sheetData>
  <dataValidations count="3">
    <dataValidation type="list" allowBlank="1" showInputMessage="1" showErrorMessage="1" sqref="C4:C15">
      <formula1>"IMM,ASX"</formula1>
    </dataValidation>
    <dataValidation type="list" allowBlank="1" showInputMessage="1" showErrorMessage="1" sqref="K3">
      <formula1>"true, false"</formula1>
    </dataValidation>
    <dataValidation type="list" allowBlank="1" showInputMessage="1" showErrorMessage="1" sqref="H4:H15">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23"/>
  <sheetViews>
    <sheetView workbookViewId="0">
      <selection activeCell="L3" sqref="L3"/>
    </sheetView>
  </sheetViews>
  <sheetFormatPr defaultRowHeight="11.25" x14ac:dyDescent="0.2"/>
  <cols>
    <col min="1" max="1" width="2.7109375" style="197" customWidth="1"/>
    <col min="2" max="2" width="6" style="197" bestFit="1" customWidth="1"/>
    <col min="3" max="3" width="6" style="197" customWidth="1"/>
    <col min="4" max="4" width="4" style="197" bestFit="1" customWidth="1"/>
    <col min="5" max="6" width="3" style="197" bestFit="1" customWidth="1"/>
    <col min="7" max="7" width="11" style="197" bestFit="1" customWidth="1"/>
    <col min="8" max="9" width="19.28515625" style="197" bestFit="1" customWidth="1"/>
    <col min="10" max="10" width="8" style="197" bestFit="1" customWidth="1"/>
    <col min="11" max="11" width="17.28515625" style="197" bestFit="1" customWidth="1"/>
    <col min="12" max="13" width="17.140625" style="197" customWidth="1"/>
    <col min="14" max="14" width="21.7109375" style="198" customWidth="1"/>
    <col min="15" max="15" width="35.7109375" style="197" customWidth="1"/>
    <col min="16" max="16" width="2.7109375" style="197" customWidth="1"/>
    <col min="17" max="17" width="2.5703125" style="197" customWidth="1"/>
    <col min="18" max="16384" width="9.140625" style="197"/>
  </cols>
  <sheetData>
    <row r="1" spans="1:16" ht="11.25" customHeight="1" x14ac:dyDescent="0.2">
      <c r="A1" s="25"/>
      <c r="B1" s="21"/>
      <c r="C1" s="20"/>
      <c r="D1" s="20"/>
      <c r="E1" s="20"/>
      <c r="F1" s="20"/>
      <c r="G1" s="20"/>
      <c r="H1" s="20"/>
      <c r="I1" s="21" t="s">
        <v>122</v>
      </c>
      <c r="J1" s="21" t="s">
        <v>49</v>
      </c>
      <c r="K1" s="21" t="str">
        <f>Currency&amp;"_YC"&amp;$J$1&amp;"RH"</f>
        <v>EUR_YC3MRH</v>
      </c>
      <c r="L1" s="21"/>
      <c r="M1" s="21"/>
      <c r="N1" s="21" t="str">
        <f>K1&amp;"_SwapsFromBasis.xml"</f>
        <v>EUR_YC3MRH_SwapsFromBasis.xml</v>
      </c>
      <c r="O1" s="20"/>
      <c r="P1" s="43"/>
    </row>
    <row r="2" spans="1:16" ht="22.5" customHeight="1" x14ac:dyDescent="0.2">
      <c r="A2" s="25"/>
      <c r="B2" s="173" t="s">
        <v>80</v>
      </c>
      <c r="C2" s="173" t="s">
        <v>70</v>
      </c>
      <c r="D2" s="173"/>
      <c r="E2" s="173"/>
      <c r="F2" s="173"/>
      <c r="G2" s="173" t="s">
        <v>69</v>
      </c>
      <c r="H2" s="173" t="s">
        <v>68</v>
      </c>
      <c r="I2" s="173" t="s">
        <v>67</v>
      </c>
      <c r="J2" s="173" t="s">
        <v>66</v>
      </c>
      <c r="K2" s="173" t="s">
        <v>50</v>
      </c>
      <c r="L2" s="187" t="s">
        <v>83</v>
      </c>
      <c r="M2" s="187"/>
      <c r="N2" s="176" t="str">
        <f>IF(Serialize,_xll.ohObjectSave(N3:N18,SerializationPath&amp;N1,FileOverwrite,Serialize),"---")</f>
        <v>---</v>
      </c>
      <c r="O2" s="188" t="str">
        <f>_xll.ohRangeRetrieveError(N2)</f>
        <v/>
      </c>
      <c r="P2" s="43"/>
    </row>
    <row r="3" spans="1:16" ht="11.25" customHeight="1" x14ac:dyDescent="0.2">
      <c r="A3" s="19"/>
      <c r="B3" s="189"/>
      <c r="C3" s="189"/>
      <c r="D3" s="189"/>
      <c r="E3" s="189"/>
      <c r="F3" s="189"/>
      <c r="G3" s="189"/>
      <c r="H3" s="189"/>
      <c r="I3" s="189"/>
      <c r="J3" s="189"/>
      <c r="K3" s="189"/>
      <c r="L3" s="186" t="b">
        <v>1</v>
      </c>
      <c r="M3" s="186"/>
      <c r="N3" s="39" t="str">
        <f>_xll.qlEuribor(,$J$1,,Permanent,Trigger,ObjectOverwrite)</f>
        <v>obj_00620#0001</v>
      </c>
      <c r="O3" s="189" t="str">
        <f>_xll.ohRangeRetrieveError(N3)</f>
        <v/>
      </c>
      <c r="P3" s="43"/>
    </row>
    <row r="4" spans="1:16" ht="11.25" customHeight="1" x14ac:dyDescent="0.2">
      <c r="A4" s="25"/>
      <c r="B4" s="95">
        <v>2</v>
      </c>
      <c r="C4" s="95" t="s">
        <v>65</v>
      </c>
      <c r="D4" s="95" t="s">
        <v>14</v>
      </c>
      <c r="E4" s="95" t="s">
        <v>115</v>
      </c>
      <c r="F4" s="95" t="s">
        <v>121</v>
      </c>
      <c r="G4" s="110" t="s">
        <v>120</v>
      </c>
      <c r="H4" s="65" t="s">
        <v>64</v>
      </c>
      <c r="I4" s="65" t="s">
        <v>118</v>
      </c>
      <c r="J4" s="111">
        <v>0</v>
      </c>
      <c r="K4" s="183" t="str">
        <f t="shared" ref="K4:K18" si="0">Currency&amp;$E4&amp;F4&amp;$D4&amp;"_Quote"</f>
        <v>EURAB3E4Y_Quote</v>
      </c>
      <c r="L4" s="194" t="str">
        <f t="shared" ref="L4:L18" si="1">Currency&amp;F4&amp;$I$1&amp;$D4&amp;LCHQuoteSuffix</f>
        <v>EUR3E6E4Y_LCHQuote</v>
      </c>
      <c r="M4" s="184" t="str">
        <f>_xll.qlSwapRateHelper2(,IF($L$3,$L4,$K4),$B4,$D4,Calendar,$G4,$H4,$I4,$N$3,$J4,$C4,Discounting1,,,Permanent,,ObjectOverwrite)</f>
        <v>obj_0065b#0001</v>
      </c>
      <c r="N4" s="185" t="str">
        <f>_xll.qlSwapRateHelper2(,IF($L$3,$L4,$K4),$B4,$D4,Calendar,$G4,$H4,$I4,$N$3,$J4,$C4,Discounting2,,,Permanent,,ObjectOverwrite)</f>
        <v>obj_00657#0001</v>
      </c>
      <c r="O4" s="190" t="str">
        <f>_xll.ohRangeRetrieveError(N4)</f>
        <v/>
      </c>
      <c r="P4" s="43"/>
    </row>
    <row r="5" spans="1:16" ht="11.25" customHeight="1" x14ac:dyDescent="0.2">
      <c r="A5" s="25"/>
      <c r="B5" s="96">
        <v>2</v>
      </c>
      <c r="C5" s="96" t="s">
        <v>65</v>
      </c>
      <c r="D5" s="96" t="s">
        <v>13</v>
      </c>
      <c r="E5" s="96" t="s">
        <v>115</v>
      </c>
      <c r="F5" s="96" t="s">
        <v>121</v>
      </c>
      <c r="G5" s="104" t="s">
        <v>120</v>
      </c>
      <c r="H5" s="101" t="s">
        <v>64</v>
      </c>
      <c r="I5" s="101" t="s">
        <v>118</v>
      </c>
      <c r="J5" s="105">
        <v>0</v>
      </c>
      <c r="K5" s="122" t="str">
        <f t="shared" si="0"/>
        <v>EURAB3E5Y_Quote</v>
      </c>
      <c r="L5" s="195" t="str">
        <f t="shared" si="1"/>
        <v>EUR3E6E5Y_LCHQuote</v>
      </c>
      <c r="M5" s="126" t="str">
        <f>_xll.qlSwapRateHelper2(,IF($L$3,$L5,$K5),$B5,$D5,Calendar,$G5,$H5,$I5,$N$3,$J5,$C5,Discounting1,,,Permanent,,ObjectOverwrite)</f>
        <v>obj_00661#0001</v>
      </c>
      <c r="N5" s="124" t="str">
        <f>_xll.qlSwapRateHelper2(,IF($L$3,$L5,$K5),$B5,$D5,Calendar,$G5,$H5,$I5,$N$3,$J5,$C5,Discounting2,,,Permanent,,ObjectOverwrite)</f>
        <v>obj_0065f#0001</v>
      </c>
      <c r="O5" s="191" t="str">
        <f>_xll.ohRangeRetrieveError(N5)</f>
        <v/>
      </c>
      <c r="P5" s="43"/>
    </row>
    <row r="6" spans="1:16" ht="11.25" customHeight="1" x14ac:dyDescent="0.2">
      <c r="A6" s="25"/>
      <c r="B6" s="96">
        <v>2</v>
      </c>
      <c r="C6" s="96" t="s">
        <v>65</v>
      </c>
      <c r="D6" s="96" t="s">
        <v>12</v>
      </c>
      <c r="E6" s="96" t="s">
        <v>115</v>
      </c>
      <c r="F6" s="96" t="s">
        <v>121</v>
      </c>
      <c r="G6" s="104" t="s">
        <v>120</v>
      </c>
      <c r="H6" s="101" t="s">
        <v>64</v>
      </c>
      <c r="I6" s="101" t="s">
        <v>118</v>
      </c>
      <c r="J6" s="105">
        <v>0</v>
      </c>
      <c r="K6" s="122" t="str">
        <f t="shared" si="0"/>
        <v>EURAB3E6Y_Quote</v>
      </c>
      <c r="L6" s="195" t="str">
        <f t="shared" si="1"/>
        <v>EUR3E6E6Y_LCHQuote</v>
      </c>
      <c r="M6" s="126" t="str">
        <f>_xll.qlSwapRateHelper2(,IF($L$3,$L6,$K6),$B6,$D6,Calendar,$G6,$H6,$I6,$N$3,$J6,$C6,Discounting1,,,Permanent,,ObjectOverwrite)</f>
        <v>obj_00659#0001</v>
      </c>
      <c r="N6" s="124" t="str">
        <f>_xll.qlSwapRateHelper2(,IF($L$3,$L6,$K6),$B6,$D6,Calendar,$G6,$H6,$I6,$N$3,$J6,$C6,Discounting2,,,Permanent,,ObjectOverwrite)</f>
        <v>obj_00655#0001</v>
      </c>
      <c r="O6" s="191" t="str">
        <f>_xll.ohRangeRetrieveError(N6)</f>
        <v/>
      </c>
      <c r="P6" s="43"/>
    </row>
    <row r="7" spans="1:16" ht="11.25" customHeight="1" x14ac:dyDescent="0.2">
      <c r="A7" s="25"/>
      <c r="B7" s="96">
        <v>2</v>
      </c>
      <c r="C7" s="96" t="s">
        <v>65</v>
      </c>
      <c r="D7" s="96" t="s">
        <v>11</v>
      </c>
      <c r="E7" s="96" t="s">
        <v>115</v>
      </c>
      <c r="F7" s="96" t="s">
        <v>121</v>
      </c>
      <c r="G7" s="104" t="s">
        <v>120</v>
      </c>
      <c r="H7" s="101" t="s">
        <v>64</v>
      </c>
      <c r="I7" s="101" t="s">
        <v>118</v>
      </c>
      <c r="J7" s="105">
        <v>0</v>
      </c>
      <c r="K7" s="122" t="str">
        <f t="shared" si="0"/>
        <v>EURAB3E7Y_Quote</v>
      </c>
      <c r="L7" s="195" t="str">
        <f t="shared" si="1"/>
        <v>EUR3E6E7Y_LCHQuote</v>
      </c>
      <c r="M7" s="126" t="str">
        <f>_xll.qlSwapRateHelper2(,IF($L$3,$L7,$K7),$B7,$D7,Calendar,$G7,$H7,$I7,$N$3,$J7,$C7,Discounting1,,,Permanent,,ObjectOverwrite)</f>
        <v>obj_0064d#0001</v>
      </c>
      <c r="N7" s="124" t="str">
        <f>_xll.qlSwapRateHelper2(,IF($L$3,$L7,$K7),$B7,$D7,Calendar,$G7,$H7,$I7,$N$3,$J7,$C7,Discounting2,,,Permanent,,ObjectOverwrite)</f>
        <v>obj_00668#0001</v>
      </c>
      <c r="O7" s="191" t="str">
        <f>_xll.ohRangeRetrieveError(N7)</f>
        <v/>
      </c>
      <c r="P7" s="43"/>
    </row>
    <row r="8" spans="1:16" ht="11.25" customHeight="1" x14ac:dyDescent="0.2">
      <c r="A8" s="25"/>
      <c r="B8" s="96">
        <v>2</v>
      </c>
      <c r="C8" s="96" t="s">
        <v>65</v>
      </c>
      <c r="D8" s="96" t="s">
        <v>10</v>
      </c>
      <c r="E8" s="96" t="s">
        <v>115</v>
      </c>
      <c r="F8" s="96" t="s">
        <v>121</v>
      </c>
      <c r="G8" s="104" t="s">
        <v>120</v>
      </c>
      <c r="H8" s="101" t="s">
        <v>64</v>
      </c>
      <c r="I8" s="101" t="s">
        <v>118</v>
      </c>
      <c r="J8" s="105">
        <v>0</v>
      </c>
      <c r="K8" s="122" t="str">
        <f t="shared" si="0"/>
        <v>EURAB3E8Y_Quote</v>
      </c>
      <c r="L8" s="195" t="str">
        <f t="shared" si="1"/>
        <v>EUR3E6E8Y_LCHQuote</v>
      </c>
      <c r="M8" s="126" t="str">
        <f>_xll.qlSwapRateHelper2(,IF($L$3,$L8,$K8),$B8,$D8,Calendar,$G8,$H8,$I8,$N$3,$J8,$C8,Discounting1,,,Permanent,,ObjectOverwrite)</f>
        <v>obj_0064c#0001</v>
      </c>
      <c r="N8" s="124" t="str">
        <f>_xll.qlSwapRateHelper2(,IF($L$3,$L8,$K8),$B8,$D8,Calendar,$G8,$H8,$I8,$N$3,$J8,$C8,Discounting2,,,Permanent,,ObjectOverwrite)</f>
        <v>obj_00667#0001</v>
      </c>
      <c r="O8" s="191" t="str">
        <f>_xll.ohRangeRetrieveError(N8)</f>
        <v/>
      </c>
      <c r="P8" s="43"/>
    </row>
    <row r="9" spans="1:16" ht="11.25" customHeight="1" x14ac:dyDescent="0.2">
      <c r="A9" s="25"/>
      <c r="B9" s="96">
        <v>2</v>
      </c>
      <c r="C9" s="96" t="s">
        <v>65</v>
      </c>
      <c r="D9" s="96" t="s">
        <v>9</v>
      </c>
      <c r="E9" s="96" t="s">
        <v>115</v>
      </c>
      <c r="F9" s="96" t="s">
        <v>121</v>
      </c>
      <c r="G9" s="104" t="s">
        <v>120</v>
      </c>
      <c r="H9" s="101" t="s">
        <v>64</v>
      </c>
      <c r="I9" s="101" t="s">
        <v>118</v>
      </c>
      <c r="J9" s="105">
        <v>0</v>
      </c>
      <c r="K9" s="122" t="str">
        <f t="shared" si="0"/>
        <v>EURAB3E9Y_Quote</v>
      </c>
      <c r="L9" s="195" t="str">
        <f t="shared" si="1"/>
        <v>EUR3E6E9Y_LCHQuote</v>
      </c>
      <c r="M9" s="126" t="str">
        <f>_xll.qlSwapRateHelper2(,IF($L$3,$L9,$K9),$B9,$D9,Calendar,$G9,$H9,$I9,$N$3,$J9,$C9,Discounting1,,,Permanent,,ObjectOverwrite)</f>
        <v>obj_0064b#0001</v>
      </c>
      <c r="N9" s="124" t="str">
        <f>_xll.qlSwapRateHelper2(,IF($L$3,$L9,$K9),$B9,$D9,Calendar,$G9,$H9,$I9,$N$3,$J9,$C9,Discounting2,,,Permanent,,ObjectOverwrite)</f>
        <v>obj_00666#0001</v>
      </c>
      <c r="O9" s="191" t="str">
        <f>_xll.ohRangeRetrieveError(N9)</f>
        <v/>
      </c>
      <c r="P9" s="43"/>
    </row>
    <row r="10" spans="1:16" ht="11.25" customHeight="1" x14ac:dyDescent="0.2">
      <c r="A10" s="25"/>
      <c r="B10" s="96">
        <v>2</v>
      </c>
      <c r="C10" s="96" t="s">
        <v>65</v>
      </c>
      <c r="D10" s="96" t="s">
        <v>8</v>
      </c>
      <c r="E10" s="96" t="s">
        <v>115</v>
      </c>
      <c r="F10" s="96" t="s">
        <v>121</v>
      </c>
      <c r="G10" s="104" t="s">
        <v>120</v>
      </c>
      <c r="H10" s="101" t="s">
        <v>64</v>
      </c>
      <c r="I10" s="101" t="s">
        <v>118</v>
      </c>
      <c r="J10" s="105">
        <v>0</v>
      </c>
      <c r="K10" s="122" t="str">
        <f t="shared" si="0"/>
        <v>EURAB3E10Y_Quote</v>
      </c>
      <c r="L10" s="195" t="str">
        <f t="shared" si="1"/>
        <v>EUR3E6E10Y_LCHQuote</v>
      </c>
      <c r="M10" s="126" t="str">
        <f>_xll.qlSwapRateHelper2(,IF($L$3,$L10,$K10),$B10,$D10,Calendar,$G10,$H10,$I10,$N$3,$J10,$C10,Discounting1,,,Permanent,,ObjectOverwrite)</f>
        <v>obj_00663#0001</v>
      </c>
      <c r="N10" s="124" t="str">
        <f>_xll.qlSwapRateHelper2(,IF($L$3,$L10,$K10),$B10,$D10,Calendar,$G10,$H10,$I10,$N$3,$J10,$C10,Discounting2,,,Permanent,,ObjectOverwrite)</f>
        <v>obj_00658#0001</v>
      </c>
      <c r="O10" s="191" t="str">
        <f>_xll.ohRangeRetrieveError(N10)</f>
        <v/>
      </c>
      <c r="P10" s="43"/>
    </row>
    <row r="11" spans="1:16" ht="11.25" customHeight="1" x14ac:dyDescent="0.2">
      <c r="A11" s="25"/>
      <c r="B11" s="96">
        <v>2</v>
      </c>
      <c r="C11" s="96" t="s">
        <v>65</v>
      </c>
      <c r="D11" s="96" t="s">
        <v>7</v>
      </c>
      <c r="E11" s="96" t="s">
        <v>115</v>
      </c>
      <c r="F11" s="96" t="s">
        <v>121</v>
      </c>
      <c r="G11" s="104" t="s">
        <v>120</v>
      </c>
      <c r="H11" s="101" t="s">
        <v>64</v>
      </c>
      <c r="I11" s="101" t="s">
        <v>118</v>
      </c>
      <c r="J11" s="105">
        <v>0</v>
      </c>
      <c r="K11" s="122" t="str">
        <f t="shared" si="0"/>
        <v>EURAB3E12Y_Quote</v>
      </c>
      <c r="L11" s="195" t="str">
        <f t="shared" si="1"/>
        <v>EUR3E6E12Y_LCHQuote</v>
      </c>
      <c r="M11" s="126" t="str">
        <f>_xll.qlSwapRateHelper2(,IF($L$3,$L11,$K11),$B11,$D11,Calendar,$G11,$H11,$I11,$N$3,$J11,$C11,Discounting1,,,Permanent,,ObjectOverwrite)</f>
        <v>obj_0065a#0001</v>
      </c>
      <c r="N11" s="124" t="str">
        <f>_xll.qlSwapRateHelper2(,IF($L$3,$L11,$K11),$B11,$D11,Calendar,$G11,$H11,$I11,$N$3,$J11,$C11,Discounting2,,,Permanent,,ObjectOverwrite)</f>
        <v>obj_00656#0001</v>
      </c>
      <c r="O11" s="191" t="str">
        <f>_xll.ohRangeRetrieveError(N11)</f>
        <v/>
      </c>
      <c r="P11" s="43"/>
    </row>
    <row r="12" spans="1:16" ht="11.25" customHeight="1" x14ac:dyDescent="0.2">
      <c r="A12" s="25"/>
      <c r="B12" s="96">
        <v>2</v>
      </c>
      <c r="C12" s="96" t="s">
        <v>65</v>
      </c>
      <c r="D12" s="96" t="s">
        <v>6</v>
      </c>
      <c r="E12" s="96" t="s">
        <v>115</v>
      </c>
      <c r="F12" s="96" t="s">
        <v>121</v>
      </c>
      <c r="G12" s="104" t="s">
        <v>120</v>
      </c>
      <c r="H12" s="101" t="s">
        <v>64</v>
      </c>
      <c r="I12" s="101" t="s">
        <v>118</v>
      </c>
      <c r="J12" s="105">
        <v>0</v>
      </c>
      <c r="K12" s="122" t="str">
        <f t="shared" si="0"/>
        <v>EURAB3E15Y_Quote</v>
      </c>
      <c r="L12" s="195" t="str">
        <f t="shared" si="1"/>
        <v>EUR3E6E15Y_LCHQuote</v>
      </c>
      <c r="M12" s="126" t="str">
        <f>_xll.qlSwapRateHelper2(,IF($L$3,$L12,$K12),$B12,$D12,Calendar,$G12,$H12,$I12,$N$3,$J12,$C12,Discounting1,,,Permanent,,ObjectOverwrite)</f>
        <v>obj_00665#0001</v>
      </c>
      <c r="N12" s="124" t="str">
        <f>_xll.qlSwapRateHelper2(,IF($L$3,$L12,$K12),$B12,$D12,Calendar,$G12,$H12,$I12,$N$3,$J12,$C12,Discounting2,,,Permanent,,ObjectOverwrite)</f>
        <v>obj_0065e#0001</v>
      </c>
      <c r="O12" s="191" t="str">
        <f>_xll.ohRangeRetrieveError(N12)</f>
        <v/>
      </c>
      <c r="P12" s="43"/>
    </row>
    <row r="13" spans="1:16" ht="11.25" customHeight="1" x14ac:dyDescent="0.2">
      <c r="A13" s="25"/>
      <c r="B13" s="96">
        <v>2</v>
      </c>
      <c r="C13" s="96" t="s">
        <v>65</v>
      </c>
      <c r="D13" s="96" t="s">
        <v>5</v>
      </c>
      <c r="E13" s="96" t="s">
        <v>115</v>
      </c>
      <c r="F13" s="96" t="s">
        <v>121</v>
      </c>
      <c r="G13" s="104" t="s">
        <v>120</v>
      </c>
      <c r="H13" s="101" t="s">
        <v>64</v>
      </c>
      <c r="I13" s="101" t="s">
        <v>118</v>
      </c>
      <c r="J13" s="105">
        <v>0</v>
      </c>
      <c r="K13" s="122" t="str">
        <f t="shared" si="0"/>
        <v>EURAB3E20Y_Quote</v>
      </c>
      <c r="L13" s="195" t="str">
        <f t="shared" si="1"/>
        <v>EUR3E6E20Y_LCHQuote</v>
      </c>
      <c r="M13" s="126" t="str">
        <f>_xll.qlSwapRateHelper2(,IF($L$3,$L13,$K13),$B13,$D13,Calendar,$G13,$H13,$I13,$N$3,$J13,$C13,Discounting1,,,Permanent,,ObjectOverwrite)</f>
        <v>obj_0064e#0001</v>
      </c>
      <c r="N13" s="124" t="str">
        <f>_xll.qlSwapRateHelper2(,IF($L$3,$L13,$K13),$B13,$D13,Calendar,$G13,$H13,$I13,$N$3,$J13,$C13,Discounting2,,,Permanent,,ObjectOverwrite)</f>
        <v>obj_00662#0001</v>
      </c>
      <c r="O13" s="191" t="str">
        <f>_xll.ohRangeRetrieveError(N13)</f>
        <v/>
      </c>
      <c r="P13" s="43"/>
    </row>
    <row r="14" spans="1:16" ht="11.25" customHeight="1" x14ac:dyDescent="0.2">
      <c r="A14" s="25"/>
      <c r="B14" s="96">
        <v>2</v>
      </c>
      <c r="C14" s="96" t="s">
        <v>65</v>
      </c>
      <c r="D14" s="96" t="s">
        <v>4</v>
      </c>
      <c r="E14" s="96" t="s">
        <v>115</v>
      </c>
      <c r="F14" s="96" t="s">
        <v>121</v>
      </c>
      <c r="G14" s="104" t="s">
        <v>120</v>
      </c>
      <c r="H14" s="101" t="s">
        <v>64</v>
      </c>
      <c r="I14" s="101" t="s">
        <v>118</v>
      </c>
      <c r="J14" s="105">
        <v>0</v>
      </c>
      <c r="K14" s="122" t="str">
        <f t="shared" si="0"/>
        <v>EURAB3E25Y_Quote</v>
      </c>
      <c r="L14" s="195" t="str">
        <f t="shared" si="1"/>
        <v>EUR3E6E25Y_LCHQuote</v>
      </c>
      <c r="M14" s="126" t="str">
        <f>_xll.qlSwapRateHelper2(,IF($L$3,$L14,$K14),$B14,$D14,Calendar,$G14,$H14,$I14,$N$3,$J14,$C14,Discounting1,,,Permanent,,ObjectOverwrite)</f>
        <v>obj_00660#0001</v>
      </c>
      <c r="N14" s="124" t="str">
        <f>_xll.qlSwapRateHelper2(,IF($L$3,$L14,$K14),$B14,$D14,Calendar,$G14,$H14,$I14,$N$3,$J14,$C14,Discounting2,,,Permanent,,ObjectOverwrite)</f>
        <v>obj_0065d#0001</v>
      </c>
      <c r="O14" s="191" t="str">
        <f>_xll.ohRangeRetrieveError(N14)</f>
        <v/>
      </c>
      <c r="P14" s="43"/>
    </row>
    <row r="15" spans="1:16" ht="11.25" customHeight="1" x14ac:dyDescent="0.2">
      <c r="A15" s="25"/>
      <c r="B15" s="96">
        <v>2</v>
      </c>
      <c r="C15" s="96" t="s">
        <v>65</v>
      </c>
      <c r="D15" s="96" t="s">
        <v>3</v>
      </c>
      <c r="E15" s="96" t="s">
        <v>115</v>
      </c>
      <c r="F15" s="96" t="s">
        <v>121</v>
      </c>
      <c r="G15" s="104" t="s">
        <v>120</v>
      </c>
      <c r="H15" s="101" t="s">
        <v>64</v>
      </c>
      <c r="I15" s="101" t="s">
        <v>118</v>
      </c>
      <c r="J15" s="105">
        <v>0</v>
      </c>
      <c r="K15" s="122" t="str">
        <f t="shared" si="0"/>
        <v>EURAB3E30Y_Quote</v>
      </c>
      <c r="L15" s="195" t="str">
        <f t="shared" si="1"/>
        <v>EUR3E6E30Y_LCHQuote</v>
      </c>
      <c r="M15" s="126" t="str">
        <f>_xll.qlSwapRateHelper2(,IF($L$3,$L15,$K15),$B15,$D15,Calendar,$G15,$H15,$I15,$N$3,$J15,$C15,Discounting1,,,Permanent,,ObjectOverwrite)</f>
        <v>obj_00664#0001</v>
      </c>
      <c r="N15" s="124" t="str">
        <f>_xll.qlSwapRateHelper2(,IF($L$3,$L15,$K15),$B15,$D15,Calendar,$G15,$H15,$I15,$N$3,$J15,$C15,Discounting2,,,Permanent,,ObjectOverwrite)</f>
        <v>obj_0065c#0001</v>
      </c>
      <c r="O15" s="191" t="str">
        <f>_xll.ohRangeRetrieveError(N15)</f>
        <v/>
      </c>
      <c r="P15" s="43"/>
    </row>
    <row r="16" spans="1:16" ht="11.25" customHeight="1" x14ac:dyDescent="0.2">
      <c r="A16" s="25"/>
      <c r="B16" s="96">
        <v>2</v>
      </c>
      <c r="C16" s="96" t="s">
        <v>65</v>
      </c>
      <c r="D16" s="96" t="s">
        <v>2</v>
      </c>
      <c r="E16" s="96" t="s">
        <v>115</v>
      </c>
      <c r="F16" s="96" t="s">
        <v>121</v>
      </c>
      <c r="G16" s="104" t="s">
        <v>120</v>
      </c>
      <c r="H16" s="101" t="s">
        <v>64</v>
      </c>
      <c r="I16" s="101" t="s">
        <v>118</v>
      </c>
      <c r="J16" s="105">
        <v>0</v>
      </c>
      <c r="K16" s="122" t="str">
        <f t="shared" si="0"/>
        <v>EURAB3E40Y_Quote</v>
      </c>
      <c r="L16" s="195" t="str">
        <f t="shared" si="1"/>
        <v>EUR3E6E40Y_LCHQuote</v>
      </c>
      <c r="M16" s="126" t="str">
        <f>_xll.qlSwapRateHelper2(,IF($L$3,$L16,$K16),$B16,$D16,Calendar,$G16,$H16,$I16,$N$3,$J16,$C16,Discounting1,,,Permanent,,ObjectOverwrite)</f>
        <v>obj_00654#0001</v>
      </c>
      <c r="N16" s="124" t="str">
        <f>_xll.qlSwapRateHelper2(,IF($L$3,$L16,$K16),$B16,$D16,Calendar,$G16,$H16,$I16,$N$3,$J16,$C16,Discounting2,,,Permanent,,ObjectOverwrite)</f>
        <v>obj_00651#0001</v>
      </c>
      <c r="O16" s="191" t="str">
        <f>_xll.ohRangeRetrieveError(N16)</f>
        <v/>
      </c>
      <c r="P16" s="43"/>
    </row>
    <row r="17" spans="1:16" ht="11.25" customHeight="1" x14ac:dyDescent="0.2">
      <c r="A17" s="25"/>
      <c r="B17" s="96">
        <v>2</v>
      </c>
      <c r="C17" s="96" t="s">
        <v>65</v>
      </c>
      <c r="D17" s="96" t="s">
        <v>1</v>
      </c>
      <c r="E17" s="96" t="s">
        <v>115</v>
      </c>
      <c r="F17" s="96" t="s">
        <v>121</v>
      </c>
      <c r="G17" s="104" t="s">
        <v>120</v>
      </c>
      <c r="H17" s="101" t="s">
        <v>64</v>
      </c>
      <c r="I17" s="101" t="s">
        <v>118</v>
      </c>
      <c r="J17" s="105">
        <v>0</v>
      </c>
      <c r="K17" s="122" t="str">
        <f t="shared" si="0"/>
        <v>EURAB3E50Y_Quote</v>
      </c>
      <c r="L17" s="195" t="str">
        <f t="shared" si="1"/>
        <v>EUR3E6E50Y_LCHQuote</v>
      </c>
      <c r="M17" s="126" t="str">
        <f>_xll.qlSwapRateHelper2(,IF($L$3,$L17,$K17),$B17,$D17,Calendar,$G17,$H17,$I17,$N$3,$J17,$C17,Discounting1,,,Permanent,,ObjectOverwrite)</f>
        <v>obj_00653#0001</v>
      </c>
      <c r="N17" s="124" t="str">
        <f>_xll.qlSwapRateHelper2(,IF($L$3,$L17,$K17),$B17,$D17,Calendar,$G17,$H17,$I17,$N$3,$J17,$C17,Discounting2,,,Permanent,,ObjectOverwrite)</f>
        <v>obj_00650#0001</v>
      </c>
      <c r="O17" s="191" t="str">
        <f>_xll.ohRangeRetrieveError(N17)</f>
        <v/>
      </c>
      <c r="P17" s="43"/>
    </row>
    <row r="18" spans="1:16" ht="11.25" customHeight="1" x14ac:dyDescent="0.2">
      <c r="A18" s="25"/>
      <c r="B18" s="97">
        <v>2</v>
      </c>
      <c r="C18" s="97" t="s">
        <v>65</v>
      </c>
      <c r="D18" s="97" t="s">
        <v>0</v>
      </c>
      <c r="E18" s="97" t="s">
        <v>115</v>
      </c>
      <c r="F18" s="97" t="s">
        <v>121</v>
      </c>
      <c r="G18" s="107" t="s">
        <v>120</v>
      </c>
      <c r="H18" s="38" t="s">
        <v>64</v>
      </c>
      <c r="I18" s="38" t="s">
        <v>118</v>
      </c>
      <c r="J18" s="108">
        <v>0</v>
      </c>
      <c r="K18" s="123" t="str">
        <f t="shared" si="0"/>
        <v>EURAB3E60Y_Quote</v>
      </c>
      <c r="L18" s="196" t="str">
        <f t="shared" si="1"/>
        <v>EUR3E6E60Y_LCHQuote</v>
      </c>
      <c r="M18" s="193" t="str">
        <f>_xll.qlSwapRateHelper2(,IF($L$3,$L18,$K18),$B18,$D18,Calendar,$G18,$H18,$I18,$N$3,$J18,$C18,Discounting1,,,Permanent,,ObjectOverwrite)</f>
        <v>obj_00652#0001</v>
      </c>
      <c r="N18" s="125" t="str">
        <f>_xll.qlSwapRateHelper2(,IF($L$3,$L18,$K18),$B18,$D18,Calendar,$G18,$H18,$I18,$N$3,$J18,$C18,Discounting2,,,Permanent,,ObjectOverwrite)</f>
        <v>obj_0064f#0001</v>
      </c>
      <c r="O18" s="192" t="str">
        <f>_xll.ohRangeRetrieveError(N18)</f>
        <v/>
      </c>
      <c r="P18" s="43"/>
    </row>
    <row r="19" spans="1:16" ht="12" thickBot="1" x14ac:dyDescent="0.25">
      <c r="A19" s="29"/>
      <c r="B19" s="30"/>
      <c r="C19" s="30"/>
      <c r="D19" s="30"/>
      <c r="E19" s="30"/>
      <c r="F19" s="30"/>
      <c r="G19" s="30"/>
      <c r="H19" s="30"/>
      <c r="I19" s="30"/>
      <c r="J19" s="30"/>
      <c r="K19" s="30"/>
      <c r="L19" s="30"/>
      <c r="M19" s="206" t="s">
        <v>99</v>
      </c>
      <c r="N19" s="216" t="s">
        <v>100</v>
      </c>
      <c r="O19" s="47"/>
      <c r="P19" s="48"/>
    </row>
    <row r="21" spans="1:16" x14ac:dyDescent="0.2">
      <c r="N21" s="197"/>
    </row>
    <row r="23" spans="1:16" x14ac:dyDescent="0.2">
      <c r="L23" s="246"/>
    </row>
  </sheetData>
  <dataValidations count="4">
    <dataValidation type="list" allowBlank="1" showInputMessage="1" showErrorMessage="1" sqref="H4:H18">
      <formula1>"Following,Modified Following,Preceding,Modified Preceding,Month End Reference,Unadjusted Month End,Unadjusted"</formula1>
    </dataValidation>
    <dataValidation type="list" allowBlank="1" showInputMessage="1" showErrorMessage="1" sqref="I4:I18">
      <formula1>"Actual/Actual (ISDA),Actual/360,30/360 (Bond Basis),30E/360 (Eurobond Basis),Actual/365 (Fixed),Actual/Actual (ISMA),Actual/Actual (AFB),1/1,30/360 (Italian),Simple"</formula1>
    </dataValidation>
    <dataValidation type="list" allowBlank="1" showInputMessage="1" showErrorMessage="1" sqref="G4:G18">
      <formula1>"Annual,Semiannual,EveryFourthMonth,Quarterly,Bimonthly,Monthly,Biweekly,Weekly,Daily,Once,NoFrequency"</formula1>
    </dataValidation>
    <dataValidation type="list" allowBlank="1" showInputMessage="1" showErrorMessage="1" sqref="L3:M3">
      <formula1>"TRUE, FALSE"</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P20"/>
  <sheetViews>
    <sheetView workbookViewId="0">
      <selection activeCell="L3" sqref="L3"/>
    </sheetView>
  </sheetViews>
  <sheetFormatPr defaultRowHeight="11.25" x14ac:dyDescent="0.2"/>
  <cols>
    <col min="1" max="1" width="2.7109375" style="197" customWidth="1"/>
    <col min="2" max="2" width="5.7109375" style="197" customWidth="1"/>
    <col min="3" max="3" width="6" style="197" customWidth="1"/>
    <col min="4" max="4" width="4" style="197" bestFit="1" customWidth="1"/>
    <col min="5" max="6" width="3" style="197" bestFit="1" customWidth="1"/>
    <col min="7" max="7" width="11" style="197" bestFit="1" customWidth="1"/>
    <col min="8" max="9" width="19.28515625" style="197" bestFit="1" customWidth="1"/>
    <col min="10" max="10" width="17.28515625" style="197" bestFit="1" customWidth="1"/>
    <col min="11" max="11" width="17.140625" style="197" customWidth="1"/>
    <col min="12" max="12" width="20.28515625" style="197" bestFit="1" customWidth="1"/>
    <col min="13" max="13" width="20.28515625" style="197" customWidth="1"/>
    <col min="14" max="14" width="24" style="198" customWidth="1"/>
    <col min="15" max="15" width="20.7109375" style="197" customWidth="1"/>
    <col min="16" max="16" width="2.7109375" style="197" customWidth="1"/>
    <col min="17" max="17" width="2.5703125" style="197" customWidth="1"/>
    <col min="18" max="18" width="4" style="197" bestFit="1" customWidth="1"/>
    <col min="19" max="19" width="3.28515625" style="197" bestFit="1" customWidth="1"/>
    <col min="20" max="20" width="3.5703125" style="197" bestFit="1" customWidth="1"/>
    <col min="21" max="16384" width="9.140625" style="197"/>
  </cols>
  <sheetData>
    <row r="1" spans="1:16" ht="11.25" customHeight="1" x14ac:dyDescent="0.2">
      <c r="A1" s="25"/>
      <c r="B1" s="21"/>
      <c r="C1" s="20"/>
      <c r="D1" s="20"/>
      <c r="E1" s="20"/>
      <c r="F1" s="20"/>
      <c r="G1" s="20"/>
      <c r="H1" s="20"/>
      <c r="I1" s="21" t="s">
        <v>122</v>
      </c>
      <c r="J1" s="21" t="s">
        <v>49</v>
      </c>
      <c r="K1" s="21" t="str">
        <f>Currency&amp;"_YC"&amp;$J$1&amp;"RH"</f>
        <v>EUR_YC3MRH</v>
      </c>
      <c r="L1" s="21"/>
      <c r="M1" s="21"/>
      <c r="N1" s="21" t="str">
        <f>K1&amp;"_SwapsFromBasis.xml"</f>
        <v>EUR_YC3MRH_SwapsFromBasis.xml</v>
      </c>
      <c r="O1" s="20"/>
      <c r="P1" s="43"/>
    </row>
    <row r="2" spans="1:16" ht="22.5" customHeight="1" x14ac:dyDescent="0.2">
      <c r="A2" s="25"/>
      <c r="B2" s="173" t="s">
        <v>80</v>
      </c>
      <c r="C2" s="173" t="s">
        <v>70</v>
      </c>
      <c r="D2" s="173"/>
      <c r="E2" s="173"/>
      <c r="F2" s="173"/>
      <c r="G2" s="173" t="s">
        <v>69</v>
      </c>
      <c r="H2" s="173" t="s">
        <v>68</v>
      </c>
      <c r="I2" s="173" t="s">
        <v>67</v>
      </c>
      <c r="J2" s="173" t="s">
        <v>66</v>
      </c>
      <c r="K2" s="173" t="s">
        <v>50</v>
      </c>
      <c r="L2" s="173" t="s">
        <v>83</v>
      </c>
      <c r="M2" s="173"/>
      <c r="N2" s="176" t="str">
        <f>IF(Serialize,_xll.ohObjectSave(N3:N18,SerializationPath&amp;N1,FileOverwrite,Serialize),"---")</f>
        <v>---</v>
      </c>
      <c r="O2" s="188" t="str">
        <f>_xll.ohRangeRetrieveError(N2)</f>
        <v/>
      </c>
      <c r="P2" s="43"/>
    </row>
    <row r="3" spans="1:16" ht="11.25" customHeight="1" x14ac:dyDescent="0.2">
      <c r="A3" s="19"/>
      <c r="B3" s="189"/>
      <c r="C3" s="189"/>
      <c r="D3" s="189"/>
      <c r="E3" s="189"/>
      <c r="F3" s="189"/>
      <c r="G3" s="189"/>
      <c r="H3" s="189"/>
      <c r="I3" s="189"/>
      <c r="J3" s="189"/>
      <c r="K3" s="189"/>
      <c r="L3" s="186" t="b">
        <v>1</v>
      </c>
      <c r="M3" s="186"/>
      <c r="N3" s="39" t="str">
        <f>_xll.qlEuribor(,$J$1,,Permanent,Trigger,ObjectOverwrite)</f>
        <v>obj_00621#0001</v>
      </c>
      <c r="O3" s="189" t="str">
        <f>_xll.ohRangeRetrieveError(N3)</f>
        <v/>
      </c>
      <c r="P3" s="43"/>
    </row>
    <row r="4" spans="1:16" ht="11.25" customHeight="1" x14ac:dyDescent="0.2">
      <c r="A4" s="25"/>
      <c r="B4" s="96">
        <v>2</v>
      </c>
      <c r="C4" s="96" t="s">
        <v>123</v>
      </c>
      <c r="D4" s="96" t="s">
        <v>14</v>
      </c>
      <c r="E4" s="96" t="s">
        <v>115</v>
      </c>
      <c r="F4" s="96" t="s">
        <v>121</v>
      </c>
      <c r="G4" s="101" t="str">
        <f t="shared" ref="G4:G18" si="0">IF(UPPER(LEFT($E4))="A","Annual",IF(UPPER(LEFT($E4))="S","Semiannual","--"))</f>
        <v>Annual</v>
      </c>
      <c r="H4" s="101" t="s">
        <v>64</v>
      </c>
      <c r="I4" s="101" t="str">
        <f t="shared" ref="I4:I18" si="1">IF(UPPER(RIGHT($E4))="B",BondBasisDayCounter,IF(UPPER(RIGHT($E4))="M",MoneyMarketDayCounter,"--"))</f>
        <v>30/360 (Bond Basis)</v>
      </c>
      <c r="J4" s="105">
        <v>0</v>
      </c>
      <c r="K4" s="106" t="str">
        <f t="shared" ref="K4:K18" si="2">Currency&amp;$F4&amp;$I$1&amp;$D4&amp;QuoteSuffix</f>
        <v>EUR3E6E4Y_Quote</v>
      </c>
      <c r="L4" s="106" t="str">
        <f t="shared" ref="L4:L18" si="3">Currency&amp;$F4&amp;$I$1&amp;$D4&amp;LCHQuoteSuffix</f>
        <v>EUR3E6E4Y_LCHQuote</v>
      </c>
      <c r="M4" s="106" t="str">
        <f>_xll.qlSwapRateHelper2(,IF($L$3,$L4,$K4),$B4,$D4,Calendar,$G4,$H4,$I4,$N$3,$J4,$C4,Discounting1,,,Permanent,Trigger,ObjectOverwrite)</f>
        <v>obj_00637#0001</v>
      </c>
      <c r="N4" s="96" t="str">
        <f>_xll.qlSwapRateHelper2(,IF($L$3,$L4,$K4),$B4,$D4,Calendar,$G4,$H4,$I4,$N$3,$J4,$C4,Discounting2,,,Permanent,Trigger,ObjectOverwrite)</f>
        <v>obj_00635#0001</v>
      </c>
      <c r="O4" s="191" t="str">
        <f>_xll.ohRangeRetrieveError(N4)</f>
        <v/>
      </c>
      <c r="P4" s="43"/>
    </row>
    <row r="5" spans="1:16" ht="11.25" customHeight="1" x14ac:dyDescent="0.2">
      <c r="A5" s="25"/>
      <c r="B5" s="96">
        <v>2</v>
      </c>
      <c r="C5" s="96" t="s">
        <v>123</v>
      </c>
      <c r="D5" s="96" t="s">
        <v>13</v>
      </c>
      <c r="E5" s="96" t="s">
        <v>115</v>
      </c>
      <c r="F5" s="96" t="s">
        <v>121</v>
      </c>
      <c r="G5" s="101" t="str">
        <f t="shared" si="0"/>
        <v>Annual</v>
      </c>
      <c r="H5" s="101" t="s">
        <v>64</v>
      </c>
      <c r="I5" s="101" t="str">
        <f t="shared" si="1"/>
        <v>30/360 (Bond Basis)</v>
      </c>
      <c r="J5" s="105">
        <v>0</v>
      </c>
      <c r="K5" s="106" t="str">
        <f t="shared" si="2"/>
        <v>EUR3E6E5Y_Quote</v>
      </c>
      <c r="L5" s="106" t="str">
        <f t="shared" si="3"/>
        <v>EUR3E6E5Y_LCHQuote</v>
      </c>
      <c r="M5" s="106" t="str">
        <f>_xll.qlSwapRateHelper2(,IF($L$3,$L5,$K5),$B5,$D5,Calendar,$G5,$H5,$I5,$N$3,$J5,$C5,Discounting1,,,Permanent,Trigger,ObjectOverwrite)</f>
        <v>obj_00649#0001</v>
      </c>
      <c r="N5" s="96" t="str">
        <f>_xll.qlSwapRateHelper2(,IF($L$3,$L5,$K5),$B5,$D5,Calendar,$G5,$H5,$I5,$N$3,$J5,$C5,Discounting2,,,Permanent,Trigger,ObjectOverwrite)</f>
        <v>obj_00639#0001</v>
      </c>
      <c r="O5" s="191" t="str">
        <f>_xll.ohRangeRetrieveError(N5)</f>
        <v/>
      </c>
      <c r="P5" s="43"/>
    </row>
    <row r="6" spans="1:16" ht="11.25" customHeight="1" x14ac:dyDescent="0.2">
      <c r="A6" s="25"/>
      <c r="B6" s="96">
        <v>2</v>
      </c>
      <c r="C6" s="96" t="s">
        <v>123</v>
      </c>
      <c r="D6" s="96" t="s">
        <v>12</v>
      </c>
      <c r="E6" s="96" t="s">
        <v>115</v>
      </c>
      <c r="F6" s="96" t="s">
        <v>121</v>
      </c>
      <c r="G6" s="101" t="str">
        <f t="shared" si="0"/>
        <v>Annual</v>
      </c>
      <c r="H6" s="101" t="s">
        <v>64</v>
      </c>
      <c r="I6" s="101" t="str">
        <f t="shared" si="1"/>
        <v>30/360 (Bond Basis)</v>
      </c>
      <c r="J6" s="105">
        <v>0</v>
      </c>
      <c r="K6" s="106" t="str">
        <f t="shared" si="2"/>
        <v>EUR3E6E6Y_Quote</v>
      </c>
      <c r="L6" s="106" t="str">
        <f t="shared" si="3"/>
        <v>EUR3E6E6Y_LCHQuote</v>
      </c>
      <c r="M6" s="106" t="str">
        <f>_xll.qlSwapRateHelper2(,IF($L$3,$L6,$K6),$B6,$D6,Calendar,$G6,$H6,$I6,$N$3,$J6,$C6,Discounting1,,,Permanent,Trigger,ObjectOverwrite)</f>
        <v>obj_00631#0001</v>
      </c>
      <c r="N6" s="96" t="str">
        <f>_xll.qlSwapRateHelper2(,IF($L$3,$L6,$K6),$B6,$D6,Calendar,$G6,$H6,$I6,$N$3,$J6,$C6,Discounting2,,,Permanent,Trigger,ObjectOverwrite)</f>
        <v>obj_00646#0001</v>
      </c>
      <c r="O6" s="191" t="str">
        <f>_xll.ohRangeRetrieveError(N6)</f>
        <v/>
      </c>
      <c r="P6" s="43"/>
    </row>
    <row r="7" spans="1:16" ht="11.25" customHeight="1" x14ac:dyDescent="0.2">
      <c r="A7" s="25"/>
      <c r="B7" s="96">
        <v>2</v>
      </c>
      <c r="C7" s="96" t="s">
        <v>123</v>
      </c>
      <c r="D7" s="96" t="s">
        <v>11</v>
      </c>
      <c r="E7" s="96" t="s">
        <v>115</v>
      </c>
      <c r="F7" s="96" t="s">
        <v>121</v>
      </c>
      <c r="G7" s="101" t="str">
        <f t="shared" si="0"/>
        <v>Annual</v>
      </c>
      <c r="H7" s="101" t="s">
        <v>64</v>
      </c>
      <c r="I7" s="101" t="str">
        <f t="shared" si="1"/>
        <v>30/360 (Bond Basis)</v>
      </c>
      <c r="J7" s="105">
        <v>0</v>
      </c>
      <c r="K7" s="106" t="str">
        <f t="shared" si="2"/>
        <v>EUR3E6E7Y_Quote</v>
      </c>
      <c r="L7" s="106" t="str">
        <f t="shared" si="3"/>
        <v>EUR3E6E7Y_LCHQuote</v>
      </c>
      <c r="M7" s="106" t="str">
        <f>_xll.qlSwapRateHelper2(,IF($L$3,$L7,$K7),$B7,$D7,Calendar,$G7,$H7,$I7,$N$3,$J7,$C7,Discounting1,,,Permanent,Trigger,ObjectOverwrite)</f>
        <v>obj_00638#0001</v>
      </c>
      <c r="N7" s="96" t="str">
        <f>_xll.qlSwapRateHelper2(,IF($L$3,$L7,$K7),$B7,$D7,Calendar,$G7,$H7,$I7,$N$3,$J7,$C7,Discounting2,,,Permanent,Trigger,ObjectOverwrite)</f>
        <v>obj_00633#0001</v>
      </c>
      <c r="O7" s="191" t="str">
        <f>_xll.ohRangeRetrieveError(N7)</f>
        <v/>
      </c>
      <c r="P7" s="43"/>
    </row>
    <row r="8" spans="1:16" ht="11.25" customHeight="1" x14ac:dyDescent="0.2">
      <c r="A8" s="25"/>
      <c r="B8" s="96">
        <v>2</v>
      </c>
      <c r="C8" s="96" t="s">
        <v>123</v>
      </c>
      <c r="D8" s="96" t="s">
        <v>10</v>
      </c>
      <c r="E8" s="96" t="s">
        <v>115</v>
      </c>
      <c r="F8" s="96" t="s">
        <v>121</v>
      </c>
      <c r="G8" s="101" t="str">
        <f t="shared" si="0"/>
        <v>Annual</v>
      </c>
      <c r="H8" s="101" t="s">
        <v>64</v>
      </c>
      <c r="I8" s="101" t="str">
        <f t="shared" si="1"/>
        <v>30/360 (Bond Basis)</v>
      </c>
      <c r="J8" s="105">
        <v>0</v>
      </c>
      <c r="K8" s="106" t="str">
        <f t="shared" si="2"/>
        <v>EUR3E6E8Y_Quote</v>
      </c>
      <c r="L8" s="106" t="str">
        <f t="shared" si="3"/>
        <v>EUR3E6E8Y_LCHQuote</v>
      </c>
      <c r="M8" s="106" t="str">
        <f>_xll.qlSwapRateHelper2(,IF($L$3,$L8,$K8),$B8,$D8,Calendar,$G8,$H8,$I8,$N$3,$J8,$C8,Discounting1,,,Permanent,Trigger,ObjectOverwrite)</f>
        <v>obj_0063f#0001</v>
      </c>
      <c r="N8" s="96" t="str">
        <f>_xll.qlSwapRateHelper2(,IF($L$3,$L8,$K8),$B8,$D8,Calendar,$G8,$H8,$I8,$N$3,$J8,$C8,Discounting2,,,Permanent,Trigger,ObjectOverwrite)</f>
        <v>obj_00636#0001</v>
      </c>
      <c r="O8" s="191" t="str">
        <f>_xll.ohRangeRetrieveError(N8)</f>
        <v/>
      </c>
      <c r="P8" s="43"/>
    </row>
    <row r="9" spans="1:16" ht="11.25" customHeight="1" x14ac:dyDescent="0.2">
      <c r="A9" s="25"/>
      <c r="B9" s="96">
        <v>2</v>
      </c>
      <c r="C9" s="96" t="s">
        <v>123</v>
      </c>
      <c r="D9" s="96" t="s">
        <v>9</v>
      </c>
      <c r="E9" s="96" t="s">
        <v>115</v>
      </c>
      <c r="F9" s="96" t="s">
        <v>121</v>
      </c>
      <c r="G9" s="101" t="str">
        <f t="shared" si="0"/>
        <v>Annual</v>
      </c>
      <c r="H9" s="101" t="s">
        <v>64</v>
      </c>
      <c r="I9" s="101" t="str">
        <f t="shared" si="1"/>
        <v>30/360 (Bond Basis)</v>
      </c>
      <c r="J9" s="105">
        <v>0</v>
      </c>
      <c r="K9" s="106" t="str">
        <f t="shared" si="2"/>
        <v>EUR3E6E9Y_Quote</v>
      </c>
      <c r="L9" s="106" t="str">
        <f t="shared" si="3"/>
        <v>EUR3E6E9Y_LCHQuote</v>
      </c>
      <c r="M9" s="106" t="str">
        <f>_xll.qlSwapRateHelper2(,IF($L$3,$L9,$K9),$B9,$D9,Calendar,$G9,$H9,$I9,$N$3,$J9,$C9,Discounting1,,,Permanent,Trigger,ObjectOverwrite)</f>
        <v>obj_0063b#0001</v>
      </c>
      <c r="N9" s="96" t="str">
        <f>_xll.qlSwapRateHelper2(,IF($L$3,$L9,$K9),$B9,$D9,Calendar,$G9,$H9,$I9,$N$3,$J9,$C9,Discounting2,,,Permanent,Trigger,ObjectOverwrite)</f>
        <v>obj_00641#0001</v>
      </c>
      <c r="O9" s="191" t="str">
        <f>_xll.ohRangeRetrieveError(N9)</f>
        <v/>
      </c>
      <c r="P9" s="43"/>
    </row>
    <row r="10" spans="1:16" ht="11.25" customHeight="1" x14ac:dyDescent="0.2">
      <c r="A10" s="25"/>
      <c r="B10" s="96">
        <v>2</v>
      </c>
      <c r="C10" s="96" t="s">
        <v>123</v>
      </c>
      <c r="D10" s="96" t="s">
        <v>8</v>
      </c>
      <c r="E10" s="96" t="s">
        <v>115</v>
      </c>
      <c r="F10" s="96" t="s">
        <v>121</v>
      </c>
      <c r="G10" s="101" t="str">
        <f t="shared" si="0"/>
        <v>Annual</v>
      </c>
      <c r="H10" s="101" t="s">
        <v>64</v>
      </c>
      <c r="I10" s="101" t="str">
        <f t="shared" si="1"/>
        <v>30/360 (Bond Basis)</v>
      </c>
      <c r="J10" s="105">
        <v>0</v>
      </c>
      <c r="K10" s="106" t="str">
        <f t="shared" si="2"/>
        <v>EUR3E6E10Y_Quote</v>
      </c>
      <c r="L10" s="106" t="str">
        <f t="shared" si="3"/>
        <v>EUR3E6E10Y_LCHQuote</v>
      </c>
      <c r="M10" s="106" t="str">
        <f>_xll.qlSwapRateHelper2(,IF($L$3,$L10,$K10),$B10,$D10,Calendar,$G10,$H10,$I10,$N$3,$J10,$C10,Discounting1,,,Permanent,Trigger,ObjectOverwrite)</f>
        <v>obj_0062e#0001</v>
      </c>
      <c r="N10" s="96" t="str">
        <f>_xll.qlSwapRateHelper2(,IF($L$3,$L10,$K10),$B10,$D10,Calendar,$G10,$H10,$I10,$N$3,$J10,$C10,Discounting2,,,Permanent,Trigger,ObjectOverwrite)</f>
        <v>obj_00645#0001</v>
      </c>
      <c r="O10" s="191" t="str">
        <f>_xll.ohRangeRetrieveError(N10)</f>
        <v/>
      </c>
      <c r="P10" s="43"/>
    </row>
    <row r="11" spans="1:16" ht="11.25" customHeight="1" x14ac:dyDescent="0.2">
      <c r="A11" s="25"/>
      <c r="B11" s="96">
        <v>2</v>
      </c>
      <c r="C11" s="96" t="s">
        <v>123</v>
      </c>
      <c r="D11" s="96" t="s">
        <v>7</v>
      </c>
      <c r="E11" s="96" t="s">
        <v>115</v>
      </c>
      <c r="F11" s="96" t="s">
        <v>121</v>
      </c>
      <c r="G11" s="101" t="str">
        <f t="shared" si="0"/>
        <v>Annual</v>
      </c>
      <c r="H11" s="101" t="s">
        <v>64</v>
      </c>
      <c r="I11" s="101" t="str">
        <f t="shared" si="1"/>
        <v>30/360 (Bond Basis)</v>
      </c>
      <c r="J11" s="105">
        <v>0</v>
      </c>
      <c r="K11" s="106" t="str">
        <f t="shared" si="2"/>
        <v>EUR3E6E12Y_Quote</v>
      </c>
      <c r="L11" s="106" t="str">
        <f t="shared" si="3"/>
        <v>EUR3E6E12Y_LCHQuote</v>
      </c>
      <c r="M11" s="106" t="str">
        <f>_xll.qlSwapRateHelper2(,IF($L$3,$L11,$K11),$B11,$D11,Calendar,$G11,$H11,$I11,$N$3,$J11,$C11,Discounting1,,,Permanent,Trigger,ObjectOverwrite)</f>
        <v>obj_0063e#0001</v>
      </c>
      <c r="N11" s="96" t="str">
        <f>_xll.qlSwapRateHelper2(,IF($L$3,$L11,$K11),$B11,$D11,Calendar,$G11,$H11,$I11,$N$3,$J11,$C11,Discounting2,,,Permanent,Trigger,ObjectOverwrite)</f>
        <v>obj_0063d#0001</v>
      </c>
      <c r="O11" s="191" t="str">
        <f>_xll.ohRangeRetrieveError(N11)</f>
        <v/>
      </c>
      <c r="P11" s="43"/>
    </row>
    <row r="12" spans="1:16" ht="11.25" customHeight="1" x14ac:dyDescent="0.2">
      <c r="A12" s="25"/>
      <c r="B12" s="96">
        <v>2</v>
      </c>
      <c r="C12" s="96" t="s">
        <v>123</v>
      </c>
      <c r="D12" s="96" t="s">
        <v>6</v>
      </c>
      <c r="E12" s="96" t="s">
        <v>115</v>
      </c>
      <c r="F12" s="96" t="s">
        <v>121</v>
      </c>
      <c r="G12" s="101" t="str">
        <f t="shared" si="0"/>
        <v>Annual</v>
      </c>
      <c r="H12" s="101" t="s">
        <v>64</v>
      </c>
      <c r="I12" s="101" t="str">
        <f t="shared" si="1"/>
        <v>30/360 (Bond Basis)</v>
      </c>
      <c r="J12" s="105">
        <v>0</v>
      </c>
      <c r="K12" s="106" t="str">
        <f t="shared" si="2"/>
        <v>EUR3E6E15Y_Quote</v>
      </c>
      <c r="L12" s="106" t="str">
        <f t="shared" si="3"/>
        <v>EUR3E6E15Y_LCHQuote</v>
      </c>
      <c r="M12" s="106" t="str">
        <f>_xll.qlSwapRateHelper2(,IF($L$3,$L12,$K12),$B12,$D12,Calendar,$G12,$H12,$I12,$N$3,$J12,$C12,Discounting1,,,Permanent,Trigger,ObjectOverwrite)</f>
        <v>obj_00647#0001</v>
      </c>
      <c r="N12" s="96" t="str">
        <f>_xll.qlSwapRateHelper2(,IF($L$3,$L12,$K12),$B12,$D12,Calendar,$G12,$H12,$I12,$N$3,$J12,$C12,Discounting2,,,Permanent,Trigger,ObjectOverwrite)</f>
        <v>obj_00640#0001</v>
      </c>
      <c r="O12" s="191" t="str">
        <f>_xll.ohRangeRetrieveError(N12)</f>
        <v/>
      </c>
      <c r="P12" s="43"/>
    </row>
    <row r="13" spans="1:16" ht="11.25" customHeight="1" x14ac:dyDescent="0.2">
      <c r="A13" s="25"/>
      <c r="B13" s="96">
        <v>2</v>
      </c>
      <c r="C13" s="96" t="s">
        <v>123</v>
      </c>
      <c r="D13" s="96" t="s">
        <v>5</v>
      </c>
      <c r="E13" s="96" t="s">
        <v>115</v>
      </c>
      <c r="F13" s="96" t="s">
        <v>121</v>
      </c>
      <c r="G13" s="101" t="str">
        <f t="shared" si="0"/>
        <v>Annual</v>
      </c>
      <c r="H13" s="101" t="s">
        <v>64</v>
      </c>
      <c r="I13" s="101" t="str">
        <f t="shared" si="1"/>
        <v>30/360 (Bond Basis)</v>
      </c>
      <c r="J13" s="105">
        <v>0</v>
      </c>
      <c r="K13" s="106" t="str">
        <f t="shared" si="2"/>
        <v>EUR3E6E20Y_Quote</v>
      </c>
      <c r="L13" s="106" t="str">
        <f t="shared" si="3"/>
        <v>EUR3E6E20Y_LCHQuote</v>
      </c>
      <c r="M13" s="106" t="str">
        <f>_xll.qlSwapRateHelper2(,IF($L$3,$L13,$K13),$B13,$D13,Calendar,$G13,$H13,$I13,$N$3,$J13,$C13,Discounting1,,,Permanent,Trigger,ObjectOverwrite)</f>
        <v>obj_0062d#0001</v>
      </c>
      <c r="N13" s="96" t="str">
        <f>_xll.qlSwapRateHelper2(,IF($L$3,$L13,$K13),$B13,$D13,Calendar,$G13,$H13,$I13,$N$3,$J13,$C13,Discounting2,,,Permanent,Trigger,ObjectOverwrite)</f>
        <v>obj_00648#0001</v>
      </c>
      <c r="O13" s="191" t="str">
        <f>_xll.ohRangeRetrieveError(N13)</f>
        <v/>
      </c>
      <c r="P13" s="43"/>
    </row>
    <row r="14" spans="1:16" ht="11.25" customHeight="1" x14ac:dyDescent="0.2">
      <c r="A14" s="25"/>
      <c r="B14" s="96">
        <v>2</v>
      </c>
      <c r="C14" s="96" t="s">
        <v>123</v>
      </c>
      <c r="D14" s="96" t="s">
        <v>4</v>
      </c>
      <c r="E14" s="96" t="s">
        <v>115</v>
      </c>
      <c r="F14" s="96" t="s">
        <v>121</v>
      </c>
      <c r="G14" s="101" t="str">
        <f t="shared" si="0"/>
        <v>Annual</v>
      </c>
      <c r="H14" s="101" t="s">
        <v>64</v>
      </c>
      <c r="I14" s="101" t="str">
        <f t="shared" si="1"/>
        <v>30/360 (Bond Basis)</v>
      </c>
      <c r="J14" s="105">
        <v>0</v>
      </c>
      <c r="K14" s="106" t="str">
        <f t="shared" si="2"/>
        <v>EUR3E6E25Y_Quote</v>
      </c>
      <c r="L14" s="106" t="str">
        <f t="shared" si="3"/>
        <v>EUR3E6E25Y_LCHQuote</v>
      </c>
      <c r="M14" s="106" t="str">
        <f>_xll.qlSwapRateHelper2(,IF($L$3,$L14,$K14),$B14,$D14,Calendar,$G14,$H14,$I14,$N$3,$J14,$C14,Discounting1,,,Permanent,Trigger,ObjectOverwrite)</f>
        <v>obj_00634#0001</v>
      </c>
      <c r="N14" s="96" t="str">
        <f>_xll.qlSwapRateHelper2(,IF($L$3,$L14,$K14),$B14,$D14,Calendar,$G14,$H14,$I14,$N$3,$J14,$C14,Discounting2,,,Permanent,Trigger,ObjectOverwrite)</f>
        <v>obj_0064a#0001</v>
      </c>
      <c r="O14" s="191" t="str">
        <f>_xll.ohRangeRetrieveError(N14)</f>
        <v/>
      </c>
      <c r="P14" s="43"/>
    </row>
    <row r="15" spans="1:16" ht="11.25" customHeight="1" x14ac:dyDescent="0.2">
      <c r="A15" s="25"/>
      <c r="B15" s="96">
        <v>2</v>
      </c>
      <c r="C15" s="96" t="s">
        <v>123</v>
      </c>
      <c r="D15" s="96" t="s">
        <v>3</v>
      </c>
      <c r="E15" s="96" t="s">
        <v>115</v>
      </c>
      <c r="F15" s="96" t="s">
        <v>121</v>
      </c>
      <c r="G15" s="101" t="str">
        <f t="shared" si="0"/>
        <v>Annual</v>
      </c>
      <c r="H15" s="101" t="s">
        <v>64</v>
      </c>
      <c r="I15" s="101" t="str">
        <f t="shared" si="1"/>
        <v>30/360 (Bond Basis)</v>
      </c>
      <c r="J15" s="105">
        <v>0</v>
      </c>
      <c r="K15" s="106" t="str">
        <f t="shared" si="2"/>
        <v>EUR3E6E30Y_Quote</v>
      </c>
      <c r="L15" s="106" t="str">
        <f t="shared" si="3"/>
        <v>EUR3E6E30Y_LCHQuote</v>
      </c>
      <c r="M15" s="106" t="str">
        <f>_xll.qlSwapRateHelper2(,IF($L$3,$L15,$K15),$B15,$D15,Calendar,$G15,$H15,$I15,$N$3,$J15,$C15,Discounting1,,,Permanent,Trigger,ObjectOverwrite)</f>
        <v>obj_0063c#0001</v>
      </c>
      <c r="N15" s="96" t="str">
        <f>_xll.qlSwapRateHelper2(,IF($L$3,$L15,$K15),$B15,$D15,Calendar,$G15,$H15,$I15,$N$3,$J15,$C15,Discounting2,,,Permanent,Trigger,ObjectOverwrite)</f>
        <v>obj_0062f#0001</v>
      </c>
      <c r="O15" s="191" t="str">
        <f>_xll.ohRangeRetrieveError(N15)</f>
        <v/>
      </c>
      <c r="P15" s="43"/>
    </row>
    <row r="16" spans="1:16" ht="11.25" customHeight="1" x14ac:dyDescent="0.2">
      <c r="A16" s="25"/>
      <c r="B16" s="96">
        <v>2</v>
      </c>
      <c r="C16" s="96" t="s">
        <v>123</v>
      </c>
      <c r="D16" s="96" t="s">
        <v>2</v>
      </c>
      <c r="E16" s="96" t="s">
        <v>115</v>
      </c>
      <c r="F16" s="96" t="s">
        <v>121</v>
      </c>
      <c r="G16" s="101" t="str">
        <f t="shared" si="0"/>
        <v>Annual</v>
      </c>
      <c r="H16" s="101" t="s">
        <v>64</v>
      </c>
      <c r="I16" s="101" t="str">
        <f t="shared" si="1"/>
        <v>30/360 (Bond Basis)</v>
      </c>
      <c r="J16" s="105">
        <v>0</v>
      </c>
      <c r="K16" s="106" t="str">
        <f t="shared" si="2"/>
        <v>EUR3E6E40Y_Quote</v>
      </c>
      <c r="L16" s="106" t="str">
        <f t="shared" si="3"/>
        <v>EUR3E6E40Y_LCHQuote</v>
      </c>
      <c r="M16" s="106" t="str">
        <f>_xll.qlSwapRateHelper2(,IF($L$3,$L16,$K16),$B16,$D16,Calendar,$G16,$H16,$I16,$N$3,$J16,$C16,Discounting1,,,Permanent,Trigger,ObjectOverwrite)</f>
        <v>obj_00642#0001</v>
      </c>
      <c r="N16" s="96" t="str">
        <f>_xll.qlSwapRateHelper2(,IF($L$3,$L16,$K16),$B16,$D16,Calendar,$G16,$H16,$I16,$N$3,$J16,$C16,Discounting2,,,Permanent,Trigger,ObjectOverwrite)</f>
        <v>obj_0063a#0001</v>
      </c>
      <c r="O16" s="191" t="str">
        <f>_xll.ohRangeRetrieveError(N16)</f>
        <v/>
      </c>
      <c r="P16" s="43"/>
    </row>
    <row r="17" spans="1:16" ht="11.25" customHeight="1" x14ac:dyDescent="0.2">
      <c r="A17" s="25"/>
      <c r="B17" s="96">
        <v>2</v>
      </c>
      <c r="C17" s="96" t="s">
        <v>123</v>
      </c>
      <c r="D17" s="96" t="s">
        <v>1</v>
      </c>
      <c r="E17" s="96" t="s">
        <v>115</v>
      </c>
      <c r="F17" s="96" t="s">
        <v>121</v>
      </c>
      <c r="G17" s="101" t="str">
        <f t="shared" si="0"/>
        <v>Annual</v>
      </c>
      <c r="H17" s="101" t="s">
        <v>64</v>
      </c>
      <c r="I17" s="101" t="str">
        <f t="shared" si="1"/>
        <v>30/360 (Bond Basis)</v>
      </c>
      <c r="J17" s="105">
        <v>0</v>
      </c>
      <c r="K17" s="106" t="str">
        <f t="shared" si="2"/>
        <v>EUR3E6E50Y_Quote</v>
      </c>
      <c r="L17" s="106" t="str">
        <f t="shared" si="3"/>
        <v>EUR3E6E50Y_LCHQuote</v>
      </c>
      <c r="M17" s="106" t="str">
        <f>_xll.qlSwapRateHelper2(,IF($L$3,$L17,$K17),$B17,$D17,Calendar,$G17,$H17,$I17,$N$3,$J17,$C17,Discounting1,,,Permanent,Trigger,ObjectOverwrite)</f>
        <v>obj_00644#0001</v>
      </c>
      <c r="N17" s="96" t="str">
        <f>_xll.qlSwapRateHelper2(,IF($L$3,$L17,$K17),$B17,$D17,Calendar,$G17,$H17,$I17,$N$3,$J17,$C17,Discounting2,,,Permanent,Trigger,ObjectOverwrite)</f>
        <v>obj_00643#0001</v>
      </c>
      <c r="O17" s="191" t="str">
        <f>_xll.ohRangeRetrieveError(N17)</f>
        <v/>
      </c>
      <c r="P17" s="43"/>
    </row>
    <row r="18" spans="1:16" ht="11.25" customHeight="1" x14ac:dyDescent="0.2">
      <c r="A18" s="25"/>
      <c r="B18" s="97">
        <v>2</v>
      </c>
      <c r="C18" s="97" t="s">
        <v>123</v>
      </c>
      <c r="D18" s="97" t="s">
        <v>0</v>
      </c>
      <c r="E18" s="97" t="s">
        <v>115</v>
      </c>
      <c r="F18" s="97" t="s">
        <v>121</v>
      </c>
      <c r="G18" s="38" t="str">
        <f t="shared" si="0"/>
        <v>Annual</v>
      </c>
      <c r="H18" s="38" t="s">
        <v>64</v>
      </c>
      <c r="I18" s="38" t="str">
        <f t="shared" si="1"/>
        <v>30/360 (Bond Basis)</v>
      </c>
      <c r="J18" s="108">
        <v>0</v>
      </c>
      <c r="K18" s="109" t="str">
        <f t="shared" si="2"/>
        <v>EUR3E6E60Y_Quote</v>
      </c>
      <c r="L18" s="109" t="str">
        <f t="shared" si="3"/>
        <v>EUR3E6E60Y_LCHQuote</v>
      </c>
      <c r="M18" s="109" t="str">
        <f>_xll.qlSwapRateHelper2(,IF($L$3,$L18,$K18),$B18,$D18,Calendar,$G18,$H18,$I18,$N$3,$J18,$C18,Discounting1,,,Permanent,Trigger,ObjectOverwrite)</f>
        <v>obj_00632#0001</v>
      </c>
      <c r="N18" s="97" t="str">
        <f>_xll.qlSwapRateHelper2(,IF($L$3,$L18,$K18),$B18,$D18,Calendar,$G18,$H18,$I18,$N$3,$J18,$C18,Discounting2,,,Permanent,Trigger,ObjectOverwrite)</f>
        <v>obj_00630#0001</v>
      </c>
      <c r="O18" s="192" t="str">
        <f>_xll.ohRangeRetrieveError(N18)</f>
        <v/>
      </c>
      <c r="P18" s="43"/>
    </row>
    <row r="19" spans="1:16" ht="11.25" customHeight="1" thickBot="1" x14ac:dyDescent="0.25">
      <c r="A19" s="29"/>
      <c r="B19" s="206" t="s">
        <v>96</v>
      </c>
      <c r="C19" s="30"/>
      <c r="D19" s="30"/>
      <c r="E19" s="30"/>
      <c r="F19" s="30"/>
      <c r="G19" s="30"/>
      <c r="H19" s="30"/>
      <c r="I19" s="30"/>
      <c r="J19" s="30"/>
      <c r="K19" s="30"/>
      <c r="L19" s="30"/>
      <c r="M19" s="206" t="s">
        <v>99</v>
      </c>
      <c r="N19" s="216" t="s">
        <v>100</v>
      </c>
      <c r="O19" s="47"/>
      <c r="P19" s="48"/>
    </row>
    <row r="20" spans="1:16" x14ac:dyDescent="0.2">
      <c r="B20" s="217" t="s">
        <v>101</v>
      </c>
    </row>
  </sheetData>
  <dataValidations count="2">
    <dataValidation type="list" allowBlank="1" showInputMessage="1" showErrorMessage="1" sqref="L3:M3">
      <formula1>"TRUE, FALSE"</formula1>
    </dataValidation>
    <dataValidation type="list" allowBlank="1" showInputMessage="1" showErrorMessage="1" sqref="H4:H18">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F1411"/>
  <sheetViews>
    <sheetView topLeftCell="F1" workbookViewId="0">
      <selection activeCell="H1" sqref="H1:P1"/>
    </sheetView>
  </sheetViews>
  <sheetFormatPr defaultRowHeight="11.25" outlineLevelCol="1" x14ac:dyDescent="0.2"/>
  <cols>
    <col min="1" max="1" width="12" style="223" bestFit="1" customWidth="1"/>
    <col min="2" max="2" width="18.28515625" style="223" bestFit="1" customWidth="1"/>
    <col min="3" max="3" width="10" style="223" hidden="1" customWidth="1" outlineLevel="1"/>
    <col min="4" max="4" width="9" style="223" hidden="1" customWidth="1" outlineLevel="1"/>
    <col min="5" max="5" width="8" style="223" hidden="1" customWidth="1" outlineLevel="1"/>
    <col min="6" max="6" width="17.28515625" style="223" bestFit="1" customWidth="1" collapsed="1"/>
    <col min="7" max="7" width="4" style="223" customWidth="1"/>
    <col min="8" max="9" width="17.28515625" style="223" bestFit="1" customWidth="1"/>
    <col min="10" max="10" width="19.28515625" style="223" hidden="1" customWidth="1" outlineLevel="1"/>
    <col min="11" max="11" width="9" style="223" hidden="1" customWidth="1" outlineLevel="1"/>
    <col min="12" max="13" width="8" style="223" hidden="1" customWidth="1" outlineLevel="1"/>
    <col min="14" max="14" width="13.140625" style="223" bestFit="1" customWidth="1" collapsed="1"/>
    <col min="15" max="15" width="12" style="223" bestFit="1" customWidth="1"/>
    <col min="16" max="16" width="8" style="223" bestFit="1" customWidth="1"/>
    <col min="17" max="17" width="9.140625" style="223"/>
    <col min="18" max="19" width="17.28515625" style="223" bestFit="1" customWidth="1"/>
    <col min="20" max="20" width="19.28515625" style="223" hidden="1" customWidth="1" outlineLevel="1"/>
    <col min="21" max="22" width="9" style="223" hidden="1" customWidth="1" outlineLevel="1"/>
    <col min="23" max="23" width="8" style="223" hidden="1" customWidth="1" outlineLevel="1"/>
    <col min="24" max="24" width="13.140625" style="223" bestFit="1" customWidth="1" collapsed="1"/>
    <col min="25" max="25" width="12" style="223" bestFit="1" customWidth="1"/>
    <col min="26" max="26" width="8" style="223" bestFit="1" customWidth="1"/>
    <col min="27" max="28" width="9.140625" style="223"/>
    <col min="29" max="29" width="17.28515625" style="223" bestFit="1" customWidth="1"/>
    <col min="30" max="30" width="20.28515625" style="223" bestFit="1" customWidth="1"/>
    <col min="31" max="31" width="10" style="223" bestFit="1" customWidth="1"/>
    <col min="32" max="32" width="13.140625" style="223" bestFit="1" customWidth="1"/>
    <col min="33" max="33" width="14.140625" style="223" bestFit="1" customWidth="1"/>
    <col min="34" max="34" width="13.140625" style="223" bestFit="1" customWidth="1"/>
    <col min="35" max="35" width="15.140625" style="223" bestFit="1" customWidth="1"/>
    <col min="36" max="16384" width="9.140625" style="223"/>
  </cols>
  <sheetData>
    <row r="1" spans="1:32" x14ac:dyDescent="0.2">
      <c r="A1" s="256" t="s">
        <v>110</v>
      </c>
      <c r="B1" s="257"/>
      <c r="C1" s="257"/>
      <c r="D1" s="257"/>
      <c r="E1" s="257"/>
      <c r="F1" s="258"/>
      <c r="G1" s="221"/>
      <c r="H1" s="259" t="s">
        <v>111</v>
      </c>
      <c r="I1" s="257"/>
      <c r="J1" s="257"/>
      <c r="K1" s="257"/>
      <c r="L1" s="257"/>
      <c r="M1" s="257"/>
      <c r="N1" s="257"/>
      <c r="O1" s="257"/>
      <c r="P1" s="258"/>
      <c r="Q1" s="221"/>
      <c r="R1" s="259" t="s">
        <v>112</v>
      </c>
      <c r="S1" s="257"/>
      <c r="T1" s="257"/>
      <c r="U1" s="257"/>
      <c r="V1" s="257"/>
      <c r="W1" s="257"/>
      <c r="X1" s="257"/>
      <c r="Y1" s="257"/>
      <c r="Z1" s="258"/>
      <c r="AA1" s="222"/>
    </row>
    <row r="2" spans="1:32" x14ac:dyDescent="0.2">
      <c r="A2" s="224" t="s">
        <v>76</v>
      </c>
      <c r="B2" s="225" t="s">
        <v>102</v>
      </c>
      <c r="C2" s="225" t="s">
        <v>103</v>
      </c>
      <c r="D2" s="225" t="s">
        <v>104</v>
      </c>
      <c r="E2" s="225" t="s">
        <v>21</v>
      </c>
      <c r="F2" s="225" t="s">
        <v>105</v>
      </c>
      <c r="G2" s="226"/>
      <c r="H2" s="225" t="s">
        <v>82</v>
      </c>
      <c r="I2" s="225" t="s">
        <v>81</v>
      </c>
      <c r="J2" s="227" t="s">
        <v>72</v>
      </c>
      <c r="K2" s="225" t="s">
        <v>106</v>
      </c>
      <c r="L2" s="225" t="s">
        <v>107</v>
      </c>
      <c r="M2" s="225" t="s">
        <v>21</v>
      </c>
      <c r="N2" s="225" t="s">
        <v>108</v>
      </c>
      <c r="O2" s="225" t="s">
        <v>109</v>
      </c>
      <c r="P2" s="225" t="s">
        <v>21</v>
      </c>
      <c r="Q2" s="226"/>
      <c r="R2" s="225" t="s">
        <v>82</v>
      </c>
      <c r="S2" s="225" t="s">
        <v>81</v>
      </c>
      <c r="T2" s="227" t="s">
        <v>72</v>
      </c>
      <c r="U2" s="225" t="s">
        <v>106</v>
      </c>
      <c r="V2" s="225" t="s">
        <v>107</v>
      </c>
      <c r="W2" s="225" t="s">
        <v>21</v>
      </c>
      <c r="X2" s="225" t="s">
        <v>108</v>
      </c>
      <c r="Y2" s="225" t="s">
        <v>109</v>
      </c>
      <c r="Z2" s="225" t="s">
        <v>21</v>
      </c>
      <c r="AA2" s="228"/>
      <c r="AE2" s="239"/>
      <c r="AF2" s="239"/>
    </row>
    <row r="3" spans="1:32" x14ac:dyDescent="0.2">
      <c r="A3" s="229" t="str">
        <f t="array" ref="A3:A30">'[1]3M'!$B$3:$B$30</f>
        <v>EUR3MD</v>
      </c>
      <c r="B3" s="230">
        <f t="array" ref="B3:B30">'[1]3M'!$C$3:$C$30</f>
        <v>42286</v>
      </c>
      <c r="C3" s="231">
        <f t="array" ref="C3:C30">'[1]3M'!$E$3:$E$30</f>
        <v>-1.8000000000000001E-4</v>
      </c>
      <c r="D3" s="231">
        <f>Selected!H2</f>
        <v>-1.8000000000000001E-4</v>
      </c>
      <c r="E3" s="238">
        <f>D3-C3</f>
        <v>0</v>
      </c>
      <c r="F3" s="230">
        <f>Selected!L2</f>
        <v>42286</v>
      </c>
      <c r="G3" s="226"/>
      <c r="H3" s="232" t="s">
        <v>124</v>
      </c>
      <c r="I3" s="230">
        <v>42286</v>
      </c>
      <c r="J3" s="233">
        <f>_xll.qlDayCounterYearFraction($J$2,_xll.qlSettingsEvaluationDate(Trigger),I3,,,Trigger)</f>
        <v>0.25753424657534246</v>
      </c>
      <c r="K3" s="231">
        <v>-1.8250419762789999E-4</v>
      </c>
      <c r="L3" s="231">
        <f>_xll.qlYieldTSZeroRate(YieldCurve1,I3,$J$2,,,TRUE,Trigger)</f>
        <v>-1.8250419763025006E-4</v>
      </c>
      <c r="M3" s="238">
        <f>K3-L3</f>
        <v>2.3500624189709551E-15</v>
      </c>
      <c r="N3" s="234">
        <v>1.0000470021856001</v>
      </c>
      <c r="O3" s="234">
        <f>_xll.qlYieldTSDiscount(YieldCurve1,I3,TRUE,Trigger)</f>
        <v>1.0000470021856016</v>
      </c>
      <c r="P3" s="238">
        <f>O3-N3</f>
        <v>0</v>
      </c>
      <c r="Q3" s="226"/>
      <c r="R3" s="232" t="s">
        <v>124</v>
      </c>
      <c r="S3" s="230">
        <v>42286</v>
      </c>
      <c r="T3" s="233">
        <f>_xll.qlDayCounterYearFraction($T$2,_xll.qlSettingsEvaluationDate(Trigger),S3,,,Trigger)</f>
        <v>0.25753424657534246</v>
      </c>
      <c r="U3" s="231">
        <v>-1.8250419762789999E-4</v>
      </c>
      <c r="V3" s="231">
        <f>_xll.qlYieldTSZeroRate(YieldCurve2,S3,$T$2,,,TRUE,Trigger)</f>
        <v>-1.8519207234946519E-4</v>
      </c>
      <c r="W3" s="238">
        <f>U3-V3</f>
        <v>2.6878747215651965E-6</v>
      </c>
      <c r="X3" s="234">
        <v>1.0000470021856001</v>
      </c>
      <c r="Y3" s="234">
        <f>_xll.qlYieldTSDiscount(YieldCurve2,S3,TRUE,Trigger)</f>
        <v>1.0000476944381678</v>
      </c>
      <c r="Z3" s="238">
        <f>Y3-X3</f>
        <v>6.9225256771332511E-7</v>
      </c>
      <c r="AA3" s="228"/>
      <c r="AE3" s="239"/>
      <c r="AF3" s="239"/>
    </row>
    <row r="4" spans="1:32" x14ac:dyDescent="0.2">
      <c r="A4" s="229" t="str">
        <v>FEIU5</v>
      </c>
      <c r="B4" s="230">
        <v>42354</v>
      </c>
      <c r="C4" s="231">
        <v>1.47E-4</v>
      </c>
      <c r="D4" s="231">
        <f>Selected!H3</f>
        <v>1.4700000000000824E-4</v>
      </c>
      <c r="E4" s="238">
        <f t="shared" ref="E4:E30" si="0">D4-C4</f>
        <v>8.2399365108898337E-18</v>
      </c>
      <c r="F4" s="230">
        <f>Selected!L3</f>
        <v>42354</v>
      </c>
      <c r="G4" s="226"/>
      <c r="H4" s="232" t="s">
        <v>124</v>
      </c>
      <c r="I4" s="230">
        <v>42354</v>
      </c>
      <c r="J4" s="233">
        <f>_xll.qlDayCounterYearFraction($J$2,_xll.qlSettingsEvaluationDate(Trigger),I4,,,Trigger)</f>
        <v>0.44383561643835617</v>
      </c>
      <c r="K4" s="231">
        <v>3.7329731851999998E-6</v>
      </c>
      <c r="L4" s="231">
        <f>_xll.qlYieldTSZeroRate(YieldCurve1,I4,$J$2,,,TRUE,Trigger)</f>
        <v>3.732973180787433E-6</v>
      </c>
      <c r="M4" s="238">
        <f t="shared" ref="M4:M30" si="1">K4-L4</f>
        <v>4.4125668932279687E-15</v>
      </c>
      <c r="N4" s="234">
        <v>0.99999834317491798</v>
      </c>
      <c r="O4" s="234">
        <f>_xll.qlYieldTSDiscount(YieldCurve1,I4,TRUE,Trigger)</f>
        <v>0.99999834317491976</v>
      </c>
      <c r="P4" s="238">
        <f t="shared" ref="P4:P30" si="2">O4-N4</f>
        <v>1.7763568394002505E-15</v>
      </c>
      <c r="Q4" s="226"/>
      <c r="R4" s="232" t="s">
        <v>124</v>
      </c>
      <c r="S4" s="230">
        <v>42354</v>
      </c>
      <c r="T4" s="233">
        <f>_xll.qlDayCounterYearFraction($T$2,_xll.qlSettingsEvaluationDate(Trigger),S4,,,Trigger)</f>
        <v>0.44383561643835617</v>
      </c>
      <c r="U4" s="231">
        <v>3.7329731851999998E-6</v>
      </c>
      <c r="V4" s="231">
        <f>_xll.qlYieldTSZeroRate(YieldCurve2,S4,$T$2,,,TRUE,Trigger)</f>
        <v>-2.0729329012112098E-5</v>
      </c>
      <c r="W4" s="238">
        <f t="shared" ref="W4:W30" si="3">U4-V4</f>
        <v>2.4462302197312097E-5</v>
      </c>
      <c r="X4" s="234">
        <v>0.99999834317491798</v>
      </c>
      <c r="Y4" s="234">
        <f>_xll.qlYieldTSDiscount(YieldCurve2,S4,TRUE,Trigger)</f>
        <v>1.0000092004568444</v>
      </c>
      <c r="Z4" s="238">
        <f t="shared" ref="Z4:Z30" si="4">Y4-X4</f>
        <v>1.0857281926401896E-5</v>
      </c>
      <c r="AA4" s="228"/>
      <c r="AE4" s="239"/>
      <c r="AF4" s="239"/>
    </row>
    <row r="5" spans="1:32" x14ac:dyDescent="0.2">
      <c r="A5" s="229" t="str">
        <v>FEIZ5</v>
      </c>
      <c r="B5" s="230">
        <v>42445</v>
      </c>
      <c r="C5" s="231">
        <v>1.4200000000000001E-4</v>
      </c>
      <c r="D5" s="231">
        <f>Selected!H4</f>
        <v>1.4199999999997548E-4</v>
      </c>
      <c r="E5" s="238">
        <f t="shared" si="0"/>
        <v>-2.4530074152484538E-17</v>
      </c>
      <c r="F5" s="230">
        <f>Selected!L4</f>
        <v>42445</v>
      </c>
      <c r="G5" s="226"/>
      <c r="H5" s="232" t="s">
        <v>124</v>
      </c>
      <c r="I5" s="230">
        <v>42445</v>
      </c>
      <c r="J5" s="233">
        <f>_xll.qlDayCounterYearFraction($J$2,_xll.qlSettingsEvaluationDate(Trigger),I5,,,Trigger)</f>
        <v>0.69315068493150689</v>
      </c>
      <c r="K5" s="231">
        <v>5.4173829046770001E-5</v>
      </c>
      <c r="L5" s="231">
        <f>_xll.qlYieldTSZeroRate(YieldCurve1,I5,$J$2,,,TRUE,Trigger)</f>
        <v>5.4173829043930346E-5</v>
      </c>
      <c r="M5" s="238">
        <f t="shared" si="1"/>
        <v>2.8396542387475188E-15</v>
      </c>
      <c r="N5" s="234">
        <v>0.99996245007830697</v>
      </c>
      <c r="O5" s="234">
        <f>_xll.qlYieldTSDiscount(YieldCurve1,I5,TRUE,Trigger)</f>
        <v>0.99996245007830875</v>
      </c>
      <c r="P5" s="238">
        <f t="shared" si="2"/>
        <v>1.7763568394002505E-15</v>
      </c>
      <c r="Q5" s="226"/>
      <c r="R5" s="232" t="s">
        <v>124</v>
      </c>
      <c r="S5" s="230">
        <v>42445</v>
      </c>
      <c r="T5" s="233">
        <f>_xll.qlDayCounterYearFraction($T$2,_xll.qlSettingsEvaluationDate(Trigger),S5,,,Trigger)</f>
        <v>0.69315068493150689</v>
      </c>
      <c r="U5" s="231">
        <v>5.4173829046770001E-5</v>
      </c>
      <c r="V5" s="231">
        <f>_xll.qlYieldTSZeroRate(YieldCurve2,S5,$T$2,,,TRUE,Trigger)</f>
        <v>3.8510220525174594E-5</v>
      </c>
      <c r="W5" s="238">
        <f t="shared" si="3"/>
        <v>1.5663608521595407E-5</v>
      </c>
      <c r="X5" s="234">
        <v>0.99996245007830697</v>
      </c>
      <c r="Y5" s="234">
        <f>_xll.qlYieldTSDiscount(YieldCurve2,S5,TRUE,Trigger)</f>
        <v>0.99997330697053133</v>
      </c>
      <c r="Z5" s="238">
        <f t="shared" si="4"/>
        <v>1.0856892224353487E-5</v>
      </c>
      <c r="AA5" s="228"/>
      <c r="AE5" s="239"/>
      <c r="AF5" s="239"/>
    </row>
    <row r="6" spans="1:32" x14ac:dyDescent="0.2">
      <c r="A6" s="229" t="str">
        <v>FEIH6</v>
      </c>
      <c r="B6" s="230">
        <v>42536</v>
      </c>
      <c r="C6" s="231">
        <v>1.3499820000000001E-4</v>
      </c>
      <c r="D6" s="231">
        <f>Selected!H5</f>
        <v>1.3499819999995832E-4</v>
      </c>
      <c r="E6" s="238">
        <f t="shared" si="0"/>
        <v>-4.1687573532067645E-17</v>
      </c>
      <c r="F6" s="230">
        <f>Selected!L5</f>
        <v>42536</v>
      </c>
      <c r="G6" s="226"/>
      <c r="H6" s="232" t="s">
        <v>124</v>
      </c>
      <c r="I6" s="230">
        <v>42536</v>
      </c>
      <c r="J6" s="233">
        <f>_xll.qlDayCounterYearFraction($J$2,_xll.qlSettingsEvaluationDate(Trigger),I6,,,Trigger)</f>
        <v>0.94246575342465755</v>
      </c>
      <c r="K6" s="231">
        <v>7.6050063401320007E-5</v>
      </c>
      <c r="L6" s="231">
        <f>_xll.qlYieldTSZeroRate(YieldCurve1,I6,$J$2,,,TRUE,Trigger)</f>
        <v>7.6050073138283385E-5</v>
      </c>
      <c r="M6" s="238">
        <f t="shared" si="1"/>
        <v>-9.7369633785936854E-12</v>
      </c>
      <c r="N6" s="234">
        <v>0.99992832798826004</v>
      </c>
      <c r="O6" s="234">
        <f>_xll.qlYieldTSDiscount(YieldCurve1,I6,TRUE,Trigger)</f>
        <v>0.99992832797908382</v>
      </c>
      <c r="P6" s="238">
        <f t="shared" si="2"/>
        <v>-9.1762153431318438E-12</v>
      </c>
      <c r="Q6" s="226"/>
      <c r="R6" s="232" t="s">
        <v>124</v>
      </c>
      <c r="S6" s="230">
        <v>42536</v>
      </c>
      <c r="T6" s="233">
        <f>_xll.qlDayCounterYearFraction($T$2,_xll.qlSettingsEvaluationDate(Trigger),S6,,,Trigger)</f>
        <v>0.94246575342465755</v>
      </c>
      <c r="U6" s="231">
        <v>7.6050063401320007E-5</v>
      </c>
      <c r="V6" s="231">
        <f>_xll.qlYieldTSZeroRate(YieldCurve2,S6,$T$2,,,TRUE,Trigger)</f>
        <v>6.4530035477708493E-5</v>
      </c>
      <c r="W6" s="238">
        <f t="shared" si="3"/>
        <v>1.1520027923611514E-5</v>
      </c>
      <c r="X6" s="234">
        <v>0.99992832798826004</v>
      </c>
      <c r="Y6" s="234">
        <f>_xll.qlYieldTSDiscount(YieldCurve2,S6,TRUE,Trigger)</f>
        <v>0.99993918450083252</v>
      </c>
      <c r="Z6" s="238">
        <f t="shared" si="4"/>
        <v>1.0856512572487986E-5</v>
      </c>
      <c r="AA6" s="228"/>
      <c r="AE6" s="239"/>
      <c r="AF6" s="239"/>
    </row>
    <row r="7" spans="1:32" x14ac:dyDescent="0.2">
      <c r="A7" s="229" t="str">
        <v>FEIM6</v>
      </c>
      <c r="B7" s="230">
        <v>42634</v>
      </c>
      <c r="C7" s="231">
        <v>1.7399399999999999E-4</v>
      </c>
      <c r="D7" s="231">
        <f>Selected!H6</f>
        <v>1.7399400000006615E-4</v>
      </c>
      <c r="E7" s="238">
        <f t="shared" si="0"/>
        <v>6.6163437575927908E-17</v>
      </c>
      <c r="F7" s="230">
        <f>Selected!L6</f>
        <v>42634</v>
      </c>
      <c r="G7" s="226"/>
      <c r="H7" s="232" t="s">
        <v>124</v>
      </c>
      <c r="I7" s="230">
        <v>42634</v>
      </c>
      <c r="J7" s="233">
        <f>_xll.qlDayCounterYearFraction($J$2,_xll.qlSettingsEvaluationDate(Trigger),I7,,,Trigger)</f>
        <v>1.210958904109589</v>
      </c>
      <c r="K7" s="231">
        <v>9.8301081457779994E-5</v>
      </c>
      <c r="L7" s="231">
        <f>_xll.qlYieldTSZeroRate(YieldCurve1,I7,$J$2,,,TRUE,Trigger)</f>
        <v>9.8301024683795108E-5</v>
      </c>
      <c r="M7" s="238">
        <f t="shared" si="1"/>
        <v>5.6773984886721203E-11</v>
      </c>
      <c r="N7" s="234">
        <v>0.99988096851493502</v>
      </c>
      <c r="O7" s="234">
        <f>_xll.qlYieldTSDiscount(YieldCurve1,I7,TRUE,Trigger)</f>
        <v>0.99988096858367737</v>
      </c>
      <c r="P7" s="238">
        <f t="shared" si="2"/>
        <v>6.8742345149530593E-11</v>
      </c>
      <c r="Q7" s="226"/>
      <c r="R7" s="232" t="s">
        <v>124</v>
      </c>
      <c r="S7" s="230">
        <v>42634</v>
      </c>
      <c r="T7" s="233">
        <f>_xll.qlDayCounterYearFraction($T$2,_xll.qlSettingsEvaluationDate(Trigger),S7,,,Trigger)</f>
        <v>1.210958904109589</v>
      </c>
      <c r="U7" s="231">
        <v>9.8301081457779994E-5</v>
      </c>
      <c r="V7" s="231">
        <f>_xll.qlYieldTSZeroRate(YieldCurve2,S7,$T$2,,,TRUE,Trigger)</f>
        <v>8.9335203518037273E-5</v>
      </c>
      <c r="W7" s="238">
        <f t="shared" si="3"/>
        <v>8.9658779397427214E-6</v>
      </c>
      <c r="X7" s="234">
        <v>0.99988096851493502</v>
      </c>
      <c r="Y7" s="234">
        <f>_xll.qlYieldTSDiscount(YieldCurve2,S7,TRUE,Trigger)</f>
        <v>0.99989182459123094</v>
      </c>
      <c r="Z7" s="238">
        <f t="shared" si="4"/>
        <v>1.0856076295917561E-5</v>
      </c>
      <c r="AA7" s="228"/>
      <c r="AE7" s="239"/>
      <c r="AF7" s="239"/>
    </row>
    <row r="8" spans="1:32" x14ac:dyDescent="0.2">
      <c r="A8" s="229" t="str">
        <v>FEIU6</v>
      </c>
      <c r="B8" s="230">
        <v>42725</v>
      </c>
      <c r="C8" s="231">
        <v>3.1199999999999999E-4</v>
      </c>
      <c r="D8" s="231">
        <f>Selected!H7</f>
        <v>3.1199999999997896E-4</v>
      </c>
      <c r="E8" s="238">
        <f t="shared" si="0"/>
        <v>-2.1033522146218786E-17</v>
      </c>
      <c r="F8" s="230">
        <f>Selected!L7</f>
        <v>42725</v>
      </c>
      <c r="G8" s="226"/>
      <c r="H8" s="232" t="s">
        <v>124</v>
      </c>
      <c r="I8" s="230">
        <v>42725</v>
      </c>
      <c r="J8" s="233">
        <f>_xll.qlDayCounterYearFraction($J$2,_xll.qlSettingsEvaluationDate(Trigger),I8,,,Trigger)</f>
        <v>1.4602739726027398</v>
      </c>
      <c r="K8" s="231">
        <v>1.3552397046211E-4</v>
      </c>
      <c r="L8" s="231">
        <f>_xll.qlYieldTSZeroRate(YieldCurve1,I8,$J$2,,,TRUE,Trigger)</f>
        <v>1.3552392338065156E-4</v>
      </c>
      <c r="M8" s="238">
        <f t="shared" si="1"/>
        <v>4.7081458442186155E-11</v>
      </c>
      <c r="N8" s="234">
        <v>0.99980211745460501</v>
      </c>
      <c r="O8" s="234">
        <f>_xll.qlYieldTSDiscount(YieldCurve1,I8,TRUE,Trigger)</f>
        <v>0.99980211752334269</v>
      </c>
      <c r="P8" s="238">
        <f t="shared" si="2"/>
        <v>6.8737682212827167E-11</v>
      </c>
      <c r="Q8" s="226"/>
      <c r="R8" s="232" t="s">
        <v>124</v>
      </c>
      <c r="S8" s="230">
        <v>42725</v>
      </c>
      <c r="T8" s="233">
        <f>_xll.qlDayCounterYearFraction($T$2,_xll.qlSettingsEvaluationDate(Trigger),S8,,,Trigger)</f>
        <v>1.4602739726027398</v>
      </c>
      <c r="U8" s="231">
        <v>1.3552397046211E-4</v>
      </c>
      <c r="V8" s="231">
        <f>_xll.qlYieldTSZeroRate(YieldCurve2,S8,$T$2,,,TRUE,Trigger)</f>
        <v>1.2808885217051427E-4</v>
      </c>
      <c r="W8" s="238">
        <f t="shared" si="3"/>
        <v>7.435118291595729E-6</v>
      </c>
      <c r="X8" s="234">
        <v>0.99980211745460501</v>
      </c>
      <c r="Y8" s="234">
        <f>_xll.qlYieldTSDiscount(YieldCurve2,S8,TRUE,Trigger)</f>
        <v>0.99981297267478597</v>
      </c>
      <c r="Z8" s="238">
        <f t="shared" si="4"/>
        <v>1.0855220180960856E-5</v>
      </c>
      <c r="AA8" s="228"/>
      <c r="AE8" s="239"/>
      <c r="AF8" s="239"/>
    </row>
    <row r="9" spans="1:32" x14ac:dyDescent="0.2">
      <c r="A9" s="229" t="str">
        <v>FEIZ6</v>
      </c>
      <c r="B9" s="230">
        <v>42809</v>
      </c>
      <c r="C9" s="231">
        <v>5.5001819999999995E-4</v>
      </c>
      <c r="D9" s="231">
        <f>Selected!H8</f>
        <v>5.5001820000000201E-4</v>
      </c>
      <c r="E9" s="238">
        <f t="shared" si="0"/>
        <v>2.0599841277224584E-18</v>
      </c>
      <c r="F9" s="230">
        <f>Selected!L8</f>
        <v>42809</v>
      </c>
      <c r="G9" s="226"/>
      <c r="H9" s="232" t="s">
        <v>124</v>
      </c>
      <c r="I9" s="230">
        <v>42809</v>
      </c>
      <c r="J9" s="233">
        <f>_xll.qlDayCounterYearFraction($J$2,_xll.qlSettingsEvaluationDate(Trigger),I9,,,Trigger)</f>
        <v>1.6904109589041096</v>
      </c>
      <c r="K9" s="231">
        <v>1.9298909851011E-4</v>
      </c>
      <c r="L9" s="231">
        <f>_xll.qlYieldTSZeroRate(YieldCurve1,I9,$J$2,,,TRUE,Trigger)</f>
        <v>1.9298940396273768E-4</v>
      </c>
      <c r="M9" s="238">
        <f t="shared" si="1"/>
        <v>-3.0545262768243674E-10</v>
      </c>
      <c r="N9" s="234">
        <v>0.999673822320439</v>
      </c>
      <c r="O9" s="234">
        <f>_xll.qlYieldTSDiscount(YieldCurve1,I9,TRUE,Trigger)</f>
        <v>0.99967382180426712</v>
      </c>
      <c r="P9" s="238">
        <f t="shared" si="2"/>
        <v>-5.1617188301378292E-10</v>
      </c>
      <c r="Q9" s="226"/>
      <c r="R9" s="232" t="s">
        <v>124</v>
      </c>
      <c r="S9" s="230">
        <v>42809</v>
      </c>
      <c r="T9" s="233">
        <f>_xll.qlDayCounterYearFraction($T$2,_xll.qlSettingsEvaluationDate(Trigger),S9,,,Trigger)</f>
        <v>1.6904109589041096</v>
      </c>
      <c r="U9" s="231">
        <v>1.9298909851011E-4</v>
      </c>
      <c r="V9" s="231">
        <f>_xll.qlYieldTSZeroRate(YieldCurve2,S9,$T$2,,,TRUE,Trigger)</f>
        <v>1.8656656287119493E-4</v>
      </c>
      <c r="W9" s="238">
        <f t="shared" si="3"/>
        <v>6.4225356389150724E-6</v>
      </c>
      <c r="X9" s="234">
        <v>0.999673822320439</v>
      </c>
      <c r="Y9" s="234">
        <f>_xll.qlYieldTSDiscount(YieldCurve2,S9,TRUE,Trigger)</f>
        <v>0.99968467556276119</v>
      </c>
      <c r="Z9" s="238">
        <f t="shared" si="4"/>
        <v>1.08532423221952E-5</v>
      </c>
      <c r="AA9" s="228"/>
      <c r="AE9" s="239"/>
      <c r="AF9" s="239"/>
    </row>
    <row r="10" spans="1:32" x14ac:dyDescent="0.2">
      <c r="A10" s="229" t="str">
        <v>FEIH7</v>
      </c>
      <c r="B10" s="230">
        <v>42907</v>
      </c>
      <c r="C10" s="231">
        <v>8.8298459999999995E-4</v>
      </c>
      <c r="D10" s="231">
        <f>Selected!H9</f>
        <v>8.8298460000002521E-4</v>
      </c>
      <c r="E10" s="238">
        <f t="shared" si="0"/>
        <v>2.5261910618912253E-17</v>
      </c>
      <c r="F10" s="230">
        <f>Selected!L9</f>
        <v>42907</v>
      </c>
      <c r="G10" s="226"/>
      <c r="H10" s="232" t="s">
        <v>124</v>
      </c>
      <c r="I10" s="230">
        <v>42907</v>
      </c>
      <c r="J10" s="233">
        <f>_xll.qlDayCounterYearFraction($J$2,_xll.qlSettingsEvaluationDate(Trigger),I10,,,Trigger)</f>
        <v>1.9589041095890412</v>
      </c>
      <c r="K10" s="231">
        <v>2.8922896615496001E-4</v>
      </c>
      <c r="L10" s="231">
        <f>_xll.qlYieldTSZeroRate(YieldCurve1,I10,$J$2,,,TRUE,Trigger)</f>
        <v>2.8922832253720467E-4</v>
      </c>
      <c r="M10" s="238">
        <f t="shared" si="1"/>
        <v>6.4361775533715998E-10</v>
      </c>
      <c r="N10" s="234">
        <v>0.999433588661087</v>
      </c>
      <c r="O10" s="234">
        <f>_xll.qlYieldTSDiscount(YieldCurve1,I10,TRUE,Trigger)</f>
        <v>0.99943358992115872</v>
      </c>
      <c r="P10" s="238">
        <f t="shared" si="2"/>
        <v>1.2600717136379558E-9</v>
      </c>
      <c r="Q10" s="226"/>
      <c r="R10" s="232" t="s">
        <v>124</v>
      </c>
      <c r="S10" s="230">
        <v>42907</v>
      </c>
      <c r="T10" s="233">
        <f>_xll.qlDayCounterYearFraction($T$2,_xll.qlSettingsEvaluationDate(Trigger),S10,,,Trigger)</f>
        <v>1.9589041095890412</v>
      </c>
      <c r="U10" s="231">
        <v>2.8922896615496001E-4</v>
      </c>
      <c r="V10" s="231">
        <f>_xll.qlYieldTSZeroRate(YieldCurve2,S10,$T$2,,,TRUE,Trigger)</f>
        <v>2.83685814918503E-4</v>
      </c>
      <c r="W10" s="238">
        <f t="shared" si="3"/>
        <v>5.5431512364570034E-6</v>
      </c>
      <c r="X10" s="234">
        <v>0.999433588661087</v>
      </c>
      <c r="Y10" s="234">
        <f>_xll.qlYieldTSDiscount(YieldCurve2,S10,TRUE,Trigger)</f>
        <v>0.99944444107136632</v>
      </c>
      <c r="Z10" s="238">
        <f t="shared" si="4"/>
        <v>1.085241027931616E-5</v>
      </c>
      <c r="AA10" s="228"/>
      <c r="AE10" s="239"/>
      <c r="AF10" s="239"/>
    </row>
    <row r="11" spans="1:32" x14ac:dyDescent="0.2">
      <c r="A11" s="229" t="str">
        <v>FEIM7</v>
      </c>
      <c r="B11" s="230">
        <v>42998</v>
      </c>
      <c r="C11" s="231">
        <v>1.2649898000000001E-3</v>
      </c>
      <c r="D11" s="231">
        <f>Selected!H10</f>
        <v>1.2649897999998938E-3</v>
      </c>
      <c r="E11" s="238">
        <f t="shared" si="0"/>
        <v>-1.0625181290357943E-16</v>
      </c>
      <c r="F11" s="230">
        <f>Selected!L10</f>
        <v>42998</v>
      </c>
      <c r="G11" s="226"/>
      <c r="H11" s="232" t="s">
        <v>124</v>
      </c>
      <c r="I11" s="230">
        <v>42998</v>
      </c>
      <c r="J11" s="233">
        <f>_xll.qlDayCounterYearFraction($J$2,_xll.qlSettingsEvaluationDate(Trigger),I11,,,Trigger)</f>
        <v>2.2082191780821918</v>
      </c>
      <c r="K11" s="231">
        <v>4.0135573648044E-4</v>
      </c>
      <c r="L11" s="231">
        <f>_xll.qlYieldTSZeroRate(YieldCurve1,I11,$J$2,,,TRUE,Trigger)</f>
        <v>4.0135542531916009E-4</v>
      </c>
      <c r="M11" s="238">
        <f t="shared" si="1"/>
        <v>3.1116127990199471E-10</v>
      </c>
      <c r="N11" s="234">
        <v>0.999114111196859</v>
      </c>
      <c r="O11" s="234">
        <f>_xll.qlYieldTSDiscount(YieldCurve1,I11,TRUE,Trigger)</f>
        <v>0.99911411188336219</v>
      </c>
      <c r="P11" s="238">
        <f t="shared" si="2"/>
        <v>6.8650318763019413E-10</v>
      </c>
      <c r="Q11" s="226"/>
      <c r="R11" s="232" t="s">
        <v>124</v>
      </c>
      <c r="S11" s="230">
        <v>42998</v>
      </c>
      <c r="T11" s="233">
        <f>_xll.qlDayCounterYearFraction($T$2,_xll.qlSettingsEvaluationDate(Trigger),S11,,,Trigger)</f>
        <v>2.2082191780821918</v>
      </c>
      <c r="U11" s="231">
        <v>4.0135573648044E-4</v>
      </c>
      <c r="V11" s="231">
        <f>_xll.qlYieldTSZeroRate(YieldCurve2,S11,$T$2,,,TRUE,Trigger)</f>
        <v>3.9643868469601228E-4</v>
      </c>
      <c r="W11" s="238">
        <f t="shared" si="3"/>
        <v>4.9170517844277189E-6</v>
      </c>
      <c r="X11" s="234">
        <v>0.999114111196859</v>
      </c>
      <c r="Y11" s="234">
        <f>_xll.qlYieldTSDiscount(YieldCurve2,S11,TRUE,Trigger)</f>
        <v>0.99912495956488712</v>
      </c>
      <c r="Z11" s="238">
        <f t="shared" si="4"/>
        <v>1.0848368028115729E-5</v>
      </c>
      <c r="AA11" s="228"/>
      <c r="AE11" s="239"/>
      <c r="AF11" s="239"/>
    </row>
    <row r="12" spans="1:32" x14ac:dyDescent="0.2">
      <c r="A12" s="229" t="str">
        <v>FEIU7</v>
      </c>
      <c r="B12" s="230">
        <v>43089</v>
      </c>
      <c r="C12" s="231">
        <v>1.6949999999999999E-3</v>
      </c>
      <c r="D12" s="231">
        <f>Selected!H11</f>
        <v>1.6950000000000021E-3</v>
      </c>
      <c r="E12" s="238">
        <f t="shared" si="0"/>
        <v>2.1684043449710089E-18</v>
      </c>
      <c r="F12" s="230">
        <f>Selected!L11</f>
        <v>43089</v>
      </c>
      <c r="G12" s="226"/>
      <c r="H12" s="232" t="s">
        <v>124</v>
      </c>
      <c r="I12" s="230">
        <v>43089</v>
      </c>
      <c r="J12" s="233">
        <f>_xll.qlDayCounterYearFraction($J$2,_xll.qlSettingsEvaluationDate(Trigger),I12,,,Trigger)</f>
        <v>2.4575342465753423</v>
      </c>
      <c r="K12" s="231">
        <v>5.3494595553777E-4</v>
      </c>
      <c r="L12" s="231">
        <f>_xll.qlYieldTSZeroRate(YieldCurve1,I12,$J$2,,,TRUE,Trigger)</f>
        <v>5.3494567593598405E-4</v>
      </c>
      <c r="M12" s="238">
        <f t="shared" si="1"/>
        <v>2.796017859515304E-10</v>
      </c>
      <c r="N12" s="234">
        <v>0.99868621576532901</v>
      </c>
      <c r="O12" s="234">
        <f>_xll.qlYieldTSDiscount(YieldCurve1,I12,TRUE,Trigger)</f>
        <v>0.99868621645155697</v>
      </c>
      <c r="P12" s="238">
        <f t="shared" si="2"/>
        <v>6.8622796334238956E-10</v>
      </c>
      <c r="Q12" s="226"/>
      <c r="R12" s="232" t="s">
        <v>124</v>
      </c>
      <c r="S12" s="230">
        <v>43089</v>
      </c>
      <c r="T12" s="233">
        <f>_xll.qlDayCounterYearFraction($T$2,_xll.qlSettingsEvaluationDate(Trigger),S12,,,Trigger)</f>
        <v>2.4575342465753423</v>
      </c>
      <c r="U12" s="231">
        <v>5.3494595553777E-4</v>
      </c>
      <c r="V12" s="231">
        <f>_xll.qlYieldTSZeroRate(YieldCurve2,S12,$T$2,,,TRUE,Trigger)</f>
        <v>5.3052773509371261E-4</v>
      </c>
      <c r="W12" s="238">
        <f t="shared" si="3"/>
        <v>4.4182204440573877E-6</v>
      </c>
      <c r="X12" s="234">
        <v>0.99868621576532901</v>
      </c>
      <c r="Y12" s="234">
        <f>_xll.qlYieldTSDiscount(YieldCurve2,S12,TRUE,Trigger)</f>
        <v>0.99869705948727439</v>
      </c>
      <c r="Z12" s="238">
        <f t="shared" si="4"/>
        <v>1.0843721945374973E-5</v>
      </c>
      <c r="AA12" s="228"/>
      <c r="AE12" s="239"/>
      <c r="AF12" s="239"/>
    </row>
    <row r="13" spans="1:32" x14ac:dyDescent="0.2">
      <c r="A13" s="229" t="str">
        <v>FEIZ7</v>
      </c>
      <c r="B13" s="230">
        <v>43180</v>
      </c>
      <c r="C13" s="231">
        <v>2.2989998000000002E-3</v>
      </c>
      <c r="D13" s="231">
        <f>Selected!H12</f>
        <v>2.2989998000000345E-3</v>
      </c>
      <c r="E13" s="238">
        <f t="shared" si="0"/>
        <v>3.426078865054194E-17</v>
      </c>
      <c r="F13" s="230">
        <f>Selected!L12</f>
        <v>43180</v>
      </c>
      <c r="G13" s="226"/>
      <c r="H13" s="232" t="s">
        <v>124</v>
      </c>
      <c r="I13" s="230">
        <v>43180</v>
      </c>
      <c r="J13" s="233">
        <f>_xll.qlDayCounterYearFraction($J$2,_xll.qlSettingsEvaluationDate(Trigger),I13,,,Trigger)</f>
        <v>2.7068493150684931</v>
      </c>
      <c r="K13" s="231">
        <v>7.0030390097547998E-4</v>
      </c>
      <c r="L13" s="231">
        <f>_xll.qlYieldTSZeroRate(YieldCurve1,I13,$J$2,,,TRUE,Trigger)</f>
        <v>7.0030295902067199E-4</v>
      </c>
      <c r="M13" s="238">
        <f t="shared" si="1"/>
        <v>9.4195480799044717E-10</v>
      </c>
      <c r="N13" s="234">
        <v>0.99810617841272897</v>
      </c>
      <c r="O13" s="234">
        <f>_xll.qlYieldTSDiscount(YieldCurve1,I13,TRUE,Trigger)</f>
        <v>0.99810618095763037</v>
      </c>
      <c r="P13" s="238">
        <f t="shared" si="2"/>
        <v>2.5449014007250526E-9</v>
      </c>
      <c r="Q13" s="226"/>
      <c r="R13" s="232" t="s">
        <v>124</v>
      </c>
      <c r="S13" s="230">
        <v>43180</v>
      </c>
      <c r="T13" s="233">
        <f>_xll.qlDayCounterYearFraction($T$2,_xll.qlSettingsEvaluationDate(Trigger),S13,,,Trigger)</f>
        <v>2.7068493150684931</v>
      </c>
      <c r="U13" s="231">
        <v>7.0030390097547998E-4</v>
      </c>
      <c r="V13" s="231">
        <f>_xll.qlYieldTSZeroRate(YieldCurve2,S13,$T$2,,,TRUE,Trigger)</f>
        <v>6.9629193381599104E-4</v>
      </c>
      <c r="W13" s="238">
        <f t="shared" si="3"/>
        <v>4.0119671594889428E-6</v>
      </c>
      <c r="X13" s="234">
        <v>0.99810617841272897</v>
      </c>
      <c r="Y13" s="234">
        <f>_xll.qlYieldTSDiscount(YieldCurve2,S13,TRUE,Trigger)</f>
        <v>0.99811701769563732</v>
      </c>
      <c r="Z13" s="238">
        <f t="shared" si="4"/>
        <v>1.0839282908348125E-5</v>
      </c>
      <c r="AA13" s="228"/>
      <c r="AE13" s="239"/>
      <c r="AF13" s="239"/>
    </row>
    <row r="14" spans="1:32" x14ac:dyDescent="0.2">
      <c r="A14" s="229" t="str">
        <v>FEIH8</v>
      </c>
      <c r="B14" s="230">
        <v>43271</v>
      </c>
      <c r="C14" s="231">
        <v>2.9000001999999999E-3</v>
      </c>
      <c r="D14" s="231">
        <f>Selected!H13</f>
        <v>2.9000002000000302E-3</v>
      </c>
      <c r="E14" s="238">
        <f t="shared" si="0"/>
        <v>3.0357660829594124E-17</v>
      </c>
      <c r="F14" s="230">
        <f>Selected!L13</f>
        <v>43271</v>
      </c>
      <c r="G14" s="226"/>
      <c r="H14" s="232" t="s">
        <v>124</v>
      </c>
      <c r="I14" s="230">
        <v>43271</v>
      </c>
      <c r="J14" s="233">
        <f>_xll.qlDayCounterYearFraction($J$2,_xll.qlSettingsEvaluationDate(Trigger),I14,,,Trigger)</f>
        <v>2.956164383561644</v>
      </c>
      <c r="K14" s="231">
        <v>8.8912553415685996E-4</v>
      </c>
      <c r="L14" s="231">
        <f>_xll.qlYieldTSZeroRate(YieldCurve1,I14,$J$2,,,TRUE,Trigger)</f>
        <v>8.8912566960551356E-4</v>
      </c>
      <c r="M14" s="238">
        <f t="shared" si="1"/>
        <v>-1.3544865359524372E-10</v>
      </c>
      <c r="N14" s="234">
        <v>0.99737504998554605</v>
      </c>
      <c r="O14" s="234">
        <f>_xll.qlYieldTSDiscount(YieldCurve1,I14,TRUE,Trigger)</f>
        <v>0.99737504958618883</v>
      </c>
      <c r="P14" s="238">
        <f t="shared" si="2"/>
        <v>-3.9935721396489043E-10</v>
      </c>
      <c r="Q14" s="226"/>
      <c r="R14" s="232" t="s">
        <v>124</v>
      </c>
      <c r="S14" s="230">
        <v>43271</v>
      </c>
      <c r="T14" s="233">
        <f>_xll.qlDayCounterYearFraction($T$2,_xll.qlSettingsEvaluationDate(Trigger),S14,,,Trigger)</f>
        <v>2.956164383561644</v>
      </c>
      <c r="U14" s="231">
        <v>8.8912553415685996E-4</v>
      </c>
      <c r="V14" s="231">
        <f>_xll.qlYieldTSZeroRate(YieldCurve2,S14,$T$2,,,TRUE,Trigger)</f>
        <v>8.854529236528518E-4</v>
      </c>
      <c r="W14" s="238">
        <f t="shared" si="3"/>
        <v>3.6726105040081614E-6</v>
      </c>
      <c r="X14" s="234">
        <v>0.99737504998554605</v>
      </c>
      <c r="Y14" s="234">
        <f>_xll.qlYieldTSDiscount(YieldCurve2,S14,TRUE,Trigger)</f>
        <v>0.99738587838603043</v>
      </c>
      <c r="Z14" s="238">
        <f t="shared" si="4"/>
        <v>1.0828400484386158E-5</v>
      </c>
      <c r="AA14" s="228"/>
      <c r="AE14" s="239"/>
      <c r="AF14" s="239"/>
    </row>
    <row r="15" spans="1:32" x14ac:dyDescent="0.2">
      <c r="A15" s="229" t="str">
        <v>FEIM8</v>
      </c>
      <c r="B15" s="230">
        <v>43362</v>
      </c>
      <c r="C15" s="231">
        <v>3.6749999999999999E-3</v>
      </c>
      <c r="D15" s="231">
        <f>Selected!H14</f>
        <v>3.6749999999998728E-3</v>
      </c>
      <c r="E15" s="238">
        <f t="shared" si="0"/>
        <v>-1.2706849461530112E-16</v>
      </c>
      <c r="F15" s="230">
        <f>Selected!L14</f>
        <v>43362</v>
      </c>
      <c r="G15" s="226"/>
      <c r="H15" s="232" t="s">
        <v>124</v>
      </c>
      <c r="I15" s="230">
        <v>43362</v>
      </c>
      <c r="J15" s="233">
        <f>_xll.qlDayCounterYearFraction($J$2,_xll.qlSettingsEvaluationDate(Trigger),I15,,,Trigger)</f>
        <v>3.2054794520547945</v>
      </c>
      <c r="K15" s="231">
        <v>1.1096385650591E-3</v>
      </c>
      <c r="L15" s="231">
        <f>_xll.qlYieldTSZeroRate(YieldCurve1,I15,$J$2,,,TRUE,Trigger)</f>
        <v>1.1096401672799857E-3</v>
      </c>
      <c r="M15" s="238">
        <f t="shared" si="1"/>
        <v>-1.6022208856967396E-9</v>
      </c>
      <c r="N15" s="234">
        <v>0.996449394739786</v>
      </c>
      <c r="O15" s="234">
        <f>_xll.qlYieldTSDiscount(YieldCurve1,I15,TRUE,Trigger)</f>
        <v>0.99644938962213536</v>
      </c>
      <c r="P15" s="238">
        <f t="shared" si="2"/>
        <v>-5.1176506365990804E-9</v>
      </c>
      <c r="Q15" s="226"/>
      <c r="R15" s="232" t="s">
        <v>124</v>
      </c>
      <c r="S15" s="230">
        <v>43362</v>
      </c>
      <c r="T15" s="233">
        <f>_xll.qlDayCounterYearFraction($T$2,_xll.qlSettingsEvaluationDate(Trigger),S15,,,Trigger)</f>
        <v>3.2054794520547945</v>
      </c>
      <c r="U15" s="231">
        <v>1.1096385650591E-3</v>
      </c>
      <c r="V15" s="231">
        <f>_xll.qlYieldTSZeroRate(YieldCurve2,S15,$T$2,,,TRUE,Trigger)</f>
        <v>1.1062530794024297E-3</v>
      </c>
      <c r="W15" s="238">
        <f t="shared" si="3"/>
        <v>3.3854856566703246E-6</v>
      </c>
      <c r="X15" s="234">
        <v>0.996449394739786</v>
      </c>
      <c r="Y15" s="234">
        <f>_xll.qlYieldTSDiscount(YieldCurve2,S15,TRUE,Trigger)</f>
        <v>0.99646020837162863</v>
      </c>
      <c r="Z15" s="238">
        <f t="shared" si="4"/>
        <v>1.0813631842632176E-5</v>
      </c>
      <c r="AA15" s="228"/>
      <c r="AE15" s="239"/>
      <c r="AF15" s="239"/>
    </row>
    <row r="16" spans="1:32" x14ac:dyDescent="0.2">
      <c r="A16" s="229" t="str">
        <v>EUR3E6E4Y</v>
      </c>
      <c r="B16" s="230">
        <v>43655</v>
      </c>
      <c r="C16" s="231">
        <v>2.14935E-3</v>
      </c>
      <c r="D16" s="231">
        <f>Selected!H15</f>
        <v>2.14935E-3</v>
      </c>
      <c r="E16" s="238">
        <f t="shared" si="0"/>
        <v>0</v>
      </c>
      <c r="F16" s="230">
        <f>Selected!L15</f>
        <v>43655</v>
      </c>
      <c r="G16" s="226"/>
      <c r="H16" s="232" t="s">
        <v>124</v>
      </c>
      <c r="I16" s="230">
        <v>43655</v>
      </c>
      <c r="J16" s="233">
        <f>_xll.qlDayCounterYearFraction($J$2,_xll.qlSettingsEvaluationDate(Trigger),I16,,,Trigger)</f>
        <v>4.0082191780821921</v>
      </c>
      <c r="K16" s="231">
        <v>2.1443818437871902E-3</v>
      </c>
      <c r="L16" s="231">
        <f>_xll.qlYieldTSZeroRate(YieldCurve1,I16,$J$2,,,TRUE,Trigger)</f>
        <v>2.1443818416705183E-3</v>
      </c>
      <c r="M16" s="238">
        <f t="shared" si="1"/>
        <v>2.1166718551512975E-12</v>
      </c>
      <c r="N16" s="234">
        <v>0.99144168028810498</v>
      </c>
      <c r="O16" s="234">
        <f>_xll.qlYieldTSDiscount(YieldCurve1,I16,TRUE,Trigger)</f>
        <v>0.9914416802965168</v>
      </c>
      <c r="P16" s="238">
        <f t="shared" si="2"/>
        <v>8.4118267906774236E-12</v>
      </c>
      <c r="Q16" s="226"/>
      <c r="R16" s="232" t="s">
        <v>124</v>
      </c>
      <c r="S16" s="230">
        <v>43655</v>
      </c>
      <c r="T16" s="233">
        <f>_xll.qlDayCounterYearFraction($T$2,_xll.qlSettingsEvaluationDate(Trigger),S16,,,Trigger)</f>
        <v>4.0082191780821921</v>
      </c>
      <c r="U16" s="231">
        <v>2.1443344403702502E-3</v>
      </c>
      <c r="V16" s="231">
        <f>_xll.qlYieldTSZeroRate(YieldCurve2,S16,$T$2,,,TRUE,Trigger)</f>
        <v>2.1441612743701693E-3</v>
      </c>
      <c r="W16" s="238">
        <f t="shared" si="3"/>
        <v>1.7316600008088212E-7</v>
      </c>
      <c r="X16" s="234">
        <v>0.99144186866529904</v>
      </c>
      <c r="Y16" s="234">
        <f>_xll.qlYieldTSDiscount(YieldCurve2,S16,TRUE,Trigger)</f>
        <v>0.99144255681273064</v>
      </c>
      <c r="Z16" s="238">
        <f t="shared" si="4"/>
        <v>6.8814743159339997E-7</v>
      </c>
      <c r="AA16" s="228"/>
      <c r="AE16" s="239"/>
      <c r="AF16" s="239"/>
    </row>
    <row r="17" spans="1:32" x14ac:dyDescent="0.2">
      <c r="A17" s="229" t="str">
        <v>EUR3E6E5Y</v>
      </c>
      <c r="B17" s="230">
        <v>44021</v>
      </c>
      <c r="C17" s="231">
        <v>3.5059499999999999E-3</v>
      </c>
      <c r="D17" s="231">
        <f>Selected!H16</f>
        <v>3.5059499999999999E-3</v>
      </c>
      <c r="E17" s="238">
        <f t="shared" si="0"/>
        <v>0</v>
      </c>
      <c r="F17" s="230">
        <f>Selected!L16</f>
        <v>44021</v>
      </c>
      <c r="G17" s="226"/>
      <c r="H17" s="232" t="s">
        <v>124</v>
      </c>
      <c r="I17" s="230">
        <v>44021</v>
      </c>
      <c r="J17" s="233">
        <f>_xll.qlDayCounterYearFraction($J$2,_xll.qlSettingsEvaluationDate(Trigger),I17,,,Trigger)</f>
        <v>5.0109589041095894</v>
      </c>
      <c r="K17" s="231">
        <v>3.5019781253908199E-3</v>
      </c>
      <c r="L17" s="231">
        <f>_xll.qlYieldTSZeroRate(YieldCurve1,I17,$J$2,,,TRUE,Trigger)</f>
        <v>3.5019781236809507E-3</v>
      </c>
      <c r="M17" s="238">
        <f t="shared" si="1"/>
        <v>1.7098692253747494E-12</v>
      </c>
      <c r="N17" s="234">
        <v>0.982604805690377</v>
      </c>
      <c r="O17" s="234">
        <f>_xll.qlYieldTSDiscount(YieldCurve1,I17,TRUE,Trigger)</f>
        <v>0.98260480569879582</v>
      </c>
      <c r="P17" s="238">
        <f t="shared" si="2"/>
        <v>8.418821195732562E-12</v>
      </c>
      <c r="Q17" s="226"/>
      <c r="R17" s="232" t="s">
        <v>124</v>
      </c>
      <c r="S17" s="230">
        <v>44021</v>
      </c>
      <c r="T17" s="233">
        <f>_xll.qlDayCounterYearFraction($T$2,_xll.qlSettingsEvaluationDate(Trigger),S17,,,Trigger)</f>
        <v>5.0109589041095894</v>
      </c>
      <c r="U17" s="231">
        <v>3.5018687393144699E-3</v>
      </c>
      <c r="V17" s="231">
        <f>_xll.qlYieldTSZeroRate(YieldCurve2,S17,$T$2,,,TRUE,Trigger)</f>
        <v>3.5017288105205846E-3</v>
      </c>
      <c r="W17" s="238">
        <f t="shared" si="3"/>
        <v>1.3992879388524671E-7</v>
      </c>
      <c r="X17" s="234">
        <v>0.98260534428484503</v>
      </c>
      <c r="Y17" s="234">
        <f>_xll.qlYieldTSDiscount(YieldCurve2,S17,TRUE,Trigger)</f>
        <v>0.982606033265782</v>
      </c>
      <c r="Z17" s="238">
        <f t="shared" si="4"/>
        <v>6.8898093696923013E-7</v>
      </c>
      <c r="AA17" s="228"/>
      <c r="AE17" s="239"/>
      <c r="AF17" s="239"/>
    </row>
    <row r="18" spans="1:32" x14ac:dyDescent="0.2">
      <c r="A18" s="229" t="str">
        <v>EUR3E6E6Y</v>
      </c>
      <c r="B18" s="230">
        <v>44386</v>
      </c>
      <c r="C18" s="231">
        <v>4.85675E-3</v>
      </c>
      <c r="D18" s="231">
        <f>Selected!H17</f>
        <v>4.85675E-3</v>
      </c>
      <c r="E18" s="238">
        <f t="shared" si="0"/>
        <v>0</v>
      </c>
      <c r="F18" s="230">
        <f>Selected!L17</f>
        <v>44386</v>
      </c>
      <c r="G18" s="226"/>
      <c r="H18" s="232" t="s">
        <v>124</v>
      </c>
      <c r="I18" s="230">
        <v>44386</v>
      </c>
      <c r="J18" s="233">
        <f>_xll.qlDayCounterYearFraction($J$2,_xll.qlSettingsEvaluationDate(Trigger),I18,,,Trigger)</f>
        <v>6.0109589041095894</v>
      </c>
      <c r="K18" s="231">
        <v>4.8610677357790802E-3</v>
      </c>
      <c r="L18" s="231">
        <f>_xll.qlYieldTSZeroRate(YieldCurve1,I18,$J$2,,,TRUE,Trigger)</f>
        <v>4.861067734368155E-3</v>
      </c>
      <c r="M18" s="238">
        <f t="shared" si="1"/>
        <v>1.4109251961214042E-12</v>
      </c>
      <c r="N18" s="234">
        <v>0.97120308869968697</v>
      </c>
      <c r="O18" s="234">
        <f>_xll.qlYieldTSDiscount(YieldCurve1,I18,TRUE,Trigger)</f>
        <v>0.9712030887079236</v>
      </c>
      <c r="P18" s="238">
        <f t="shared" si="2"/>
        <v>8.2366335973915739E-12</v>
      </c>
      <c r="Q18" s="226"/>
      <c r="R18" s="232" t="s">
        <v>124</v>
      </c>
      <c r="S18" s="230">
        <v>44386</v>
      </c>
      <c r="T18" s="233">
        <f>_xll.qlDayCounterYearFraction($T$2,_xll.qlSettingsEvaluationDate(Trigger),S18,,,Trigger)</f>
        <v>6.0109589041095894</v>
      </c>
      <c r="U18" s="231">
        <v>4.8609999885875698E-3</v>
      </c>
      <c r="V18" s="231">
        <f>_xll.qlYieldTSZeroRate(YieldCurve2,S18,$T$2,,,TRUE,Trigger)</f>
        <v>4.8608835487286501E-3</v>
      </c>
      <c r="W18" s="238">
        <f t="shared" si="3"/>
        <v>1.1643985891977848E-7</v>
      </c>
      <c r="X18" s="234">
        <v>0.97120348419851199</v>
      </c>
      <c r="Y18" s="234">
        <f>_xll.qlYieldTSDiscount(YieldCurve2,S18,TRUE,Trigger)</f>
        <v>0.97120416395883769</v>
      </c>
      <c r="Z18" s="238">
        <f t="shared" si="4"/>
        <v>6.7976032569472267E-7</v>
      </c>
      <c r="AA18" s="228"/>
      <c r="AE18" s="239"/>
      <c r="AF18" s="239"/>
    </row>
    <row r="19" spans="1:32" x14ac:dyDescent="0.2">
      <c r="A19" s="229" t="str">
        <v>EUR3E6E7Y</v>
      </c>
      <c r="B19" s="230">
        <v>44753</v>
      </c>
      <c r="C19" s="231">
        <v>6.1834999999999998E-3</v>
      </c>
      <c r="D19" s="231">
        <f>Selected!H18</f>
        <v>6.1834999999999998E-3</v>
      </c>
      <c r="E19" s="238">
        <f t="shared" si="0"/>
        <v>0</v>
      </c>
      <c r="F19" s="230">
        <f>Selected!L18</f>
        <v>44753</v>
      </c>
      <c r="G19" s="226"/>
      <c r="H19" s="232" t="s">
        <v>124</v>
      </c>
      <c r="I19" s="230">
        <v>44753</v>
      </c>
      <c r="J19" s="233">
        <f>_xll.qlDayCounterYearFraction($J$2,_xll.qlSettingsEvaluationDate(Trigger),I19,,,Trigger)</f>
        <v>7.0164383561643833</v>
      </c>
      <c r="K19" s="231">
        <v>6.20406768313042E-3</v>
      </c>
      <c r="L19" s="231">
        <f>_xll.qlYieldTSZeroRate(YieldCurve1,I19,$J$2,,,TRUE,Trigger)</f>
        <v>6.2040676819105651E-3</v>
      </c>
      <c r="M19" s="238">
        <f t="shared" si="1"/>
        <v>1.2198549462216768E-12</v>
      </c>
      <c r="N19" s="234">
        <v>0.95740339261760499</v>
      </c>
      <c r="O19" s="234">
        <f>_xll.qlYieldTSDiscount(YieldCurve1,I19,TRUE,Trigger)</f>
        <v>0.95740339262579899</v>
      </c>
      <c r="P19" s="238">
        <f t="shared" si="2"/>
        <v>8.1940010332459678E-12</v>
      </c>
      <c r="Q19" s="226"/>
      <c r="R19" s="232" t="s">
        <v>124</v>
      </c>
      <c r="S19" s="230">
        <v>44753</v>
      </c>
      <c r="T19" s="233">
        <f>_xll.qlDayCounterYearFraction($T$2,_xll.qlSettingsEvaluationDate(Trigger),S19,,,Trigger)</f>
        <v>7.0164383561643833</v>
      </c>
      <c r="U19" s="231">
        <v>6.2040178100116403E-3</v>
      </c>
      <c r="V19" s="231">
        <f>_xll.qlYieldTSZeroRate(YieldCurve2,S19,$T$2,,,TRUE,Trigger)</f>
        <v>6.2039179819149623E-3</v>
      </c>
      <c r="W19" s="238">
        <f t="shared" si="3"/>
        <v>9.9828096677967437E-8</v>
      </c>
      <c r="X19" s="234">
        <v>0.95740372764342496</v>
      </c>
      <c r="Y19" s="234">
        <f>_xll.qlYieldTSDiscount(YieldCurve2,S19,TRUE,Trigger)</f>
        <v>0.95740439824531209</v>
      </c>
      <c r="Z19" s="238">
        <f t="shared" si="4"/>
        <v>6.7060188713163882E-7</v>
      </c>
      <c r="AA19" s="228"/>
      <c r="AE19" s="239"/>
      <c r="AF19" s="239"/>
    </row>
    <row r="20" spans="1:32" x14ac:dyDescent="0.2">
      <c r="A20" s="229" t="str">
        <v>EUR3E6E8Y</v>
      </c>
      <c r="B20" s="230">
        <v>45117</v>
      </c>
      <c r="C20" s="231">
        <v>7.4541499999999997E-3</v>
      </c>
      <c r="D20" s="231">
        <f>Selected!H19</f>
        <v>7.4541499999999997E-3</v>
      </c>
      <c r="E20" s="238">
        <f t="shared" si="0"/>
        <v>0</v>
      </c>
      <c r="F20" s="230">
        <f>Selected!L19</f>
        <v>45117</v>
      </c>
      <c r="G20" s="226"/>
      <c r="H20" s="232" t="s">
        <v>124</v>
      </c>
      <c r="I20" s="230">
        <v>45117</v>
      </c>
      <c r="J20" s="233">
        <f>_xll.qlDayCounterYearFraction($J$2,_xll.qlSettingsEvaluationDate(Trigger),I20,,,Trigger)</f>
        <v>8.0136986301369859</v>
      </c>
      <c r="K20" s="231">
        <v>7.49903045780772E-3</v>
      </c>
      <c r="L20" s="231">
        <f>_xll.qlYieldTSZeroRate(YieldCurve1,I20,$J$2,,,TRUE,Trigger)</f>
        <v>7.4990304568034695E-3</v>
      </c>
      <c r="M20" s="238">
        <f t="shared" si="1"/>
        <v>1.0042505022012094E-12</v>
      </c>
      <c r="N20" s="234">
        <v>0.94167509835254504</v>
      </c>
      <c r="O20" s="234">
        <f>_xll.qlYieldTSDiscount(YieldCurve1,I20,TRUE,Trigger)</f>
        <v>0.94167509836012375</v>
      </c>
      <c r="P20" s="238">
        <f t="shared" si="2"/>
        <v>7.5787154329987061E-12</v>
      </c>
      <c r="Q20" s="226"/>
      <c r="R20" s="232" t="s">
        <v>124</v>
      </c>
      <c r="S20" s="230">
        <v>45117</v>
      </c>
      <c r="T20" s="233">
        <f>_xll.qlDayCounterYearFraction($T$2,_xll.qlSettingsEvaluationDate(Trigger),S20,,,Trigger)</f>
        <v>8.0136986301369859</v>
      </c>
      <c r="U20" s="231">
        <v>7.4987960825460198E-3</v>
      </c>
      <c r="V20" s="231">
        <f>_xll.qlYieldTSZeroRate(YieldCurve2,S20,$T$2,,,TRUE,Trigger)</f>
        <v>7.4987086818199605E-3</v>
      </c>
      <c r="W20" s="238">
        <f t="shared" si="3"/>
        <v>8.7400726059283507E-8</v>
      </c>
      <c r="X20" s="234">
        <v>0.94167686702034803</v>
      </c>
      <c r="Y20" s="234">
        <f>_xll.qlYieldTSDiscount(YieldCurve2,S20,TRUE,Trigger)</f>
        <v>0.94167752657395587</v>
      </c>
      <c r="Z20" s="238">
        <f t="shared" si="4"/>
        <v>6.5955360784020201E-7</v>
      </c>
      <c r="AA20" s="228"/>
      <c r="AE20" s="239"/>
      <c r="AF20" s="239"/>
    </row>
    <row r="21" spans="1:32" x14ac:dyDescent="0.2">
      <c r="A21" s="229" t="str">
        <v>EUR3E6E9Y</v>
      </c>
      <c r="B21" s="230">
        <v>45482</v>
      </c>
      <c r="C21" s="231">
        <v>8.6288000000000007E-3</v>
      </c>
      <c r="D21" s="231">
        <f>Selected!H20</f>
        <v>8.6288000000000007E-3</v>
      </c>
      <c r="E21" s="238">
        <f t="shared" si="0"/>
        <v>0</v>
      </c>
      <c r="F21" s="230">
        <f>Selected!L20</f>
        <v>45482</v>
      </c>
      <c r="G21" s="226"/>
      <c r="H21" s="232" t="s">
        <v>124</v>
      </c>
      <c r="I21" s="230">
        <v>45482</v>
      </c>
      <c r="J21" s="233">
        <f>_xll.qlDayCounterYearFraction($J$2,_xll.qlSettingsEvaluationDate(Trigger),I21,,,Trigger)</f>
        <v>9.0136986301369859</v>
      </c>
      <c r="K21" s="231">
        <v>8.7023441323297295E-3</v>
      </c>
      <c r="L21" s="231">
        <f>_xll.qlYieldTSZeroRate(YieldCurve1,I21,$J$2,,,TRUE,Trigger)</f>
        <v>8.7023441314550663E-3</v>
      </c>
      <c r="M21" s="238">
        <f t="shared" si="1"/>
        <v>8.7466318909878993E-13</v>
      </c>
      <c r="N21" s="234">
        <v>0.92455724752461899</v>
      </c>
      <c r="O21" s="234">
        <f>_xll.qlYieldTSDiscount(YieldCurve1,I21,TRUE,Trigger)</f>
        <v>0.92455724753190771</v>
      </c>
      <c r="P21" s="238">
        <f t="shared" si="2"/>
        <v>7.2887251789666152E-12</v>
      </c>
      <c r="Q21" s="226"/>
      <c r="R21" s="232" t="s">
        <v>124</v>
      </c>
      <c r="S21" s="230">
        <v>45482</v>
      </c>
      <c r="T21" s="233">
        <f>_xll.qlDayCounterYearFraction($T$2,_xll.qlSettingsEvaluationDate(Trigger),S21,,,Trigger)</f>
        <v>9.0136986301369859</v>
      </c>
      <c r="U21" s="231">
        <v>8.7021741931705299E-3</v>
      </c>
      <c r="V21" s="231">
        <f>_xll.qlYieldTSZeroRate(YieldCurve2,S21,$T$2,,,TRUE,Trigger)</f>
        <v>8.7020964844123638E-3</v>
      </c>
      <c r="W21" s="238">
        <f t="shared" si="3"/>
        <v>7.7708758166109004E-8</v>
      </c>
      <c r="X21" s="234">
        <v>0.92455866374434303</v>
      </c>
      <c r="Y21" s="234">
        <f>_xll.qlYieldTSDiscount(YieldCurve2,S21,TRUE,Trigger)</f>
        <v>0.92455931134551594</v>
      </c>
      <c r="Z21" s="238">
        <f t="shared" si="4"/>
        <v>6.4760117290951769E-7</v>
      </c>
      <c r="AA21" s="228"/>
      <c r="AE21" s="239"/>
      <c r="AF21" s="239"/>
    </row>
    <row r="22" spans="1:32" x14ac:dyDescent="0.2">
      <c r="A22" s="229" t="str">
        <v>EUR3E6E10Y</v>
      </c>
      <c r="B22" s="230">
        <v>45847</v>
      </c>
      <c r="C22" s="231">
        <v>9.6754500000000004E-3</v>
      </c>
      <c r="D22" s="231">
        <f>Selected!H21</f>
        <v>9.6754500000000004E-3</v>
      </c>
      <c r="E22" s="238">
        <f t="shared" si="0"/>
        <v>0</v>
      </c>
      <c r="F22" s="230">
        <f>Selected!L21</f>
        <v>45847</v>
      </c>
      <c r="G22" s="226"/>
      <c r="H22" s="232" t="s">
        <v>124</v>
      </c>
      <c r="I22" s="230">
        <v>45847</v>
      </c>
      <c r="J22" s="233">
        <f>_xll.qlDayCounterYearFraction($J$2,_xll.qlSettingsEvaluationDate(Trigger),I22,,,Trigger)</f>
        <v>10.013698630136986</v>
      </c>
      <c r="K22" s="231">
        <v>9.7849224738522506E-3</v>
      </c>
      <c r="L22" s="231">
        <f>_xll.qlYieldTSZeroRate(YieldCurve1,I22,$J$2,,,TRUE,Trigger)</f>
        <v>9.7849224730651736E-3</v>
      </c>
      <c r="M22" s="238">
        <f t="shared" si="1"/>
        <v>7.8707700079672094E-13</v>
      </c>
      <c r="N22" s="234">
        <v>0.90666407685663097</v>
      </c>
      <c r="O22" s="234">
        <f>_xll.qlYieldTSDiscount(YieldCurve1,I22,TRUE,Trigger)</f>
        <v>0.90666407686377692</v>
      </c>
      <c r="P22" s="238">
        <f t="shared" si="2"/>
        <v>7.1459504979998201E-12</v>
      </c>
      <c r="Q22" s="226"/>
      <c r="R22" s="232" t="s">
        <v>124</v>
      </c>
      <c r="S22" s="230">
        <v>45847</v>
      </c>
      <c r="T22" s="233">
        <f>_xll.qlDayCounterYearFraction($T$2,_xll.qlSettingsEvaluationDate(Trigger),S22,,,Trigger)</f>
        <v>10.013698630136986</v>
      </c>
      <c r="U22" s="231">
        <v>9.7847797844487095E-3</v>
      </c>
      <c r="V22" s="231">
        <f>_xll.qlYieldTSZeroRate(YieldCurve2,S22,$T$2,,,TRUE,Trigger)</f>
        <v>9.7847098387280115E-3</v>
      </c>
      <c r="W22" s="238">
        <f t="shared" si="3"/>
        <v>6.9945720698044722E-8</v>
      </c>
      <c r="X22" s="234">
        <v>0.90666537234333</v>
      </c>
      <c r="Y22" s="234">
        <f>_xll.qlYieldTSDiscount(YieldCurve2,S22,TRUE,Trigger)</f>
        <v>0.90666600738591274</v>
      </c>
      <c r="Z22" s="238">
        <f t="shared" si="4"/>
        <v>6.3504258274171832E-7</v>
      </c>
      <c r="AA22" s="228"/>
      <c r="AE22" s="239"/>
      <c r="AF22" s="239"/>
    </row>
    <row r="23" spans="1:32" x14ac:dyDescent="0.2">
      <c r="A23" s="229" t="str">
        <v>EUR3E6E12Y</v>
      </c>
      <c r="B23" s="230">
        <v>46577</v>
      </c>
      <c r="C23" s="231">
        <v>1.146225E-2</v>
      </c>
      <c r="D23" s="231">
        <f>Selected!H22</f>
        <v>1.146225E-2</v>
      </c>
      <c r="E23" s="238">
        <f t="shared" si="0"/>
        <v>0</v>
      </c>
      <c r="F23" s="230">
        <f>Selected!L22</f>
        <v>46577</v>
      </c>
      <c r="G23" s="226"/>
      <c r="H23" s="232" t="s">
        <v>124</v>
      </c>
      <c r="I23" s="230">
        <v>46577</v>
      </c>
      <c r="J23" s="233">
        <f>_xll.qlDayCounterYearFraction($J$2,_xll.qlSettingsEvaluationDate(Trigger),I23,,,Trigger)</f>
        <v>12.013698630136986</v>
      </c>
      <c r="K23" s="231">
        <v>1.16543493154296E-2</v>
      </c>
      <c r="L23" s="231">
        <f>_xll.qlYieldTSZeroRate(YieldCurve1,I23,$J$2,,,TRUE,Trigger)</f>
        <v>1.1654349314774277E-2</v>
      </c>
      <c r="M23" s="238">
        <f t="shared" si="1"/>
        <v>6.5532301807280646E-13</v>
      </c>
      <c r="N23" s="234">
        <v>0.86934794190535303</v>
      </c>
      <c r="O23" s="234">
        <f>_xll.qlYieldTSDiscount(YieldCurve1,I23,TRUE,Trigger)</f>
        <v>0.86934794191219744</v>
      </c>
      <c r="P23" s="238">
        <f t="shared" si="2"/>
        <v>6.8444139245116276E-12</v>
      </c>
      <c r="Q23" s="226"/>
      <c r="R23" s="232" t="s">
        <v>124</v>
      </c>
      <c r="S23" s="230">
        <v>46577</v>
      </c>
      <c r="T23" s="233">
        <f>_xll.qlDayCounterYearFraction($T$2,_xll.qlSettingsEvaluationDate(Trigger),S23,,,Trigger)</f>
        <v>12.013698630136986</v>
      </c>
      <c r="U23" s="231">
        <v>1.16538079518581E-2</v>
      </c>
      <c r="V23" s="231">
        <f>_xll.qlYieldTSZeroRate(YieldCurve2,S23,$T$2,,,TRUE,Trigger)</f>
        <v>1.1653749646821445E-2</v>
      </c>
      <c r="W23" s="238">
        <f t="shared" si="3"/>
        <v>5.8305036654618392E-8</v>
      </c>
      <c r="X23" s="234">
        <v>0.86935359597045203</v>
      </c>
      <c r="Y23" s="234">
        <f>_xll.qlYieldTSDiscount(YieldCurve2,S23,TRUE,Trigger)</f>
        <v>0.86935420491733639</v>
      </c>
      <c r="Z23" s="238">
        <f t="shared" si="4"/>
        <v>6.089468843617496E-7</v>
      </c>
      <c r="AA23" s="228"/>
      <c r="AE23" s="239"/>
      <c r="AF23" s="239"/>
    </row>
    <row r="24" spans="1:32" x14ac:dyDescent="0.2">
      <c r="A24" s="229" t="str">
        <v>EUR3E6E15Y</v>
      </c>
      <c r="B24" s="230">
        <v>47673</v>
      </c>
      <c r="C24" s="231">
        <v>1.3295049999999999E-2</v>
      </c>
      <c r="D24" s="231">
        <f>Selected!H23</f>
        <v>1.3295049999999999E-2</v>
      </c>
      <c r="E24" s="238">
        <f t="shared" si="0"/>
        <v>0</v>
      </c>
      <c r="F24" s="230">
        <f>Selected!L23</f>
        <v>47673</v>
      </c>
      <c r="G24" s="226"/>
      <c r="H24" s="232" t="s">
        <v>124</v>
      </c>
      <c r="I24" s="230">
        <v>47673</v>
      </c>
      <c r="J24" s="233">
        <f>_xll.qlDayCounterYearFraction($J$2,_xll.qlSettingsEvaluationDate(Trigger),I24,,,Trigger)</f>
        <v>15.016438356164384</v>
      </c>
      <c r="K24" s="231">
        <v>1.3598681304498201E-2</v>
      </c>
      <c r="L24" s="231">
        <f>_xll.qlYieldTSZeroRate(YieldCurve1,I24,$J$2,,,TRUE,Trigger)</f>
        <v>1.3598681303973811E-2</v>
      </c>
      <c r="M24" s="238">
        <f t="shared" si="1"/>
        <v>5.2438955955302902E-13</v>
      </c>
      <c r="N24" s="234">
        <v>0.815296229881458</v>
      </c>
      <c r="O24" s="234">
        <f>_xll.qlYieldTSDiscount(YieldCurve1,I24,TRUE,Trigger)</f>
        <v>0.81529622988787764</v>
      </c>
      <c r="P24" s="238">
        <f t="shared" si="2"/>
        <v>6.4196425952900427E-12</v>
      </c>
      <c r="Q24" s="226"/>
      <c r="R24" s="232" t="s">
        <v>124</v>
      </c>
      <c r="S24" s="230">
        <v>47673</v>
      </c>
      <c r="T24" s="233">
        <f>_xll.qlDayCounterYearFraction($T$2,_xll.qlSettingsEvaluationDate(Trigger),S24,,,Trigger)</f>
        <v>15.016438356164384</v>
      </c>
      <c r="U24" s="231">
        <v>1.3595854739325701E-2</v>
      </c>
      <c r="V24" s="231">
        <f>_xll.qlYieldTSZeroRate(YieldCurve2,S24,$T$2,,,TRUE,Trigger)</f>
        <v>1.3595808095369498E-2</v>
      </c>
      <c r="W24" s="238">
        <f t="shared" si="3"/>
        <v>4.6643956202671588E-8</v>
      </c>
      <c r="X24" s="234">
        <v>0.81533083581679899</v>
      </c>
      <c r="Y24" s="234">
        <f>_xll.qlYieldTSDiscount(YieldCurve2,S24,TRUE,Trigger)</f>
        <v>0.81533140689599082</v>
      </c>
      <c r="Z24" s="238">
        <f t="shared" si="4"/>
        <v>5.710791918245306E-7</v>
      </c>
      <c r="AA24" s="228"/>
      <c r="AE24" s="239"/>
      <c r="AF24" s="239"/>
    </row>
    <row r="25" spans="1:32" x14ac:dyDescent="0.2">
      <c r="A25" s="229" t="str">
        <v>EUR3E6E20Y</v>
      </c>
      <c r="B25" s="230">
        <v>49499</v>
      </c>
      <c r="C25" s="231">
        <v>1.4817149999999999E-2</v>
      </c>
      <c r="D25" s="231">
        <f>Selected!H24</f>
        <v>1.4817149999999999E-2</v>
      </c>
      <c r="E25" s="238">
        <f t="shared" si="0"/>
        <v>0</v>
      </c>
      <c r="F25" s="230">
        <f>Selected!L24</f>
        <v>49499</v>
      </c>
      <c r="G25" s="226"/>
      <c r="H25" s="232" t="s">
        <v>124</v>
      </c>
      <c r="I25" s="230">
        <v>49499</v>
      </c>
      <c r="J25" s="233">
        <f>_xll.qlDayCounterYearFraction($J$2,_xll.qlSettingsEvaluationDate(Trigger),I25,,,Trigger)</f>
        <v>20.019178082191782</v>
      </c>
      <c r="K25" s="231">
        <v>1.52240308208369E-2</v>
      </c>
      <c r="L25" s="231">
        <f>_xll.qlYieldTSZeroRate(YieldCurve1,I25,$J$2,,,TRUE,Trigger)</f>
        <v>1.5224030820444941E-2</v>
      </c>
      <c r="M25" s="238">
        <f t="shared" si="1"/>
        <v>3.9195903467348359E-13</v>
      </c>
      <c r="N25" s="234">
        <v>0.737291027007005</v>
      </c>
      <c r="O25" s="234">
        <f>_xll.qlYieldTSDiscount(YieldCurve1,I25,TRUE,Trigger)</f>
        <v>0.73729102701278937</v>
      </c>
      <c r="P25" s="238">
        <f t="shared" si="2"/>
        <v>5.7843729805995281E-12</v>
      </c>
      <c r="Q25" s="226"/>
      <c r="R25" s="232" t="s">
        <v>124</v>
      </c>
      <c r="S25" s="230">
        <v>49499</v>
      </c>
      <c r="T25" s="233">
        <f>_xll.qlDayCounterYearFraction($T$2,_xll.qlSettingsEvaluationDate(Trigger),S25,,,Trigger)</f>
        <v>20.019178082191782</v>
      </c>
      <c r="U25" s="231">
        <v>1.52132869184726E-2</v>
      </c>
      <c r="V25" s="231">
        <f>_xll.qlYieldTSZeroRate(YieldCurve2,S25,$T$2,,,TRUE,Trigger)</f>
        <v>1.5213251929199804E-2</v>
      </c>
      <c r="W25" s="238">
        <f t="shared" si="3"/>
        <v>3.4989272795077353E-8</v>
      </c>
      <c r="X25" s="234">
        <v>0.73744962363529298</v>
      </c>
      <c r="Y25" s="234">
        <f>_xll.qlYieldTSDiscount(YieldCurve2,S25,TRUE,Trigger)</f>
        <v>0.73745014018684474</v>
      </c>
      <c r="Z25" s="238">
        <f t="shared" si="4"/>
        <v>5.1655155175467371E-7</v>
      </c>
      <c r="AA25" s="228"/>
      <c r="AE25" s="239"/>
      <c r="AF25" s="239"/>
    </row>
    <row r="26" spans="1:32" x14ac:dyDescent="0.2">
      <c r="A26" s="229" t="str">
        <v>EUR3E6E25Y</v>
      </c>
      <c r="B26" s="230">
        <v>51326</v>
      </c>
      <c r="C26" s="231">
        <v>1.521515E-2</v>
      </c>
      <c r="D26" s="231">
        <f>Selected!H25</f>
        <v>1.521515E-2</v>
      </c>
      <c r="E26" s="238">
        <f t="shared" si="0"/>
        <v>0</v>
      </c>
      <c r="F26" s="230">
        <f>Selected!L25</f>
        <v>51326</v>
      </c>
      <c r="G26" s="226"/>
      <c r="H26" s="232" t="s">
        <v>124</v>
      </c>
      <c r="I26" s="230">
        <v>51326</v>
      </c>
      <c r="J26" s="233">
        <f>_xll.qlDayCounterYearFraction($J$2,_xll.qlSettingsEvaluationDate(Trigger),I26,,,Trigger)</f>
        <v>25.024657534246575</v>
      </c>
      <c r="K26" s="231">
        <v>1.55912031677577E-2</v>
      </c>
      <c r="L26" s="231">
        <f>_xll.qlYieldTSZeroRate(YieldCurve1,I26,$J$2,,,TRUE,Trigger)</f>
        <v>1.5591203167444865E-2</v>
      </c>
      <c r="M26" s="238">
        <f t="shared" si="1"/>
        <v>3.1283482748722946E-13</v>
      </c>
      <c r="N26" s="234">
        <v>0.67694549438541496</v>
      </c>
      <c r="O26" s="234">
        <f>_xll.qlYieldTSDiscount(YieldCurve1,I26,TRUE,Trigger)</f>
        <v>0.6769454943907135</v>
      </c>
      <c r="P26" s="238">
        <f t="shared" si="2"/>
        <v>5.2985393850235596E-12</v>
      </c>
      <c r="Q26" s="226"/>
      <c r="R26" s="232" t="s">
        <v>124</v>
      </c>
      <c r="S26" s="230">
        <v>51326</v>
      </c>
      <c r="T26" s="233">
        <f>_xll.qlDayCounterYearFraction($T$2,_xll.qlSettingsEvaluationDate(Trigger),S26,,,Trigger)</f>
        <v>25.024657534246575</v>
      </c>
      <c r="U26" s="231">
        <v>1.55786347514115E-2</v>
      </c>
      <c r="V26" s="231">
        <f>_xll.qlYieldTSZeroRate(YieldCurve2,S26,$T$2,,,TRUE,Trigger)</f>
        <v>1.5578606761077633E-2</v>
      </c>
      <c r="W26" s="238">
        <f t="shared" si="3"/>
        <v>2.7990333866662054E-8</v>
      </c>
      <c r="X26" s="234">
        <v>0.67715844098167799</v>
      </c>
      <c r="Y26" s="234">
        <f>_xll.qlYieldTSDiscount(YieldCurve2,S26,TRUE,Trigger)</f>
        <v>0.67715891529647143</v>
      </c>
      <c r="Z26" s="238">
        <f t="shared" si="4"/>
        <v>4.7431479344162142E-7</v>
      </c>
      <c r="AA26" s="228"/>
      <c r="AE26" s="239"/>
      <c r="AF26" s="239"/>
    </row>
    <row r="27" spans="1:32" x14ac:dyDescent="0.2">
      <c r="A27" s="229" t="str">
        <v>EUR3E6E30Y</v>
      </c>
      <c r="B27" s="230">
        <v>53153</v>
      </c>
      <c r="C27" s="231">
        <v>1.535215E-2</v>
      </c>
      <c r="D27" s="231">
        <f>Selected!H26</f>
        <v>1.535215E-2</v>
      </c>
      <c r="E27" s="238">
        <f t="shared" si="0"/>
        <v>0</v>
      </c>
      <c r="F27" s="230">
        <f>Selected!L26</f>
        <v>53153</v>
      </c>
      <c r="G27" s="226"/>
      <c r="H27" s="232" t="s">
        <v>124</v>
      </c>
      <c r="I27" s="230">
        <v>53153</v>
      </c>
      <c r="J27" s="233">
        <f>_xll.qlDayCounterYearFraction($J$2,_xll.qlSettingsEvaluationDate(Trigger),I27,,,Trigger)</f>
        <v>30.030136986301368</v>
      </c>
      <c r="K27" s="231">
        <v>1.5678016754395101E-2</v>
      </c>
      <c r="L27" s="231">
        <f>_xll.qlYieldTSZeroRate(YieldCurve1,I27,$J$2,,,TRUE,Trigger)</f>
        <v>1.5678016753608245E-2</v>
      </c>
      <c r="M27" s="238">
        <f t="shared" si="1"/>
        <v>7.8685669091527188E-13</v>
      </c>
      <c r="N27" s="234">
        <v>0.62449435367652895</v>
      </c>
      <c r="O27" s="234">
        <f>_xll.qlYieldTSDiscount(YieldCurve1,I27,TRUE,Trigger)</f>
        <v>0.62449435369128492</v>
      </c>
      <c r="P27" s="238">
        <f t="shared" si="2"/>
        <v>1.4755974220292956E-11</v>
      </c>
      <c r="Q27" s="226"/>
      <c r="R27" s="232" t="s">
        <v>124</v>
      </c>
      <c r="S27" s="230">
        <v>53153</v>
      </c>
      <c r="T27" s="233">
        <f>_xll.qlDayCounterYearFraction($T$2,_xll.qlSettingsEvaluationDate(Trigger),S27,,,Trigger)</f>
        <v>30.030136986301368</v>
      </c>
      <c r="U27" s="231">
        <v>1.5667480420262201E-2</v>
      </c>
      <c r="V27" s="231">
        <f>_xll.qlYieldTSZeroRate(YieldCurve2,S27,$T$2,,,TRUE,Trigger)</f>
        <v>1.5667457095287558E-2</v>
      </c>
      <c r="W27" s="238">
        <f t="shared" si="3"/>
        <v>2.3324974642718876E-8</v>
      </c>
      <c r="X27" s="234">
        <v>0.62469197967307999</v>
      </c>
      <c r="Y27" s="234">
        <f>_xll.qlYieldTSDiscount(YieldCurve2,S27,TRUE,Trigger)</f>
        <v>0.62469241724009583</v>
      </c>
      <c r="Z27" s="238">
        <f t="shared" si="4"/>
        <v>4.3756701584296565E-7</v>
      </c>
      <c r="AA27" s="228"/>
      <c r="AE27" s="239"/>
      <c r="AF27" s="239"/>
    </row>
    <row r="28" spans="1:32" x14ac:dyDescent="0.2">
      <c r="A28" s="229" t="str">
        <v>EUR3E6E40Y</v>
      </c>
      <c r="B28" s="230">
        <v>56804</v>
      </c>
      <c r="C28" s="231">
        <v>1.552775E-2</v>
      </c>
      <c r="D28" s="231">
        <f>Selected!H27</f>
        <v>1.552775E-2</v>
      </c>
      <c r="E28" s="238">
        <f t="shared" si="0"/>
        <v>0</v>
      </c>
      <c r="F28" s="230">
        <f>Selected!L27</f>
        <v>56804</v>
      </c>
      <c r="G28" s="226"/>
      <c r="H28" s="232" t="s">
        <v>124</v>
      </c>
      <c r="I28" s="230">
        <v>56804</v>
      </c>
      <c r="J28" s="233">
        <f>_xll.qlDayCounterYearFraction($J$2,_xll.qlSettingsEvaluationDate(Trigger),I28,,,Trigger)</f>
        <v>40.032876712328765</v>
      </c>
      <c r="K28" s="231">
        <v>1.5793355030627499E-2</v>
      </c>
      <c r="L28" s="231">
        <f>_xll.qlYieldTSZeroRate(YieldCurve1,I28,$J$2,,,TRUE,Trigger)</f>
        <v>1.5793355030483808E-2</v>
      </c>
      <c r="M28" s="238">
        <f t="shared" si="1"/>
        <v>1.4369061496211089E-13</v>
      </c>
      <c r="N28" s="234">
        <v>0.53139299132727302</v>
      </c>
      <c r="O28" s="234">
        <f>_xll.qlYieldTSDiscount(YieldCurve1,I28,TRUE,Trigger)</f>
        <v>0.53139299133033013</v>
      </c>
      <c r="P28" s="238">
        <f t="shared" si="2"/>
        <v>3.057110120607831E-12</v>
      </c>
      <c r="Q28" s="226"/>
      <c r="R28" s="232" t="s">
        <v>124</v>
      </c>
      <c r="S28" s="230">
        <v>56804</v>
      </c>
      <c r="T28" s="233">
        <f>_xll.qlDayCounterYearFraction($T$2,_xll.qlSettingsEvaluationDate(Trigger),S28,,,Trigger)</f>
        <v>40.032876712328765</v>
      </c>
      <c r="U28" s="231">
        <v>1.577892486861E-2</v>
      </c>
      <c r="V28" s="231">
        <f>_xll.qlYieldTSZeroRate(YieldCurve2,S28,$T$2,,,TRUE,Trigger)</f>
        <v>1.5778907371766522E-2</v>
      </c>
      <c r="W28" s="238">
        <f t="shared" si="3"/>
        <v>1.7496843477543544E-8</v>
      </c>
      <c r="X28" s="234">
        <v>0.53170005559119604</v>
      </c>
      <c r="Y28" s="234">
        <f>_xll.qlYieldTSDiscount(YieldCurve2,S28,TRUE,Trigger)</f>
        <v>0.53170042802008644</v>
      </c>
      <c r="Z28" s="238">
        <f t="shared" si="4"/>
        <v>3.7242889039390548E-7</v>
      </c>
      <c r="AA28" s="228"/>
      <c r="AE28" s="239"/>
      <c r="AF28" s="239"/>
    </row>
    <row r="29" spans="1:32" x14ac:dyDescent="0.2">
      <c r="A29" s="229" t="str">
        <v>EUR3E6E50Y</v>
      </c>
      <c r="B29" s="230">
        <v>60457</v>
      </c>
      <c r="C29" s="231">
        <v>1.513275E-2</v>
      </c>
      <c r="D29" s="231">
        <f>Selected!H28</f>
        <v>1.513275E-2</v>
      </c>
      <c r="E29" s="238">
        <f t="shared" si="0"/>
        <v>0</v>
      </c>
      <c r="F29" s="230">
        <f>Selected!L28</f>
        <v>60457</v>
      </c>
      <c r="G29" s="226"/>
      <c r="H29" s="232" t="s">
        <v>124</v>
      </c>
      <c r="I29" s="230">
        <v>60457</v>
      </c>
      <c r="J29" s="233">
        <f>_xll.qlDayCounterYearFraction($J$2,_xll.qlSettingsEvaluationDate(Trigger),I29,,,Trigger)</f>
        <v>50.041095890410958</v>
      </c>
      <c r="K29" s="231">
        <v>1.51681123941201E-2</v>
      </c>
      <c r="L29" s="231">
        <f>_xll.qlYieldTSZeroRate(YieldCurve1,I29,$J$2,,,TRUE,Trigger)</f>
        <v>1.5168112394005985E-2</v>
      </c>
      <c r="M29" s="238">
        <f t="shared" si="1"/>
        <v>1.141153144201823E-13</v>
      </c>
      <c r="N29" s="234">
        <v>0.46812076719541601</v>
      </c>
      <c r="O29" s="234">
        <f>_xll.qlYieldTSDiscount(YieldCurve1,I29,TRUE,Trigger)</f>
        <v>0.46812076719809032</v>
      </c>
      <c r="P29" s="238">
        <f t="shared" si="2"/>
        <v>2.6743052217170771E-12</v>
      </c>
      <c r="Q29" s="226"/>
      <c r="R29" s="232" t="s">
        <v>124</v>
      </c>
      <c r="S29" s="230">
        <v>60457</v>
      </c>
      <c r="T29" s="233">
        <f>_xll.qlDayCounterYearFraction($T$2,_xll.qlSettingsEvaluationDate(Trigger),S29,,,Trigger)</f>
        <v>50.041095890410958</v>
      </c>
      <c r="U29" s="231">
        <v>1.51555680742749E-2</v>
      </c>
      <c r="V29" s="231">
        <f>_xll.qlYieldTSZeroRate(YieldCurve2,S29,$T$2,,,TRUE,Trigger)</f>
        <v>1.5155554076793573E-2</v>
      </c>
      <c r="W29" s="238">
        <f t="shared" si="3"/>
        <v>1.3997481326799566E-8</v>
      </c>
      <c r="X29" s="234">
        <v>0.46841471360258602</v>
      </c>
      <c r="Y29" s="234">
        <f>_xll.qlYieldTSDiscount(YieldCurve2,S29,TRUE,Trigger)</f>
        <v>0.46841504170346071</v>
      </c>
      <c r="Z29" s="238">
        <f t="shared" si="4"/>
        <v>3.2810087469137272E-7</v>
      </c>
      <c r="AA29" s="228"/>
      <c r="AE29" s="239"/>
      <c r="AF29" s="239"/>
    </row>
    <row r="30" spans="1:32" x14ac:dyDescent="0.2">
      <c r="A30" s="229" t="str">
        <v>EUR3E6E60Y</v>
      </c>
      <c r="B30" s="230">
        <v>64109</v>
      </c>
      <c r="C30" s="231">
        <v>1.4892499999999999E-2</v>
      </c>
      <c r="D30" s="231">
        <f>Selected!H29</f>
        <v>1.4892499999999999E-2</v>
      </c>
      <c r="E30" s="238">
        <f t="shared" si="0"/>
        <v>0</v>
      </c>
      <c r="F30" s="230">
        <f>Selected!L29</f>
        <v>64109</v>
      </c>
      <c r="G30" s="226"/>
      <c r="H30" s="232" t="s">
        <v>124</v>
      </c>
      <c r="I30" s="230">
        <v>64109</v>
      </c>
      <c r="J30" s="233">
        <f>_xll.qlDayCounterYearFraction($J$2,_xll.qlSettingsEvaluationDate(Trigger),I30,,,Trigger)</f>
        <v>60.046575342465751</v>
      </c>
      <c r="K30" s="231">
        <v>1.47874426539387E-2</v>
      </c>
      <c r="L30" s="231">
        <f>_xll.qlYieldTSZeroRate(YieldCurve1,I30,$J$2,,,TRUE,Trigger)</f>
        <v>1.4787442653842213E-2</v>
      </c>
      <c r="M30" s="238">
        <f t="shared" si="1"/>
        <v>9.6487054457305987E-14</v>
      </c>
      <c r="N30" s="234">
        <v>0.41150451394227699</v>
      </c>
      <c r="O30" s="234">
        <f>_xll.qlYieldTSDiscount(YieldCurve1,I30,TRUE,Trigger)</f>
        <v>0.41150451394466125</v>
      </c>
      <c r="P30" s="238">
        <f t="shared" si="2"/>
        <v>2.3842594565337549E-12</v>
      </c>
      <c r="Q30" s="226"/>
      <c r="R30" s="232" t="s">
        <v>124</v>
      </c>
      <c r="S30" s="230">
        <v>64109</v>
      </c>
      <c r="T30" s="233">
        <f>_xll.qlDayCounterYearFraction($T$2,_xll.qlSettingsEvaluationDate(Trigger),S30,,,Trigger)</f>
        <v>60.046575342465751</v>
      </c>
      <c r="U30" s="231">
        <v>1.4781164699841901E-2</v>
      </c>
      <c r="V30" s="231">
        <f>_xll.qlYieldTSZeroRate(YieldCurve2,S30,$T$2,,,TRUE,Trigger)</f>
        <v>1.4781153034722359E-2</v>
      </c>
      <c r="W30" s="238">
        <f t="shared" si="3"/>
        <v>1.1665119542189628E-8</v>
      </c>
      <c r="X30" s="234">
        <v>0.41165966789459402</v>
      </c>
      <c r="Y30" s="234">
        <f>_xll.qlYieldTSDiscount(YieldCurve2,S30,TRUE,Trigger)</f>
        <v>0.41165995624190699</v>
      </c>
      <c r="Z30" s="238">
        <f t="shared" si="4"/>
        <v>2.883473129711156E-7</v>
      </c>
      <c r="AA30" s="228"/>
      <c r="AE30" s="239"/>
      <c r="AF30" s="239"/>
    </row>
    <row r="31" spans="1:32" ht="12" thickBot="1" x14ac:dyDescent="0.25">
      <c r="A31" s="235"/>
      <c r="B31" s="236"/>
      <c r="C31" s="236"/>
      <c r="D31" s="236"/>
      <c r="E31" s="236"/>
      <c r="F31" s="236"/>
      <c r="G31" s="236"/>
      <c r="H31" s="236"/>
      <c r="I31" s="236"/>
      <c r="J31" s="236"/>
      <c r="K31" s="236"/>
      <c r="L31" s="236"/>
      <c r="M31" s="236"/>
      <c r="N31" s="236"/>
      <c r="O31" s="236"/>
      <c r="P31" s="236"/>
      <c r="Q31" s="236"/>
      <c r="R31" s="236"/>
      <c r="S31" s="236"/>
      <c r="T31" s="236"/>
      <c r="U31" s="236"/>
      <c r="V31" s="236"/>
      <c r="W31" s="236"/>
      <c r="X31" s="236"/>
      <c r="Y31" s="236"/>
      <c r="Z31" s="236"/>
      <c r="AA31" s="237"/>
      <c r="AE31" s="239"/>
      <c r="AF31" s="239"/>
    </row>
    <row r="32" spans="1:32" x14ac:dyDescent="0.2">
      <c r="AE32" s="239"/>
      <c r="AF32" s="239"/>
    </row>
    <row r="33" spans="31:32" x14ac:dyDescent="0.2">
      <c r="AE33" s="239"/>
      <c r="AF33" s="239"/>
    </row>
    <row r="34" spans="31:32" x14ac:dyDescent="0.2">
      <c r="AE34" s="239"/>
      <c r="AF34" s="239"/>
    </row>
    <row r="35" spans="31:32" x14ac:dyDescent="0.2">
      <c r="AE35" s="239"/>
      <c r="AF35" s="239"/>
    </row>
    <row r="36" spans="31:32" x14ac:dyDescent="0.2">
      <c r="AE36" s="239"/>
      <c r="AF36" s="239"/>
    </row>
    <row r="37" spans="31:32" x14ac:dyDescent="0.2">
      <c r="AE37" s="239"/>
      <c r="AF37" s="239"/>
    </row>
    <row r="38" spans="31:32" x14ac:dyDescent="0.2">
      <c r="AE38" s="239"/>
      <c r="AF38" s="239"/>
    </row>
    <row r="39" spans="31:32" x14ac:dyDescent="0.2">
      <c r="AE39" s="239"/>
      <c r="AF39" s="239"/>
    </row>
    <row r="40" spans="31:32" x14ac:dyDescent="0.2">
      <c r="AE40" s="239"/>
      <c r="AF40" s="239"/>
    </row>
    <row r="41" spans="31:32" x14ac:dyDescent="0.2">
      <c r="AE41" s="239"/>
      <c r="AF41" s="239"/>
    </row>
    <row r="42" spans="31:32" x14ac:dyDescent="0.2">
      <c r="AE42" s="239"/>
      <c r="AF42" s="239"/>
    </row>
    <row r="43" spans="31:32" x14ac:dyDescent="0.2">
      <c r="AE43" s="239"/>
      <c r="AF43" s="239"/>
    </row>
    <row r="44" spans="31:32" x14ac:dyDescent="0.2">
      <c r="AE44" s="239"/>
      <c r="AF44" s="239"/>
    </row>
    <row r="45" spans="31:32" x14ac:dyDescent="0.2">
      <c r="AE45" s="239"/>
      <c r="AF45" s="239"/>
    </row>
    <row r="46" spans="31:32" x14ac:dyDescent="0.2">
      <c r="AE46" s="239"/>
      <c r="AF46" s="239"/>
    </row>
    <row r="47" spans="31:32" x14ac:dyDescent="0.2">
      <c r="AE47" s="239"/>
      <c r="AF47" s="239"/>
    </row>
    <row r="48" spans="31:32" x14ac:dyDescent="0.2">
      <c r="AE48" s="239"/>
      <c r="AF48" s="239"/>
    </row>
    <row r="49" spans="31:32" x14ac:dyDescent="0.2">
      <c r="AE49" s="239"/>
      <c r="AF49" s="239"/>
    </row>
    <row r="50" spans="31:32" x14ac:dyDescent="0.2">
      <c r="AE50" s="239"/>
      <c r="AF50" s="239"/>
    </row>
    <row r="51" spans="31:32" x14ac:dyDescent="0.2">
      <c r="AE51" s="239"/>
      <c r="AF51" s="239"/>
    </row>
    <row r="52" spans="31:32" x14ac:dyDescent="0.2">
      <c r="AE52" s="239"/>
      <c r="AF52" s="239"/>
    </row>
    <row r="53" spans="31:32" x14ac:dyDescent="0.2">
      <c r="AE53" s="239"/>
      <c r="AF53" s="239"/>
    </row>
    <row r="54" spans="31:32" x14ac:dyDescent="0.2">
      <c r="AE54" s="239"/>
      <c r="AF54" s="239"/>
    </row>
    <row r="55" spans="31:32" x14ac:dyDescent="0.2">
      <c r="AE55" s="239"/>
      <c r="AF55" s="239"/>
    </row>
    <row r="56" spans="31:32" x14ac:dyDescent="0.2">
      <c r="AE56" s="239"/>
      <c r="AF56" s="239"/>
    </row>
    <row r="57" spans="31:32" x14ac:dyDescent="0.2">
      <c r="AE57" s="239"/>
      <c r="AF57" s="239"/>
    </row>
    <row r="58" spans="31:32" x14ac:dyDescent="0.2">
      <c r="AE58" s="239"/>
      <c r="AF58" s="239"/>
    </row>
    <row r="59" spans="31:32" x14ac:dyDescent="0.2">
      <c r="AE59" s="239"/>
      <c r="AF59" s="239"/>
    </row>
    <row r="60" spans="31:32" x14ac:dyDescent="0.2">
      <c r="AE60" s="239"/>
      <c r="AF60" s="239"/>
    </row>
    <row r="61" spans="31:32" x14ac:dyDescent="0.2">
      <c r="AE61" s="239"/>
      <c r="AF61" s="239"/>
    </row>
    <row r="62" spans="31:32" x14ac:dyDescent="0.2">
      <c r="AE62" s="239"/>
      <c r="AF62" s="239"/>
    </row>
    <row r="63" spans="31:32" x14ac:dyDescent="0.2">
      <c r="AE63" s="239"/>
      <c r="AF63" s="239"/>
    </row>
    <row r="64" spans="31:32" x14ac:dyDescent="0.2">
      <c r="AE64" s="239"/>
      <c r="AF64" s="239"/>
    </row>
    <row r="65" spans="31:32" x14ac:dyDescent="0.2">
      <c r="AE65" s="239"/>
      <c r="AF65" s="239"/>
    </row>
    <row r="66" spans="31:32" x14ac:dyDescent="0.2">
      <c r="AE66" s="239"/>
      <c r="AF66" s="239"/>
    </row>
    <row r="67" spans="31:32" x14ac:dyDescent="0.2">
      <c r="AE67" s="239"/>
      <c r="AF67" s="239"/>
    </row>
    <row r="68" spans="31:32" x14ac:dyDescent="0.2">
      <c r="AE68" s="239"/>
      <c r="AF68" s="239"/>
    </row>
    <row r="69" spans="31:32" x14ac:dyDescent="0.2">
      <c r="AE69" s="239"/>
      <c r="AF69" s="239"/>
    </row>
    <row r="70" spans="31:32" x14ac:dyDescent="0.2">
      <c r="AE70" s="239"/>
      <c r="AF70" s="239"/>
    </row>
    <row r="71" spans="31:32" x14ac:dyDescent="0.2">
      <c r="AE71" s="239"/>
      <c r="AF71" s="239"/>
    </row>
    <row r="72" spans="31:32" x14ac:dyDescent="0.2">
      <c r="AE72" s="239"/>
      <c r="AF72" s="239"/>
    </row>
    <row r="73" spans="31:32" x14ac:dyDescent="0.2">
      <c r="AE73" s="239"/>
      <c r="AF73" s="239"/>
    </row>
    <row r="74" spans="31:32" x14ac:dyDescent="0.2">
      <c r="AE74" s="239"/>
      <c r="AF74" s="239"/>
    </row>
    <row r="75" spans="31:32" x14ac:dyDescent="0.2">
      <c r="AE75" s="239"/>
      <c r="AF75" s="239"/>
    </row>
    <row r="76" spans="31:32" x14ac:dyDescent="0.2">
      <c r="AE76" s="239"/>
      <c r="AF76" s="239"/>
    </row>
    <row r="77" spans="31:32" x14ac:dyDescent="0.2">
      <c r="AE77" s="239"/>
      <c r="AF77" s="239"/>
    </row>
    <row r="78" spans="31:32" x14ac:dyDescent="0.2">
      <c r="AE78" s="239"/>
      <c r="AF78" s="239"/>
    </row>
    <row r="79" spans="31:32" x14ac:dyDescent="0.2">
      <c r="AE79" s="239"/>
      <c r="AF79" s="239"/>
    </row>
    <row r="80" spans="31:32" x14ac:dyDescent="0.2">
      <c r="AE80" s="239"/>
      <c r="AF80" s="239"/>
    </row>
    <row r="81" spans="31:32" x14ac:dyDescent="0.2">
      <c r="AE81" s="239"/>
      <c r="AF81" s="239"/>
    </row>
    <row r="82" spans="31:32" x14ac:dyDescent="0.2">
      <c r="AE82" s="239"/>
      <c r="AF82" s="239"/>
    </row>
    <row r="83" spans="31:32" x14ac:dyDescent="0.2">
      <c r="AE83" s="239"/>
      <c r="AF83" s="239"/>
    </row>
    <row r="84" spans="31:32" x14ac:dyDescent="0.2">
      <c r="AE84" s="239"/>
      <c r="AF84" s="239"/>
    </row>
    <row r="85" spans="31:32" x14ac:dyDescent="0.2">
      <c r="AE85" s="239"/>
      <c r="AF85" s="239"/>
    </row>
    <row r="86" spans="31:32" x14ac:dyDescent="0.2">
      <c r="AE86" s="239"/>
      <c r="AF86" s="239"/>
    </row>
    <row r="87" spans="31:32" x14ac:dyDescent="0.2">
      <c r="AE87" s="239"/>
      <c r="AF87" s="239"/>
    </row>
    <row r="88" spans="31:32" x14ac:dyDescent="0.2">
      <c r="AE88" s="239"/>
      <c r="AF88" s="239"/>
    </row>
    <row r="89" spans="31:32" x14ac:dyDescent="0.2">
      <c r="AE89" s="239"/>
      <c r="AF89" s="239"/>
    </row>
    <row r="90" spans="31:32" x14ac:dyDescent="0.2">
      <c r="AE90" s="239"/>
      <c r="AF90" s="239"/>
    </row>
    <row r="91" spans="31:32" x14ac:dyDescent="0.2">
      <c r="AE91" s="239"/>
      <c r="AF91" s="239"/>
    </row>
    <row r="92" spans="31:32" x14ac:dyDescent="0.2">
      <c r="AE92" s="239"/>
      <c r="AF92" s="239"/>
    </row>
    <row r="93" spans="31:32" x14ac:dyDescent="0.2">
      <c r="AE93" s="239"/>
      <c r="AF93" s="239"/>
    </row>
    <row r="94" spans="31:32" x14ac:dyDescent="0.2">
      <c r="AE94" s="239"/>
      <c r="AF94" s="239"/>
    </row>
    <row r="95" spans="31:32" x14ac:dyDescent="0.2">
      <c r="AE95" s="239"/>
      <c r="AF95" s="239"/>
    </row>
    <row r="96" spans="31:32" x14ac:dyDescent="0.2">
      <c r="AE96" s="239"/>
      <c r="AF96" s="239"/>
    </row>
    <row r="97" spans="31:32" x14ac:dyDescent="0.2">
      <c r="AE97" s="239"/>
      <c r="AF97" s="239"/>
    </row>
    <row r="98" spans="31:32" x14ac:dyDescent="0.2">
      <c r="AE98" s="239"/>
      <c r="AF98" s="239"/>
    </row>
    <row r="99" spans="31:32" x14ac:dyDescent="0.2">
      <c r="AE99" s="239"/>
      <c r="AF99" s="239"/>
    </row>
    <row r="100" spans="31:32" x14ac:dyDescent="0.2">
      <c r="AE100" s="239"/>
      <c r="AF100" s="239"/>
    </row>
    <row r="101" spans="31:32" x14ac:dyDescent="0.2">
      <c r="AE101" s="239"/>
      <c r="AF101" s="239"/>
    </row>
    <row r="102" spans="31:32" x14ac:dyDescent="0.2">
      <c r="AE102" s="239"/>
      <c r="AF102" s="239"/>
    </row>
    <row r="103" spans="31:32" x14ac:dyDescent="0.2">
      <c r="AE103" s="239"/>
      <c r="AF103" s="239"/>
    </row>
    <row r="104" spans="31:32" x14ac:dyDescent="0.2">
      <c r="AE104" s="239"/>
      <c r="AF104" s="239"/>
    </row>
    <row r="105" spans="31:32" x14ac:dyDescent="0.2">
      <c r="AE105" s="239"/>
      <c r="AF105" s="239"/>
    </row>
    <row r="106" spans="31:32" x14ac:dyDescent="0.2">
      <c r="AE106" s="239"/>
      <c r="AF106" s="239"/>
    </row>
    <row r="107" spans="31:32" x14ac:dyDescent="0.2">
      <c r="AE107" s="239"/>
      <c r="AF107" s="239"/>
    </row>
    <row r="108" spans="31:32" x14ac:dyDescent="0.2">
      <c r="AE108" s="239"/>
      <c r="AF108" s="239"/>
    </row>
    <row r="109" spans="31:32" x14ac:dyDescent="0.2">
      <c r="AE109" s="239"/>
      <c r="AF109" s="239"/>
    </row>
    <row r="110" spans="31:32" x14ac:dyDescent="0.2">
      <c r="AE110" s="239"/>
      <c r="AF110" s="239"/>
    </row>
    <row r="111" spans="31:32" x14ac:dyDescent="0.2">
      <c r="AE111" s="239"/>
      <c r="AF111" s="239"/>
    </row>
    <row r="112" spans="31:32" x14ac:dyDescent="0.2">
      <c r="AE112" s="239"/>
      <c r="AF112" s="239"/>
    </row>
    <row r="113" spans="31:32" x14ac:dyDescent="0.2">
      <c r="AE113" s="239"/>
      <c r="AF113" s="239"/>
    </row>
    <row r="114" spans="31:32" x14ac:dyDescent="0.2">
      <c r="AE114" s="239"/>
      <c r="AF114" s="239"/>
    </row>
    <row r="115" spans="31:32" x14ac:dyDescent="0.2">
      <c r="AE115" s="239"/>
      <c r="AF115" s="239"/>
    </row>
    <row r="116" spans="31:32" x14ac:dyDescent="0.2">
      <c r="AE116" s="239"/>
      <c r="AF116" s="239"/>
    </row>
    <row r="117" spans="31:32" x14ac:dyDescent="0.2">
      <c r="AE117" s="239"/>
      <c r="AF117" s="239"/>
    </row>
    <row r="118" spans="31:32" x14ac:dyDescent="0.2">
      <c r="AE118" s="239"/>
      <c r="AF118" s="239"/>
    </row>
    <row r="119" spans="31:32" x14ac:dyDescent="0.2">
      <c r="AE119" s="239"/>
      <c r="AF119" s="239"/>
    </row>
    <row r="120" spans="31:32" x14ac:dyDescent="0.2">
      <c r="AE120" s="239"/>
      <c r="AF120" s="239"/>
    </row>
    <row r="121" spans="31:32" x14ac:dyDescent="0.2">
      <c r="AE121" s="239"/>
      <c r="AF121" s="239"/>
    </row>
    <row r="122" spans="31:32" x14ac:dyDescent="0.2">
      <c r="AE122" s="239"/>
      <c r="AF122" s="239"/>
    </row>
    <row r="123" spans="31:32" x14ac:dyDescent="0.2">
      <c r="AE123" s="239"/>
      <c r="AF123" s="239"/>
    </row>
    <row r="124" spans="31:32" x14ac:dyDescent="0.2">
      <c r="AE124" s="239"/>
      <c r="AF124" s="239"/>
    </row>
    <row r="125" spans="31:32" x14ac:dyDescent="0.2">
      <c r="AE125" s="239"/>
      <c r="AF125" s="239"/>
    </row>
    <row r="126" spans="31:32" x14ac:dyDescent="0.2">
      <c r="AE126" s="239"/>
      <c r="AF126" s="239"/>
    </row>
    <row r="127" spans="31:32" x14ac:dyDescent="0.2">
      <c r="AE127" s="239"/>
      <c r="AF127" s="239"/>
    </row>
    <row r="128" spans="31:32" x14ac:dyDescent="0.2">
      <c r="AE128" s="239"/>
      <c r="AF128" s="239"/>
    </row>
    <row r="129" spans="31:32" x14ac:dyDescent="0.2">
      <c r="AE129" s="239"/>
      <c r="AF129" s="239"/>
    </row>
    <row r="130" spans="31:32" x14ac:dyDescent="0.2">
      <c r="AE130" s="239"/>
      <c r="AF130" s="239"/>
    </row>
    <row r="131" spans="31:32" x14ac:dyDescent="0.2">
      <c r="AE131" s="239"/>
      <c r="AF131" s="239"/>
    </row>
    <row r="132" spans="31:32" x14ac:dyDescent="0.2">
      <c r="AE132" s="239"/>
      <c r="AF132" s="239"/>
    </row>
    <row r="133" spans="31:32" x14ac:dyDescent="0.2">
      <c r="AE133" s="239"/>
      <c r="AF133" s="239"/>
    </row>
    <row r="134" spans="31:32" x14ac:dyDescent="0.2">
      <c r="AE134" s="239"/>
      <c r="AF134" s="239"/>
    </row>
    <row r="135" spans="31:32" x14ac:dyDescent="0.2">
      <c r="AE135" s="239"/>
      <c r="AF135" s="239"/>
    </row>
    <row r="136" spans="31:32" x14ac:dyDescent="0.2">
      <c r="AE136" s="239"/>
      <c r="AF136" s="239"/>
    </row>
    <row r="137" spans="31:32" x14ac:dyDescent="0.2">
      <c r="AE137" s="239"/>
      <c r="AF137" s="239"/>
    </row>
    <row r="138" spans="31:32" x14ac:dyDescent="0.2">
      <c r="AE138" s="239"/>
      <c r="AF138" s="239"/>
    </row>
    <row r="139" spans="31:32" x14ac:dyDescent="0.2">
      <c r="AE139" s="239"/>
      <c r="AF139" s="239"/>
    </row>
    <row r="140" spans="31:32" x14ac:dyDescent="0.2">
      <c r="AE140" s="239"/>
      <c r="AF140" s="239"/>
    </row>
    <row r="141" spans="31:32" x14ac:dyDescent="0.2">
      <c r="AE141" s="239"/>
      <c r="AF141" s="239"/>
    </row>
    <row r="142" spans="31:32" x14ac:dyDescent="0.2">
      <c r="AE142" s="239"/>
      <c r="AF142" s="239"/>
    </row>
    <row r="143" spans="31:32" x14ac:dyDescent="0.2">
      <c r="AE143" s="239"/>
      <c r="AF143" s="239"/>
    </row>
    <row r="144" spans="31:32" x14ac:dyDescent="0.2">
      <c r="AE144" s="239"/>
      <c r="AF144" s="239"/>
    </row>
    <row r="145" spans="31:32" x14ac:dyDescent="0.2">
      <c r="AE145" s="239"/>
      <c r="AF145" s="239"/>
    </row>
    <row r="146" spans="31:32" x14ac:dyDescent="0.2">
      <c r="AE146" s="239"/>
      <c r="AF146" s="239"/>
    </row>
    <row r="147" spans="31:32" x14ac:dyDescent="0.2">
      <c r="AE147" s="239"/>
      <c r="AF147" s="239"/>
    </row>
    <row r="148" spans="31:32" x14ac:dyDescent="0.2">
      <c r="AE148" s="239"/>
      <c r="AF148" s="239"/>
    </row>
    <row r="149" spans="31:32" x14ac:dyDescent="0.2">
      <c r="AE149" s="239"/>
      <c r="AF149" s="239"/>
    </row>
    <row r="150" spans="31:32" x14ac:dyDescent="0.2">
      <c r="AE150" s="239"/>
      <c r="AF150" s="239"/>
    </row>
    <row r="151" spans="31:32" x14ac:dyDescent="0.2">
      <c r="AE151" s="239"/>
      <c r="AF151" s="239"/>
    </row>
    <row r="152" spans="31:32" x14ac:dyDescent="0.2">
      <c r="AE152" s="239"/>
      <c r="AF152" s="239"/>
    </row>
    <row r="153" spans="31:32" x14ac:dyDescent="0.2">
      <c r="AE153" s="239"/>
      <c r="AF153" s="239"/>
    </row>
    <row r="154" spans="31:32" x14ac:dyDescent="0.2">
      <c r="AE154" s="239"/>
      <c r="AF154" s="239"/>
    </row>
    <row r="155" spans="31:32" x14ac:dyDescent="0.2">
      <c r="AE155" s="239"/>
      <c r="AF155" s="239"/>
    </row>
    <row r="156" spans="31:32" x14ac:dyDescent="0.2">
      <c r="AE156" s="239"/>
      <c r="AF156" s="239"/>
    </row>
    <row r="157" spans="31:32" x14ac:dyDescent="0.2">
      <c r="AE157" s="239"/>
      <c r="AF157" s="239"/>
    </row>
    <row r="158" spans="31:32" x14ac:dyDescent="0.2">
      <c r="AE158" s="239"/>
      <c r="AF158" s="239"/>
    </row>
    <row r="159" spans="31:32" x14ac:dyDescent="0.2">
      <c r="AE159" s="239"/>
      <c r="AF159" s="239"/>
    </row>
    <row r="160" spans="31:32" x14ac:dyDescent="0.2">
      <c r="AE160" s="239"/>
      <c r="AF160" s="239"/>
    </row>
    <row r="161" spans="31:32" x14ac:dyDescent="0.2">
      <c r="AE161" s="239"/>
      <c r="AF161" s="239"/>
    </row>
    <row r="162" spans="31:32" x14ac:dyDescent="0.2">
      <c r="AE162" s="239"/>
      <c r="AF162" s="239"/>
    </row>
    <row r="163" spans="31:32" x14ac:dyDescent="0.2">
      <c r="AE163" s="239"/>
      <c r="AF163" s="239"/>
    </row>
    <row r="164" spans="31:32" x14ac:dyDescent="0.2">
      <c r="AE164" s="239"/>
      <c r="AF164" s="239"/>
    </row>
    <row r="165" spans="31:32" x14ac:dyDescent="0.2">
      <c r="AE165" s="239"/>
      <c r="AF165" s="239"/>
    </row>
    <row r="166" spans="31:32" x14ac:dyDescent="0.2">
      <c r="AE166" s="239"/>
      <c r="AF166" s="239"/>
    </row>
    <row r="167" spans="31:32" x14ac:dyDescent="0.2">
      <c r="AE167" s="239"/>
      <c r="AF167" s="239"/>
    </row>
    <row r="168" spans="31:32" x14ac:dyDescent="0.2">
      <c r="AE168" s="239"/>
      <c r="AF168" s="239"/>
    </row>
    <row r="169" spans="31:32" x14ac:dyDescent="0.2">
      <c r="AE169" s="239"/>
      <c r="AF169" s="239"/>
    </row>
    <row r="170" spans="31:32" x14ac:dyDescent="0.2">
      <c r="AE170" s="239"/>
      <c r="AF170" s="239"/>
    </row>
    <row r="171" spans="31:32" x14ac:dyDescent="0.2">
      <c r="AE171" s="239"/>
      <c r="AF171" s="239"/>
    </row>
    <row r="172" spans="31:32" x14ac:dyDescent="0.2">
      <c r="AE172" s="239"/>
      <c r="AF172" s="239"/>
    </row>
    <row r="173" spans="31:32" x14ac:dyDescent="0.2">
      <c r="AE173" s="239"/>
      <c r="AF173" s="239"/>
    </row>
    <row r="174" spans="31:32" x14ac:dyDescent="0.2">
      <c r="AE174" s="239"/>
      <c r="AF174" s="239"/>
    </row>
    <row r="175" spans="31:32" x14ac:dyDescent="0.2">
      <c r="AE175" s="239"/>
      <c r="AF175" s="239"/>
    </row>
    <row r="176" spans="31:32" x14ac:dyDescent="0.2">
      <c r="AE176" s="239"/>
      <c r="AF176" s="239"/>
    </row>
    <row r="177" spans="31:32" x14ac:dyDescent="0.2">
      <c r="AE177" s="239"/>
      <c r="AF177" s="239"/>
    </row>
    <row r="178" spans="31:32" x14ac:dyDescent="0.2">
      <c r="AE178" s="239"/>
      <c r="AF178" s="239"/>
    </row>
    <row r="179" spans="31:32" x14ac:dyDescent="0.2">
      <c r="AE179" s="239"/>
      <c r="AF179" s="239"/>
    </row>
    <row r="180" spans="31:32" x14ac:dyDescent="0.2">
      <c r="AE180" s="239"/>
      <c r="AF180" s="239"/>
    </row>
    <row r="181" spans="31:32" x14ac:dyDescent="0.2">
      <c r="AE181" s="239"/>
      <c r="AF181" s="239"/>
    </row>
    <row r="182" spans="31:32" x14ac:dyDescent="0.2">
      <c r="AE182" s="239"/>
      <c r="AF182" s="239"/>
    </row>
    <row r="183" spans="31:32" x14ac:dyDescent="0.2">
      <c r="AE183" s="239"/>
      <c r="AF183" s="239"/>
    </row>
    <row r="184" spans="31:32" x14ac:dyDescent="0.2">
      <c r="AE184" s="239"/>
      <c r="AF184" s="239"/>
    </row>
    <row r="185" spans="31:32" x14ac:dyDescent="0.2">
      <c r="AE185" s="239"/>
      <c r="AF185" s="239"/>
    </row>
    <row r="186" spans="31:32" x14ac:dyDescent="0.2">
      <c r="AE186" s="239"/>
      <c r="AF186" s="239"/>
    </row>
    <row r="187" spans="31:32" x14ac:dyDescent="0.2">
      <c r="AE187" s="239"/>
      <c r="AF187" s="239"/>
    </row>
    <row r="188" spans="31:32" x14ac:dyDescent="0.2">
      <c r="AE188" s="239"/>
      <c r="AF188" s="239"/>
    </row>
    <row r="189" spans="31:32" x14ac:dyDescent="0.2">
      <c r="AE189" s="239"/>
      <c r="AF189" s="239"/>
    </row>
    <row r="190" spans="31:32" x14ac:dyDescent="0.2">
      <c r="AE190" s="239"/>
      <c r="AF190" s="239"/>
    </row>
    <row r="191" spans="31:32" x14ac:dyDescent="0.2">
      <c r="AE191" s="239"/>
      <c r="AF191" s="239"/>
    </row>
    <row r="192" spans="31:32" x14ac:dyDescent="0.2">
      <c r="AE192" s="239"/>
      <c r="AF192" s="239"/>
    </row>
    <row r="193" spans="31:32" x14ac:dyDescent="0.2">
      <c r="AE193" s="239"/>
      <c r="AF193" s="239"/>
    </row>
    <row r="194" spans="31:32" x14ac:dyDescent="0.2">
      <c r="AE194" s="239"/>
      <c r="AF194" s="239"/>
    </row>
    <row r="195" spans="31:32" x14ac:dyDescent="0.2">
      <c r="AE195" s="239"/>
      <c r="AF195" s="239"/>
    </row>
    <row r="196" spans="31:32" x14ac:dyDescent="0.2">
      <c r="AE196" s="239"/>
      <c r="AF196" s="239"/>
    </row>
    <row r="197" spans="31:32" x14ac:dyDescent="0.2">
      <c r="AE197" s="239"/>
      <c r="AF197" s="239"/>
    </row>
    <row r="198" spans="31:32" x14ac:dyDescent="0.2">
      <c r="AE198" s="239"/>
      <c r="AF198" s="239"/>
    </row>
    <row r="199" spans="31:32" x14ac:dyDescent="0.2">
      <c r="AE199" s="239"/>
      <c r="AF199" s="239"/>
    </row>
    <row r="200" spans="31:32" x14ac:dyDescent="0.2">
      <c r="AE200" s="239"/>
      <c r="AF200" s="239"/>
    </row>
    <row r="201" spans="31:32" x14ac:dyDescent="0.2">
      <c r="AE201" s="239"/>
      <c r="AF201" s="239"/>
    </row>
    <row r="202" spans="31:32" x14ac:dyDescent="0.2">
      <c r="AE202" s="239"/>
      <c r="AF202" s="239"/>
    </row>
    <row r="203" spans="31:32" x14ac:dyDescent="0.2">
      <c r="AE203" s="239"/>
      <c r="AF203" s="239"/>
    </row>
    <row r="204" spans="31:32" x14ac:dyDescent="0.2">
      <c r="AE204" s="239"/>
      <c r="AF204" s="239"/>
    </row>
    <row r="205" spans="31:32" x14ac:dyDescent="0.2">
      <c r="AE205" s="239"/>
      <c r="AF205" s="239"/>
    </row>
    <row r="206" spans="31:32" x14ac:dyDescent="0.2">
      <c r="AE206" s="239"/>
      <c r="AF206" s="239"/>
    </row>
    <row r="207" spans="31:32" x14ac:dyDescent="0.2">
      <c r="AE207" s="239"/>
      <c r="AF207" s="239"/>
    </row>
    <row r="208" spans="31:32" x14ac:dyDescent="0.2">
      <c r="AE208" s="239"/>
      <c r="AF208" s="239"/>
    </row>
    <row r="209" spans="31:32" x14ac:dyDescent="0.2">
      <c r="AE209" s="239"/>
      <c r="AF209" s="239"/>
    </row>
    <row r="210" spans="31:32" x14ac:dyDescent="0.2">
      <c r="AE210" s="239"/>
      <c r="AF210" s="239"/>
    </row>
    <row r="211" spans="31:32" x14ac:dyDescent="0.2">
      <c r="AE211" s="239"/>
      <c r="AF211" s="239"/>
    </row>
    <row r="212" spans="31:32" x14ac:dyDescent="0.2">
      <c r="AE212" s="239"/>
      <c r="AF212" s="239"/>
    </row>
    <row r="213" spans="31:32" x14ac:dyDescent="0.2">
      <c r="AE213" s="239"/>
      <c r="AF213" s="239"/>
    </row>
    <row r="214" spans="31:32" x14ac:dyDescent="0.2">
      <c r="AE214" s="239"/>
      <c r="AF214" s="239"/>
    </row>
    <row r="215" spans="31:32" x14ac:dyDescent="0.2">
      <c r="AE215" s="239"/>
      <c r="AF215" s="239"/>
    </row>
    <row r="216" spans="31:32" x14ac:dyDescent="0.2">
      <c r="AE216" s="239"/>
      <c r="AF216" s="239"/>
    </row>
    <row r="217" spans="31:32" x14ac:dyDescent="0.2">
      <c r="AE217" s="239"/>
      <c r="AF217" s="239"/>
    </row>
    <row r="218" spans="31:32" x14ac:dyDescent="0.2">
      <c r="AE218" s="239"/>
      <c r="AF218" s="239"/>
    </row>
    <row r="219" spans="31:32" x14ac:dyDescent="0.2">
      <c r="AE219" s="239"/>
      <c r="AF219" s="239"/>
    </row>
    <row r="220" spans="31:32" x14ac:dyDescent="0.2">
      <c r="AE220" s="239"/>
      <c r="AF220" s="239"/>
    </row>
    <row r="221" spans="31:32" x14ac:dyDescent="0.2">
      <c r="AE221" s="239"/>
      <c r="AF221" s="239"/>
    </row>
    <row r="222" spans="31:32" x14ac:dyDescent="0.2">
      <c r="AE222" s="239"/>
      <c r="AF222" s="239"/>
    </row>
    <row r="223" spans="31:32" x14ac:dyDescent="0.2">
      <c r="AE223" s="239"/>
      <c r="AF223" s="239"/>
    </row>
    <row r="224" spans="31:32" x14ac:dyDescent="0.2">
      <c r="AE224" s="239"/>
      <c r="AF224" s="239"/>
    </row>
    <row r="225" spans="31:32" x14ac:dyDescent="0.2">
      <c r="AE225" s="239"/>
      <c r="AF225" s="239"/>
    </row>
    <row r="226" spans="31:32" x14ac:dyDescent="0.2">
      <c r="AE226" s="239"/>
      <c r="AF226" s="239"/>
    </row>
    <row r="227" spans="31:32" x14ac:dyDescent="0.2">
      <c r="AE227" s="239"/>
      <c r="AF227" s="239"/>
    </row>
    <row r="228" spans="31:32" x14ac:dyDescent="0.2">
      <c r="AE228" s="239"/>
      <c r="AF228" s="239"/>
    </row>
    <row r="229" spans="31:32" x14ac:dyDescent="0.2">
      <c r="AE229" s="239"/>
      <c r="AF229" s="239"/>
    </row>
    <row r="230" spans="31:32" x14ac:dyDescent="0.2">
      <c r="AE230" s="239"/>
      <c r="AF230" s="239"/>
    </row>
    <row r="231" spans="31:32" x14ac:dyDescent="0.2">
      <c r="AE231" s="239"/>
      <c r="AF231" s="239"/>
    </row>
    <row r="232" spans="31:32" x14ac:dyDescent="0.2">
      <c r="AE232" s="239"/>
      <c r="AF232" s="239"/>
    </row>
    <row r="233" spans="31:32" x14ac:dyDescent="0.2">
      <c r="AE233" s="239"/>
      <c r="AF233" s="239"/>
    </row>
    <row r="234" spans="31:32" x14ac:dyDescent="0.2">
      <c r="AE234" s="239"/>
      <c r="AF234" s="239"/>
    </row>
    <row r="235" spans="31:32" x14ac:dyDescent="0.2">
      <c r="AE235" s="239"/>
      <c r="AF235" s="239"/>
    </row>
    <row r="236" spans="31:32" x14ac:dyDescent="0.2">
      <c r="AE236" s="239"/>
      <c r="AF236" s="239"/>
    </row>
    <row r="237" spans="31:32" x14ac:dyDescent="0.2">
      <c r="AE237" s="239"/>
      <c r="AF237" s="239"/>
    </row>
    <row r="238" spans="31:32" x14ac:dyDescent="0.2">
      <c r="AE238" s="239"/>
      <c r="AF238" s="239"/>
    </row>
    <row r="239" spans="31:32" x14ac:dyDescent="0.2">
      <c r="AE239" s="239"/>
      <c r="AF239" s="239"/>
    </row>
    <row r="240" spans="31:32" x14ac:dyDescent="0.2">
      <c r="AE240" s="239"/>
      <c r="AF240" s="239"/>
    </row>
    <row r="241" spans="31:32" x14ac:dyDescent="0.2">
      <c r="AE241" s="239"/>
      <c r="AF241" s="239"/>
    </row>
    <row r="242" spans="31:32" x14ac:dyDescent="0.2">
      <c r="AE242" s="239"/>
      <c r="AF242" s="239"/>
    </row>
    <row r="243" spans="31:32" x14ac:dyDescent="0.2">
      <c r="AE243" s="239"/>
      <c r="AF243" s="239"/>
    </row>
    <row r="244" spans="31:32" x14ac:dyDescent="0.2">
      <c r="AE244" s="239"/>
      <c r="AF244" s="239"/>
    </row>
    <row r="245" spans="31:32" x14ac:dyDescent="0.2">
      <c r="AE245" s="239"/>
      <c r="AF245" s="239"/>
    </row>
    <row r="246" spans="31:32" x14ac:dyDescent="0.2">
      <c r="AE246" s="239"/>
      <c r="AF246" s="239"/>
    </row>
    <row r="247" spans="31:32" x14ac:dyDescent="0.2">
      <c r="AE247" s="239"/>
      <c r="AF247" s="239"/>
    </row>
    <row r="248" spans="31:32" x14ac:dyDescent="0.2">
      <c r="AE248" s="239"/>
      <c r="AF248" s="239"/>
    </row>
    <row r="249" spans="31:32" x14ac:dyDescent="0.2">
      <c r="AE249" s="239"/>
      <c r="AF249" s="239"/>
    </row>
    <row r="250" spans="31:32" x14ac:dyDescent="0.2">
      <c r="AE250" s="239"/>
      <c r="AF250" s="239"/>
    </row>
    <row r="251" spans="31:32" x14ac:dyDescent="0.2">
      <c r="AE251" s="239"/>
      <c r="AF251" s="239"/>
    </row>
    <row r="252" spans="31:32" x14ac:dyDescent="0.2">
      <c r="AE252" s="239"/>
      <c r="AF252" s="239"/>
    </row>
    <row r="253" spans="31:32" x14ac:dyDescent="0.2">
      <c r="AE253" s="239"/>
      <c r="AF253" s="239"/>
    </row>
    <row r="254" spans="31:32" x14ac:dyDescent="0.2">
      <c r="AE254" s="239"/>
      <c r="AF254" s="239"/>
    </row>
    <row r="255" spans="31:32" x14ac:dyDescent="0.2">
      <c r="AE255" s="239"/>
      <c r="AF255" s="239"/>
    </row>
    <row r="256" spans="31:32" x14ac:dyDescent="0.2">
      <c r="AE256" s="239"/>
      <c r="AF256" s="239"/>
    </row>
    <row r="257" spans="31:32" x14ac:dyDescent="0.2">
      <c r="AE257" s="239"/>
      <c r="AF257" s="239"/>
    </row>
    <row r="258" spans="31:32" x14ac:dyDescent="0.2">
      <c r="AE258" s="239"/>
      <c r="AF258" s="239"/>
    </row>
    <row r="259" spans="31:32" x14ac:dyDescent="0.2">
      <c r="AE259" s="239"/>
      <c r="AF259" s="239"/>
    </row>
    <row r="260" spans="31:32" x14ac:dyDescent="0.2">
      <c r="AE260" s="239"/>
      <c r="AF260" s="239"/>
    </row>
    <row r="261" spans="31:32" x14ac:dyDescent="0.2">
      <c r="AE261" s="239"/>
      <c r="AF261" s="239"/>
    </row>
    <row r="262" spans="31:32" x14ac:dyDescent="0.2">
      <c r="AE262" s="239"/>
      <c r="AF262" s="239"/>
    </row>
    <row r="263" spans="31:32" x14ac:dyDescent="0.2">
      <c r="AE263" s="239"/>
      <c r="AF263" s="239"/>
    </row>
    <row r="264" spans="31:32" x14ac:dyDescent="0.2">
      <c r="AE264" s="239"/>
      <c r="AF264" s="239"/>
    </row>
    <row r="265" spans="31:32" x14ac:dyDescent="0.2">
      <c r="AE265" s="239"/>
      <c r="AF265" s="239"/>
    </row>
    <row r="266" spans="31:32" x14ac:dyDescent="0.2">
      <c r="AE266" s="239"/>
      <c r="AF266" s="239"/>
    </row>
    <row r="267" spans="31:32" x14ac:dyDescent="0.2">
      <c r="AE267" s="239"/>
      <c r="AF267" s="239"/>
    </row>
    <row r="268" spans="31:32" x14ac:dyDescent="0.2">
      <c r="AE268" s="239"/>
      <c r="AF268" s="239"/>
    </row>
    <row r="269" spans="31:32" x14ac:dyDescent="0.2">
      <c r="AE269" s="239"/>
      <c r="AF269" s="239"/>
    </row>
    <row r="270" spans="31:32" x14ac:dyDescent="0.2">
      <c r="AE270" s="239"/>
      <c r="AF270" s="239"/>
    </row>
    <row r="271" spans="31:32" x14ac:dyDescent="0.2">
      <c r="AE271" s="239"/>
      <c r="AF271" s="239"/>
    </row>
    <row r="272" spans="31:32" x14ac:dyDescent="0.2">
      <c r="AE272" s="239"/>
      <c r="AF272" s="239"/>
    </row>
    <row r="273" spans="31:32" x14ac:dyDescent="0.2">
      <c r="AE273" s="239"/>
      <c r="AF273" s="239"/>
    </row>
    <row r="274" spans="31:32" x14ac:dyDescent="0.2">
      <c r="AE274" s="239"/>
      <c r="AF274" s="239"/>
    </row>
    <row r="275" spans="31:32" x14ac:dyDescent="0.2">
      <c r="AE275" s="239"/>
      <c r="AF275" s="239"/>
    </row>
    <row r="276" spans="31:32" x14ac:dyDescent="0.2">
      <c r="AE276" s="239"/>
      <c r="AF276" s="239"/>
    </row>
    <row r="277" spans="31:32" x14ac:dyDescent="0.2">
      <c r="AE277" s="239"/>
      <c r="AF277" s="239"/>
    </row>
    <row r="278" spans="31:32" x14ac:dyDescent="0.2">
      <c r="AE278" s="239"/>
      <c r="AF278" s="239"/>
    </row>
    <row r="279" spans="31:32" x14ac:dyDescent="0.2">
      <c r="AE279" s="239"/>
      <c r="AF279" s="239"/>
    </row>
    <row r="280" spans="31:32" x14ac:dyDescent="0.2">
      <c r="AE280" s="239"/>
      <c r="AF280" s="239"/>
    </row>
    <row r="281" spans="31:32" x14ac:dyDescent="0.2">
      <c r="AE281" s="239"/>
      <c r="AF281" s="239"/>
    </row>
    <row r="282" spans="31:32" x14ac:dyDescent="0.2">
      <c r="AE282" s="239"/>
      <c r="AF282" s="239"/>
    </row>
    <row r="283" spans="31:32" x14ac:dyDescent="0.2">
      <c r="AE283" s="239"/>
      <c r="AF283" s="239"/>
    </row>
    <row r="284" spans="31:32" x14ac:dyDescent="0.2">
      <c r="AE284" s="239"/>
      <c r="AF284" s="239"/>
    </row>
    <row r="285" spans="31:32" x14ac:dyDescent="0.2">
      <c r="AE285" s="239"/>
      <c r="AF285" s="239"/>
    </row>
    <row r="286" spans="31:32" x14ac:dyDescent="0.2">
      <c r="AE286" s="239"/>
      <c r="AF286" s="239"/>
    </row>
    <row r="287" spans="31:32" x14ac:dyDescent="0.2">
      <c r="AE287" s="239"/>
      <c r="AF287" s="239"/>
    </row>
    <row r="288" spans="31:32" x14ac:dyDescent="0.2">
      <c r="AE288" s="239"/>
      <c r="AF288" s="239"/>
    </row>
    <row r="289" spans="31:32" x14ac:dyDescent="0.2">
      <c r="AE289" s="239"/>
      <c r="AF289" s="239"/>
    </row>
    <row r="290" spans="31:32" x14ac:dyDescent="0.2">
      <c r="AE290" s="239"/>
      <c r="AF290" s="239"/>
    </row>
    <row r="291" spans="31:32" x14ac:dyDescent="0.2">
      <c r="AE291" s="239"/>
      <c r="AF291" s="239"/>
    </row>
    <row r="292" spans="31:32" x14ac:dyDescent="0.2">
      <c r="AE292" s="239"/>
      <c r="AF292" s="239"/>
    </row>
    <row r="293" spans="31:32" x14ac:dyDescent="0.2">
      <c r="AE293" s="239"/>
      <c r="AF293" s="239"/>
    </row>
    <row r="294" spans="31:32" x14ac:dyDescent="0.2">
      <c r="AE294" s="239"/>
      <c r="AF294" s="239"/>
    </row>
    <row r="295" spans="31:32" x14ac:dyDescent="0.2">
      <c r="AE295" s="239"/>
      <c r="AF295" s="239"/>
    </row>
    <row r="296" spans="31:32" x14ac:dyDescent="0.2">
      <c r="AE296" s="239"/>
      <c r="AF296" s="239"/>
    </row>
    <row r="297" spans="31:32" x14ac:dyDescent="0.2">
      <c r="AE297" s="239"/>
      <c r="AF297" s="239"/>
    </row>
    <row r="298" spans="31:32" x14ac:dyDescent="0.2">
      <c r="AE298" s="239"/>
      <c r="AF298" s="239"/>
    </row>
    <row r="299" spans="31:32" x14ac:dyDescent="0.2">
      <c r="AE299" s="239"/>
      <c r="AF299" s="239"/>
    </row>
    <row r="300" spans="31:32" x14ac:dyDescent="0.2">
      <c r="AE300" s="239"/>
      <c r="AF300" s="239"/>
    </row>
    <row r="301" spans="31:32" x14ac:dyDescent="0.2">
      <c r="AE301" s="239"/>
      <c r="AF301" s="239"/>
    </row>
    <row r="302" spans="31:32" x14ac:dyDescent="0.2">
      <c r="AE302" s="239"/>
      <c r="AF302" s="239"/>
    </row>
    <row r="303" spans="31:32" x14ac:dyDescent="0.2">
      <c r="AE303" s="239"/>
      <c r="AF303" s="239"/>
    </row>
    <row r="304" spans="31:32" x14ac:dyDescent="0.2">
      <c r="AE304" s="239"/>
      <c r="AF304" s="239"/>
    </row>
    <row r="305" spans="31:32" x14ac:dyDescent="0.2">
      <c r="AE305" s="239"/>
      <c r="AF305" s="239"/>
    </row>
    <row r="306" spans="31:32" x14ac:dyDescent="0.2">
      <c r="AE306" s="239"/>
      <c r="AF306" s="239"/>
    </row>
    <row r="307" spans="31:32" x14ac:dyDescent="0.2">
      <c r="AE307" s="239"/>
      <c r="AF307" s="239"/>
    </row>
    <row r="308" spans="31:32" x14ac:dyDescent="0.2">
      <c r="AE308" s="239"/>
      <c r="AF308" s="239"/>
    </row>
    <row r="309" spans="31:32" x14ac:dyDescent="0.2">
      <c r="AE309" s="239"/>
      <c r="AF309" s="239"/>
    </row>
    <row r="310" spans="31:32" x14ac:dyDescent="0.2">
      <c r="AE310" s="239"/>
      <c r="AF310" s="239"/>
    </row>
    <row r="311" spans="31:32" x14ac:dyDescent="0.2">
      <c r="AE311" s="239"/>
      <c r="AF311" s="239"/>
    </row>
    <row r="312" spans="31:32" x14ac:dyDescent="0.2">
      <c r="AE312" s="239"/>
      <c r="AF312" s="239"/>
    </row>
    <row r="313" spans="31:32" x14ac:dyDescent="0.2">
      <c r="AE313" s="239"/>
      <c r="AF313" s="239"/>
    </row>
    <row r="314" spans="31:32" x14ac:dyDescent="0.2">
      <c r="AE314" s="239"/>
      <c r="AF314" s="239"/>
    </row>
    <row r="315" spans="31:32" x14ac:dyDescent="0.2">
      <c r="AE315" s="239"/>
      <c r="AF315" s="239"/>
    </row>
    <row r="316" spans="31:32" x14ac:dyDescent="0.2">
      <c r="AE316" s="239"/>
      <c r="AF316" s="239"/>
    </row>
    <row r="317" spans="31:32" x14ac:dyDescent="0.2">
      <c r="AE317" s="239"/>
      <c r="AF317" s="239"/>
    </row>
    <row r="318" spans="31:32" x14ac:dyDescent="0.2">
      <c r="AE318" s="239"/>
      <c r="AF318" s="239"/>
    </row>
    <row r="319" spans="31:32" x14ac:dyDescent="0.2">
      <c r="AE319" s="239"/>
      <c r="AF319" s="239"/>
    </row>
    <row r="320" spans="31:32" x14ac:dyDescent="0.2">
      <c r="AE320" s="239"/>
      <c r="AF320" s="239"/>
    </row>
    <row r="321" spans="31:32" x14ac:dyDescent="0.2">
      <c r="AE321" s="239"/>
      <c r="AF321" s="239"/>
    </row>
    <row r="322" spans="31:32" x14ac:dyDescent="0.2">
      <c r="AE322" s="239"/>
      <c r="AF322" s="239"/>
    </row>
    <row r="323" spans="31:32" x14ac:dyDescent="0.2">
      <c r="AE323" s="239"/>
      <c r="AF323" s="239"/>
    </row>
    <row r="324" spans="31:32" x14ac:dyDescent="0.2">
      <c r="AE324" s="239"/>
      <c r="AF324" s="239"/>
    </row>
    <row r="325" spans="31:32" x14ac:dyDescent="0.2">
      <c r="AE325" s="239"/>
      <c r="AF325" s="239"/>
    </row>
    <row r="326" spans="31:32" x14ac:dyDescent="0.2">
      <c r="AE326" s="239"/>
      <c r="AF326" s="239"/>
    </row>
    <row r="327" spans="31:32" x14ac:dyDescent="0.2">
      <c r="AE327" s="239"/>
      <c r="AF327" s="239"/>
    </row>
    <row r="328" spans="31:32" x14ac:dyDescent="0.2">
      <c r="AE328" s="239"/>
      <c r="AF328" s="239"/>
    </row>
    <row r="329" spans="31:32" x14ac:dyDescent="0.2">
      <c r="AE329" s="239"/>
      <c r="AF329" s="239"/>
    </row>
    <row r="330" spans="31:32" x14ac:dyDescent="0.2">
      <c r="AE330" s="239"/>
      <c r="AF330" s="239"/>
    </row>
    <row r="331" spans="31:32" x14ac:dyDescent="0.2">
      <c r="AE331" s="239"/>
      <c r="AF331" s="239"/>
    </row>
    <row r="332" spans="31:32" x14ac:dyDescent="0.2">
      <c r="AE332" s="239"/>
      <c r="AF332" s="239"/>
    </row>
    <row r="333" spans="31:32" x14ac:dyDescent="0.2">
      <c r="AE333" s="239"/>
      <c r="AF333" s="239"/>
    </row>
    <row r="334" spans="31:32" x14ac:dyDescent="0.2">
      <c r="AE334" s="239"/>
      <c r="AF334" s="239"/>
    </row>
    <row r="335" spans="31:32" x14ac:dyDescent="0.2">
      <c r="AE335" s="239"/>
      <c r="AF335" s="239"/>
    </row>
    <row r="336" spans="31:32" x14ac:dyDescent="0.2">
      <c r="AE336" s="239"/>
      <c r="AF336" s="239"/>
    </row>
    <row r="337" spans="31:32" x14ac:dyDescent="0.2">
      <c r="AE337" s="239"/>
      <c r="AF337" s="239"/>
    </row>
    <row r="338" spans="31:32" x14ac:dyDescent="0.2">
      <c r="AE338" s="239"/>
      <c r="AF338" s="239"/>
    </row>
    <row r="339" spans="31:32" x14ac:dyDescent="0.2">
      <c r="AE339" s="239"/>
      <c r="AF339" s="239"/>
    </row>
    <row r="340" spans="31:32" x14ac:dyDescent="0.2">
      <c r="AE340" s="239"/>
      <c r="AF340" s="239"/>
    </row>
    <row r="341" spans="31:32" x14ac:dyDescent="0.2">
      <c r="AE341" s="239"/>
      <c r="AF341" s="239"/>
    </row>
    <row r="342" spans="31:32" x14ac:dyDescent="0.2">
      <c r="AE342" s="239"/>
      <c r="AF342" s="239"/>
    </row>
    <row r="343" spans="31:32" x14ac:dyDescent="0.2">
      <c r="AE343" s="239"/>
      <c r="AF343" s="239"/>
    </row>
    <row r="344" spans="31:32" x14ac:dyDescent="0.2">
      <c r="AE344" s="239"/>
      <c r="AF344" s="239"/>
    </row>
    <row r="345" spans="31:32" x14ac:dyDescent="0.2">
      <c r="AE345" s="239"/>
      <c r="AF345" s="239"/>
    </row>
    <row r="346" spans="31:32" x14ac:dyDescent="0.2">
      <c r="AE346" s="239"/>
      <c r="AF346" s="239"/>
    </row>
    <row r="347" spans="31:32" x14ac:dyDescent="0.2">
      <c r="AE347" s="239"/>
      <c r="AF347" s="239"/>
    </row>
    <row r="348" spans="31:32" x14ac:dyDescent="0.2">
      <c r="AE348" s="239"/>
      <c r="AF348" s="239"/>
    </row>
    <row r="349" spans="31:32" x14ac:dyDescent="0.2">
      <c r="AE349" s="239"/>
      <c r="AF349" s="239"/>
    </row>
    <row r="350" spans="31:32" x14ac:dyDescent="0.2">
      <c r="AE350" s="239"/>
      <c r="AF350" s="239"/>
    </row>
    <row r="351" spans="31:32" x14ac:dyDescent="0.2">
      <c r="AE351" s="239"/>
      <c r="AF351" s="239"/>
    </row>
    <row r="352" spans="31:32" x14ac:dyDescent="0.2">
      <c r="AE352" s="239"/>
      <c r="AF352" s="239"/>
    </row>
    <row r="353" spans="31:32" x14ac:dyDescent="0.2">
      <c r="AE353" s="239"/>
      <c r="AF353" s="239"/>
    </row>
    <row r="354" spans="31:32" x14ac:dyDescent="0.2">
      <c r="AE354" s="239"/>
      <c r="AF354" s="239"/>
    </row>
    <row r="355" spans="31:32" x14ac:dyDescent="0.2">
      <c r="AE355" s="239"/>
      <c r="AF355" s="239"/>
    </row>
    <row r="356" spans="31:32" x14ac:dyDescent="0.2">
      <c r="AE356" s="239"/>
      <c r="AF356" s="239"/>
    </row>
    <row r="357" spans="31:32" x14ac:dyDescent="0.2">
      <c r="AE357" s="239"/>
      <c r="AF357" s="239"/>
    </row>
    <row r="358" spans="31:32" x14ac:dyDescent="0.2">
      <c r="AE358" s="239"/>
      <c r="AF358" s="239"/>
    </row>
    <row r="359" spans="31:32" x14ac:dyDescent="0.2">
      <c r="AE359" s="239"/>
      <c r="AF359" s="239"/>
    </row>
    <row r="360" spans="31:32" x14ac:dyDescent="0.2">
      <c r="AE360" s="239"/>
      <c r="AF360" s="239"/>
    </row>
    <row r="361" spans="31:32" x14ac:dyDescent="0.2">
      <c r="AE361" s="239"/>
      <c r="AF361" s="239"/>
    </row>
    <row r="362" spans="31:32" x14ac:dyDescent="0.2">
      <c r="AE362" s="239"/>
      <c r="AF362" s="239"/>
    </row>
    <row r="363" spans="31:32" x14ac:dyDescent="0.2">
      <c r="AE363" s="239"/>
      <c r="AF363" s="239"/>
    </row>
    <row r="364" spans="31:32" x14ac:dyDescent="0.2">
      <c r="AE364" s="239"/>
      <c r="AF364" s="239"/>
    </row>
    <row r="365" spans="31:32" x14ac:dyDescent="0.2">
      <c r="AE365" s="239"/>
      <c r="AF365" s="239"/>
    </row>
    <row r="366" spans="31:32" x14ac:dyDescent="0.2">
      <c r="AE366" s="239"/>
      <c r="AF366" s="239"/>
    </row>
    <row r="367" spans="31:32" x14ac:dyDescent="0.2">
      <c r="AE367" s="239"/>
      <c r="AF367" s="239"/>
    </row>
    <row r="368" spans="31:32" x14ac:dyDescent="0.2">
      <c r="AE368" s="239"/>
      <c r="AF368" s="239"/>
    </row>
    <row r="369" spans="31:32" x14ac:dyDescent="0.2">
      <c r="AE369" s="239"/>
      <c r="AF369" s="239"/>
    </row>
    <row r="370" spans="31:32" x14ac:dyDescent="0.2">
      <c r="AE370" s="239"/>
      <c r="AF370" s="239"/>
    </row>
    <row r="371" spans="31:32" x14ac:dyDescent="0.2">
      <c r="AE371" s="239"/>
      <c r="AF371" s="239"/>
    </row>
    <row r="372" spans="31:32" x14ac:dyDescent="0.2">
      <c r="AE372" s="239"/>
      <c r="AF372" s="239"/>
    </row>
    <row r="373" spans="31:32" x14ac:dyDescent="0.2">
      <c r="AE373" s="239"/>
      <c r="AF373" s="239"/>
    </row>
    <row r="374" spans="31:32" x14ac:dyDescent="0.2">
      <c r="AE374" s="239"/>
      <c r="AF374" s="239"/>
    </row>
    <row r="375" spans="31:32" x14ac:dyDescent="0.2">
      <c r="AE375" s="239"/>
      <c r="AF375" s="239"/>
    </row>
    <row r="376" spans="31:32" x14ac:dyDescent="0.2">
      <c r="AE376" s="239"/>
      <c r="AF376" s="239"/>
    </row>
    <row r="377" spans="31:32" x14ac:dyDescent="0.2">
      <c r="AE377" s="239"/>
      <c r="AF377" s="239"/>
    </row>
    <row r="378" spans="31:32" x14ac:dyDescent="0.2">
      <c r="AE378" s="239"/>
      <c r="AF378" s="239"/>
    </row>
    <row r="379" spans="31:32" x14ac:dyDescent="0.2">
      <c r="AE379" s="239"/>
      <c r="AF379" s="239"/>
    </row>
    <row r="380" spans="31:32" x14ac:dyDescent="0.2">
      <c r="AE380" s="239"/>
      <c r="AF380" s="239"/>
    </row>
    <row r="381" spans="31:32" x14ac:dyDescent="0.2">
      <c r="AE381" s="239"/>
      <c r="AF381" s="239"/>
    </row>
    <row r="382" spans="31:32" x14ac:dyDescent="0.2">
      <c r="AE382" s="239"/>
      <c r="AF382" s="239"/>
    </row>
    <row r="383" spans="31:32" x14ac:dyDescent="0.2">
      <c r="AE383" s="239"/>
      <c r="AF383" s="239"/>
    </row>
    <row r="384" spans="31:32" x14ac:dyDescent="0.2">
      <c r="AE384" s="239"/>
      <c r="AF384" s="239"/>
    </row>
    <row r="385" spans="31:32" x14ac:dyDescent="0.2">
      <c r="AE385" s="239"/>
      <c r="AF385" s="239"/>
    </row>
    <row r="386" spans="31:32" x14ac:dyDescent="0.2">
      <c r="AE386" s="239"/>
      <c r="AF386" s="239"/>
    </row>
    <row r="387" spans="31:32" x14ac:dyDescent="0.2">
      <c r="AE387" s="239"/>
      <c r="AF387" s="239"/>
    </row>
    <row r="388" spans="31:32" x14ac:dyDescent="0.2">
      <c r="AE388" s="239"/>
      <c r="AF388" s="239"/>
    </row>
    <row r="389" spans="31:32" x14ac:dyDescent="0.2">
      <c r="AE389" s="239"/>
      <c r="AF389" s="239"/>
    </row>
    <row r="390" spans="31:32" x14ac:dyDescent="0.2">
      <c r="AE390" s="239"/>
      <c r="AF390" s="239"/>
    </row>
    <row r="391" spans="31:32" x14ac:dyDescent="0.2">
      <c r="AE391" s="239"/>
      <c r="AF391" s="239"/>
    </row>
    <row r="392" spans="31:32" x14ac:dyDescent="0.2">
      <c r="AE392" s="239"/>
      <c r="AF392" s="239"/>
    </row>
    <row r="393" spans="31:32" x14ac:dyDescent="0.2">
      <c r="AE393" s="239"/>
      <c r="AF393" s="239"/>
    </row>
    <row r="394" spans="31:32" x14ac:dyDescent="0.2">
      <c r="AE394" s="239"/>
      <c r="AF394" s="239"/>
    </row>
    <row r="395" spans="31:32" x14ac:dyDescent="0.2">
      <c r="AE395" s="239"/>
      <c r="AF395" s="239"/>
    </row>
    <row r="396" spans="31:32" x14ac:dyDescent="0.2">
      <c r="AE396" s="239"/>
      <c r="AF396" s="239"/>
    </row>
    <row r="397" spans="31:32" x14ac:dyDescent="0.2">
      <c r="AE397" s="239"/>
      <c r="AF397" s="239"/>
    </row>
    <row r="398" spans="31:32" x14ac:dyDescent="0.2">
      <c r="AE398" s="239"/>
      <c r="AF398" s="239"/>
    </row>
    <row r="399" spans="31:32" x14ac:dyDescent="0.2">
      <c r="AE399" s="239"/>
      <c r="AF399" s="239"/>
    </row>
    <row r="400" spans="31:32" x14ac:dyDescent="0.2">
      <c r="AE400" s="239"/>
      <c r="AF400" s="239"/>
    </row>
    <row r="401" spans="31:32" x14ac:dyDescent="0.2">
      <c r="AE401" s="239"/>
      <c r="AF401" s="239"/>
    </row>
    <row r="402" spans="31:32" x14ac:dyDescent="0.2">
      <c r="AE402" s="239"/>
      <c r="AF402" s="239"/>
    </row>
    <row r="403" spans="31:32" x14ac:dyDescent="0.2">
      <c r="AE403" s="239"/>
      <c r="AF403" s="239"/>
    </row>
    <row r="404" spans="31:32" x14ac:dyDescent="0.2">
      <c r="AE404" s="239"/>
      <c r="AF404" s="239"/>
    </row>
    <row r="405" spans="31:32" x14ac:dyDescent="0.2">
      <c r="AE405" s="239"/>
      <c r="AF405" s="239"/>
    </row>
    <row r="406" spans="31:32" x14ac:dyDescent="0.2">
      <c r="AE406" s="239"/>
      <c r="AF406" s="239"/>
    </row>
    <row r="407" spans="31:32" x14ac:dyDescent="0.2">
      <c r="AE407" s="239"/>
      <c r="AF407" s="239"/>
    </row>
    <row r="408" spans="31:32" x14ac:dyDescent="0.2">
      <c r="AE408" s="239"/>
      <c r="AF408" s="239"/>
    </row>
    <row r="409" spans="31:32" x14ac:dyDescent="0.2">
      <c r="AE409" s="239"/>
      <c r="AF409" s="239"/>
    </row>
    <row r="410" spans="31:32" x14ac:dyDescent="0.2">
      <c r="AE410" s="239"/>
      <c r="AF410" s="239"/>
    </row>
    <row r="411" spans="31:32" x14ac:dyDescent="0.2">
      <c r="AE411" s="239"/>
      <c r="AF411" s="239"/>
    </row>
    <row r="412" spans="31:32" x14ac:dyDescent="0.2">
      <c r="AE412" s="239"/>
      <c r="AF412" s="239"/>
    </row>
    <row r="413" spans="31:32" x14ac:dyDescent="0.2">
      <c r="AE413" s="239"/>
      <c r="AF413" s="239"/>
    </row>
    <row r="414" spans="31:32" x14ac:dyDescent="0.2">
      <c r="AE414" s="239"/>
      <c r="AF414" s="239"/>
    </row>
    <row r="415" spans="31:32" x14ac:dyDescent="0.2">
      <c r="AE415" s="239"/>
      <c r="AF415" s="239"/>
    </row>
    <row r="416" spans="31:32" x14ac:dyDescent="0.2">
      <c r="AE416" s="239"/>
      <c r="AF416" s="239"/>
    </row>
    <row r="417" spans="31:32" x14ac:dyDescent="0.2">
      <c r="AE417" s="239"/>
      <c r="AF417" s="239"/>
    </row>
    <row r="418" spans="31:32" x14ac:dyDescent="0.2">
      <c r="AE418" s="239"/>
      <c r="AF418" s="239"/>
    </row>
    <row r="419" spans="31:32" x14ac:dyDescent="0.2">
      <c r="AE419" s="239"/>
      <c r="AF419" s="239"/>
    </row>
    <row r="420" spans="31:32" x14ac:dyDescent="0.2">
      <c r="AE420" s="239"/>
      <c r="AF420" s="239"/>
    </row>
    <row r="421" spans="31:32" x14ac:dyDescent="0.2">
      <c r="AE421" s="239"/>
      <c r="AF421" s="239"/>
    </row>
    <row r="422" spans="31:32" x14ac:dyDescent="0.2">
      <c r="AE422" s="239"/>
      <c r="AF422" s="239"/>
    </row>
    <row r="423" spans="31:32" x14ac:dyDescent="0.2">
      <c r="AE423" s="239"/>
      <c r="AF423" s="239"/>
    </row>
    <row r="424" spans="31:32" x14ac:dyDescent="0.2">
      <c r="AE424" s="239"/>
      <c r="AF424" s="239"/>
    </row>
    <row r="425" spans="31:32" x14ac:dyDescent="0.2">
      <c r="AE425" s="239"/>
      <c r="AF425" s="239"/>
    </row>
    <row r="426" spans="31:32" x14ac:dyDescent="0.2">
      <c r="AE426" s="239"/>
      <c r="AF426" s="239"/>
    </row>
    <row r="427" spans="31:32" x14ac:dyDescent="0.2">
      <c r="AE427" s="239"/>
      <c r="AF427" s="239"/>
    </row>
    <row r="428" spans="31:32" x14ac:dyDescent="0.2">
      <c r="AE428" s="239"/>
      <c r="AF428" s="239"/>
    </row>
    <row r="429" spans="31:32" x14ac:dyDescent="0.2">
      <c r="AE429" s="239"/>
      <c r="AF429" s="239"/>
    </row>
    <row r="430" spans="31:32" x14ac:dyDescent="0.2">
      <c r="AE430" s="239"/>
      <c r="AF430" s="239"/>
    </row>
    <row r="431" spans="31:32" x14ac:dyDescent="0.2">
      <c r="AE431" s="239"/>
      <c r="AF431" s="239"/>
    </row>
    <row r="432" spans="31:32" x14ac:dyDescent="0.2">
      <c r="AE432" s="239"/>
      <c r="AF432" s="239"/>
    </row>
    <row r="433" spans="31:32" x14ac:dyDescent="0.2">
      <c r="AE433" s="239"/>
      <c r="AF433" s="239"/>
    </row>
    <row r="434" spans="31:32" x14ac:dyDescent="0.2">
      <c r="AE434" s="239"/>
      <c r="AF434" s="239"/>
    </row>
    <row r="435" spans="31:32" x14ac:dyDescent="0.2">
      <c r="AE435" s="239"/>
      <c r="AF435" s="239"/>
    </row>
    <row r="436" spans="31:32" x14ac:dyDescent="0.2">
      <c r="AE436" s="239"/>
      <c r="AF436" s="239"/>
    </row>
    <row r="437" spans="31:32" x14ac:dyDescent="0.2">
      <c r="AE437" s="239"/>
      <c r="AF437" s="239"/>
    </row>
    <row r="438" spans="31:32" x14ac:dyDescent="0.2">
      <c r="AE438" s="239"/>
      <c r="AF438" s="239"/>
    </row>
    <row r="439" spans="31:32" x14ac:dyDescent="0.2">
      <c r="AE439" s="239"/>
      <c r="AF439" s="239"/>
    </row>
    <row r="440" spans="31:32" x14ac:dyDescent="0.2">
      <c r="AE440" s="239"/>
      <c r="AF440" s="239"/>
    </row>
    <row r="441" spans="31:32" x14ac:dyDescent="0.2">
      <c r="AE441" s="239"/>
      <c r="AF441" s="239"/>
    </row>
    <row r="442" spans="31:32" x14ac:dyDescent="0.2">
      <c r="AE442" s="239"/>
      <c r="AF442" s="239"/>
    </row>
    <row r="443" spans="31:32" x14ac:dyDescent="0.2">
      <c r="AE443" s="239"/>
      <c r="AF443" s="239"/>
    </row>
    <row r="444" spans="31:32" x14ac:dyDescent="0.2">
      <c r="AE444" s="239"/>
      <c r="AF444" s="239"/>
    </row>
    <row r="445" spans="31:32" x14ac:dyDescent="0.2">
      <c r="AE445" s="239"/>
      <c r="AF445" s="239"/>
    </row>
    <row r="446" spans="31:32" x14ac:dyDescent="0.2">
      <c r="AE446" s="239"/>
      <c r="AF446" s="239"/>
    </row>
    <row r="447" spans="31:32" x14ac:dyDescent="0.2">
      <c r="AE447" s="239"/>
      <c r="AF447" s="239"/>
    </row>
    <row r="448" spans="31:32" x14ac:dyDescent="0.2">
      <c r="AE448" s="239"/>
      <c r="AF448" s="239"/>
    </row>
    <row r="449" spans="31:32" x14ac:dyDescent="0.2">
      <c r="AE449" s="239"/>
      <c r="AF449" s="239"/>
    </row>
    <row r="450" spans="31:32" x14ac:dyDescent="0.2">
      <c r="AE450" s="239"/>
      <c r="AF450" s="239"/>
    </row>
    <row r="451" spans="31:32" x14ac:dyDescent="0.2">
      <c r="AE451" s="239"/>
      <c r="AF451" s="239"/>
    </row>
    <row r="452" spans="31:32" x14ac:dyDescent="0.2">
      <c r="AE452" s="239"/>
      <c r="AF452" s="239"/>
    </row>
    <row r="453" spans="31:32" x14ac:dyDescent="0.2">
      <c r="AE453" s="239"/>
      <c r="AF453" s="239"/>
    </row>
    <row r="454" spans="31:32" x14ac:dyDescent="0.2">
      <c r="AE454" s="239"/>
      <c r="AF454" s="239"/>
    </row>
    <row r="455" spans="31:32" x14ac:dyDescent="0.2">
      <c r="AE455" s="239"/>
      <c r="AF455" s="239"/>
    </row>
    <row r="456" spans="31:32" x14ac:dyDescent="0.2">
      <c r="AE456" s="239"/>
      <c r="AF456" s="239"/>
    </row>
    <row r="457" spans="31:32" x14ac:dyDescent="0.2">
      <c r="AE457" s="239"/>
      <c r="AF457" s="239"/>
    </row>
    <row r="458" spans="31:32" x14ac:dyDescent="0.2">
      <c r="AE458" s="239"/>
      <c r="AF458" s="239"/>
    </row>
    <row r="459" spans="31:32" x14ac:dyDescent="0.2">
      <c r="AE459" s="239"/>
      <c r="AF459" s="239"/>
    </row>
    <row r="460" spans="31:32" x14ac:dyDescent="0.2">
      <c r="AE460" s="239"/>
      <c r="AF460" s="239"/>
    </row>
    <row r="461" spans="31:32" x14ac:dyDescent="0.2">
      <c r="AE461" s="239"/>
      <c r="AF461" s="239"/>
    </row>
    <row r="462" spans="31:32" x14ac:dyDescent="0.2">
      <c r="AE462" s="239"/>
      <c r="AF462" s="239"/>
    </row>
    <row r="463" spans="31:32" x14ac:dyDescent="0.2">
      <c r="AE463" s="239"/>
      <c r="AF463" s="239"/>
    </row>
    <row r="464" spans="31:32" x14ac:dyDescent="0.2">
      <c r="AE464" s="239"/>
      <c r="AF464" s="239"/>
    </row>
    <row r="465" spans="31:32" x14ac:dyDescent="0.2">
      <c r="AE465" s="239"/>
      <c r="AF465" s="239"/>
    </row>
    <row r="466" spans="31:32" x14ac:dyDescent="0.2">
      <c r="AE466" s="239"/>
      <c r="AF466" s="239"/>
    </row>
    <row r="467" spans="31:32" x14ac:dyDescent="0.2">
      <c r="AE467" s="239"/>
      <c r="AF467" s="239"/>
    </row>
    <row r="468" spans="31:32" x14ac:dyDescent="0.2">
      <c r="AE468" s="239"/>
      <c r="AF468" s="239"/>
    </row>
    <row r="469" spans="31:32" x14ac:dyDescent="0.2">
      <c r="AE469" s="239"/>
      <c r="AF469" s="239"/>
    </row>
    <row r="470" spans="31:32" x14ac:dyDescent="0.2">
      <c r="AE470" s="239"/>
      <c r="AF470" s="239"/>
    </row>
    <row r="471" spans="31:32" x14ac:dyDescent="0.2">
      <c r="AE471" s="239"/>
      <c r="AF471" s="239"/>
    </row>
    <row r="472" spans="31:32" x14ac:dyDescent="0.2">
      <c r="AE472" s="239"/>
      <c r="AF472" s="239"/>
    </row>
    <row r="473" spans="31:32" x14ac:dyDescent="0.2">
      <c r="AE473" s="239"/>
      <c r="AF473" s="239"/>
    </row>
    <row r="474" spans="31:32" x14ac:dyDescent="0.2">
      <c r="AE474" s="239"/>
      <c r="AF474" s="239"/>
    </row>
    <row r="475" spans="31:32" x14ac:dyDescent="0.2">
      <c r="AE475" s="239"/>
      <c r="AF475" s="239"/>
    </row>
    <row r="476" spans="31:32" x14ac:dyDescent="0.2">
      <c r="AE476" s="239"/>
      <c r="AF476" s="239"/>
    </row>
    <row r="477" spans="31:32" x14ac:dyDescent="0.2">
      <c r="AE477" s="239"/>
      <c r="AF477" s="239"/>
    </row>
    <row r="478" spans="31:32" x14ac:dyDescent="0.2">
      <c r="AE478" s="239"/>
      <c r="AF478" s="239"/>
    </row>
    <row r="479" spans="31:32" x14ac:dyDescent="0.2">
      <c r="AE479" s="239"/>
      <c r="AF479" s="239"/>
    </row>
    <row r="480" spans="31:32" x14ac:dyDescent="0.2">
      <c r="AE480" s="239"/>
      <c r="AF480" s="239"/>
    </row>
    <row r="481" spans="31:32" x14ac:dyDescent="0.2">
      <c r="AE481" s="239"/>
      <c r="AF481" s="239"/>
    </row>
    <row r="482" spans="31:32" x14ac:dyDescent="0.2">
      <c r="AE482" s="239"/>
      <c r="AF482" s="239"/>
    </row>
    <row r="483" spans="31:32" x14ac:dyDescent="0.2">
      <c r="AE483" s="239"/>
      <c r="AF483" s="239"/>
    </row>
    <row r="484" spans="31:32" x14ac:dyDescent="0.2">
      <c r="AE484" s="239"/>
      <c r="AF484" s="239"/>
    </row>
    <row r="485" spans="31:32" x14ac:dyDescent="0.2">
      <c r="AE485" s="239"/>
      <c r="AF485" s="239"/>
    </row>
    <row r="486" spans="31:32" x14ac:dyDescent="0.2">
      <c r="AE486" s="239"/>
      <c r="AF486" s="239"/>
    </row>
    <row r="487" spans="31:32" x14ac:dyDescent="0.2">
      <c r="AE487" s="239"/>
      <c r="AF487" s="239"/>
    </row>
    <row r="488" spans="31:32" x14ac:dyDescent="0.2">
      <c r="AE488" s="239"/>
      <c r="AF488" s="239"/>
    </row>
    <row r="489" spans="31:32" x14ac:dyDescent="0.2">
      <c r="AE489" s="239"/>
      <c r="AF489" s="239"/>
    </row>
    <row r="490" spans="31:32" x14ac:dyDescent="0.2">
      <c r="AE490" s="239"/>
      <c r="AF490" s="239"/>
    </row>
    <row r="491" spans="31:32" x14ac:dyDescent="0.2">
      <c r="AE491" s="239"/>
      <c r="AF491" s="239"/>
    </row>
    <row r="492" spans="31:32" x14ac:dyDescent="0.2">
      <c r="AE492" s="239"/>
      <c r="AF492" s="239"/>
    </row>
    <row r="493" spans="31:32" x14ac:dyDescent="0.2">
      <c r="AE493" s="239"/>
      <c r="AF493" s="239"/>
    </row>
    <row r="494" spans="31:32" x14ac:dyDescent="0.2">
      <c r="AE494" s="239"/>
      <c r="AF494" s="239"/>
    </row>
    <row r="495" spans="31:32" x14ac:dyDescent="0.2">
      <c r="AE495" s="239"/>
      <c r="AF495" s="239"/>
    </row>
    <row r="496" spans="31:32" x14ac:dyDescent="0.2">
      <c r="AE496" s="239"/>
      <c r="AF496" s="239"/>
    </row>
    <row r="497" spans="31:32" x14ac:dyDescent="0.2">
      <c r="AE497" s="239"/>
      <c r="AF497" s="239"/>
    </row>
    <row r="498" spans="31:32" x14ac:dyDescent="0.2">
      <c r="AE498" s="239"/>
      <c r="AF498" s="239"/>
    </row>
    <row r="499" spans="31:32" x14ac:dyDescent="0.2">
      <c r="AE499" s="239"/>
      <c r="AF499" s="239"/>
    </row>
    <row r="500" spans="31:32" x14ac:dyDescent="0.2">
      <c r="AE500" s="239"/>
      <c r="AF500" s="239"/>
    </row>
    <row r="501" spans="31:32" x14ac:dyDescent="0.2">
      <c r="AE501" s="239"/>
      <c r="AF501" s="239"/>
    </row>
    <row r="502" spans="31:32" x14ac:dyDescent="0.2">
      <c r="AE502" s="239"/>
      <c r="AF502" s="239"/>
    </row>
    <row r="503" spans="31:32" x14ac:dyDescent="0.2">
      <c r="AE503" s="239"/>
      <c r="AF503" s="239"/>
    </row>
    <row r="504" spans="31:32" x14ac:dyDescent="0.2">
      <c r="AE504" s="239"/>
      <c r="AF504" s="239"/>
    </row>
    <row r="505" spans="31:32" x14ac:dyDescent="0.2">
      <c r="AE505" s="239"/>
      <c r="AF505" s="239"/>
    </row>
    <row r="506" spans="31:32" x14ac:dyDescent="0.2">
      <c r="AE506" s="239"/>
      <c r="AF506" s="239"/>
    </row>
    <row r="507" spans="31:32" x14ac:dyDescent="0.2">
      <c r="AE507" s="239"/>
      <c r="AF507" s="239"/>
    </row>
    <row r="508" spans="31:32" x14ac:dyDescent="0.2">
      <c r="AE508" s="239"/>
      <c r="AF508" s="239"/>
    </row>
    <row r="509" spans="31:32" x14ac:dyDescent="0.2">
      <c r="AE509" s="239"/>
      <c r="AF509" s="239"/>
    </row>
    <row r="510" spans="31:32" x14ac:dyDescent="0.2">
      <c r="AE510" s="239"/>
      <c r="AF510" s="239"/>
    </row>
    <row r="511" spans="31:32" x14ac:dyDescent="0.2">
      <c r="AE511" s="239"/>
      <c r="AF511" s="239"/>
    </row>
    <row r="512" spans="31:32" x14ac:dyDescent="0.2">
      <c r="AE512" s="239"/>
      <c r="AF512" s="239"/>
    </row>
    <row r="513" spans="31:32" x14ac:dyDescent="0.2">
      <c r="AE513" s="239"/>
      <c r="AF513" s="239"/>
    </row>
    <row r="514" spans="31:32" x14ac:dyDescent="0.2">
      <c r="AE514" s="239"/>
      <c r="AF514" s="239"/>
    </row>
    <row r="515" spans="31:32" x14ac:dyDescent="0.2">
      <c r="AE515" s="239"/>
      <c r="AF515" s="239"/>
    </row>
    <row r="516" spans="31:32" x14ac:dyDescent="0.2">
      <c r="AE516" s="239"/>
      <c r="AF516" s="239"/>
    </row>
    <row r="517" spans="31:32" x14ac:dyDescent="0.2">
      <c r="AE517" s="239"/>
      <c r="AF517" s="239"/>
    </row>
    <row r="518" spans="31:32" x14ac:dyDescent="0.2">
      <c r="AE518" s="239"/>
      <c r="AF518" s="239"/>
    </row>
    <row r="519" spans="31:32" x14ac:dyDescent="0.2">
      <c r="AE519" s="239"/>
      <c r="AF519" s="239"/>
    </row>
    <row r="520" spans="31:32" x14ac:dyDescent="0.2">
      <c r="AE520" s="239"/>
      <c r="AF520" s="239"/>
    </row>
    <row r="521" spans="31:32" x14ac:dyDescent="0.2">
      <c r="AE521" s="239"/>
      <c r="AF521" s="239"/>
    </row>
    <row r="522" spans="31:32" x14ac:dyDescent="0.2">
      <c r="AE522" s="239"/>
      <c r="AF522" s="239"/>
    </row>
    <row r="523" spans="31:32" x14ac:dyDescent="0.2">
      <c r="AE523" s="239"/>
      <c r="AF523" s="239"/>
    </row>
    <row r="524" spans="31:32" x14ac:dyDescent="0.2">
      <c r="AE524" s="239"/>
      <c r="AF524" s="239"/>
    </row>
    <row r="525" spans="31:32" x14ac:dyDescent="0.2">
      <c r="AE525" s="239"/>
      <c r="AF525" s="239"/>
    </row>
    <row r="526" spans="31:32" x14ac:dyDescent="0.2">
      <c r="AE526" s="239"/>
      <c r="AF526" s="239"/>
    </row>
    <row r="527" spans="31:32" x14ac:dyDescent="0.2">
      <c r="AE527" s="239"/>
      <c r="AF527" s="239"/>
    </row>
    <row r="528" spans="31:32" x14ac:dyDescent="0.2">
      <c r="AE528" s="239"/>
      <c r="AF528" s="239"/>
    </row>
    <row r="529" spans="31:32" x14ac:dyDescent="0.2">
      <c r="AE529" s="239"/>
      <c r="AF529" s="239"/>
    </row>
    <row r="530" spans="31:32" x14ac:dyDescent="0.2">
      <c r="AE530" s="239"/>
      <c r="AF530" s="239"/>
    </row>
    <row r="531" spans="31:32" x14ac:dyDescent="0.2">
      <c r="AE531" s="239"/>
      <c r="AF531" s="239"/>
    </row>
    <row r="532" spans="31:32" x14ac:dyDescent="0.2">
      <c r="AE532" s="239"/>
      <c r="AF532" s="239"/>
    </row>
    <row r="533" spans="31:32" x14ac:dyDescent="0.2">
      <c r="AE533" s="239"/>
      <c r="AF533" s="239"/>
    </row>
    <row r="534" spans="31:32" x14ac:dyDescent="0.2">
      <c r="AE534" s="239"/>
      <c r="AF534" s="239"/>
    </row>
    <row r="535" spans="31:32" x14ac:dyDescent="0.2">
      <c r="AE535" s="239"/>
      <c r="AF535" s="239"/>
    </row>
    <row r="536" spans="31:32" x14ac:dyDescent="0.2">
      <c r="AE536" s="239"/>
      <c r="AF536" s="239"/>
    </row>
    <row r="537" spans="31:32" x14ac:dyDescent="0.2">
      <c r="AE537" s="239"/>
      <c r="AF537" s="239"/>
    </row>
    <row r="538" spans="31:32" x14ac:dyDescent="0.2">
      <c r="AE538" s="239"/>
      <c r="AF538" s="239"/>
    </row>
    <row r="539" spans="31:32" x14ac:dyDescent="0.2">
      <c r="AE539" s="239"/>
      <c r="AF539" s="239"/>
    </row>
    <row r="540" spans="31:32" x14ac:dyDescent="0.2">
      <c r="AE540" s="239"/>
      <c r="AF540" s="239"/>
    </row>
    <row r="541" spans="31:32" x14ac:dyDescent="0.2">
      <c r="AE541" s="239"/>
      <c r="AF541" s="239"/>
    </row>
    <row r="542" spans="31:32" x14ac:dyDescent="0.2">
      <c r="AE542" s="239"/>
      <c r="AF542" s="239"/>
    </row>
    <row r="543" spans="31:32" x14ac:dyDescent="0.2">
      <c r="AE543" s="239"/>
      <c r="AF543" s="239"/>
    </row>
    <row r="544" spans="31:32" x14ac:dyDescent="0.2">
      <c r="AE544" s="239"/>
      <c r="AF544" s="239"/>
    </row>
    <row r="545" spans="31:32" x14ac:dyDescent="0.2">
      <c r="AE545" s="239"/>
      <c r="AF545" s="239"/>
    </row>
    <row r="546" spans="31:32" x14ac:dyDescent="0.2">
      <c r="AE546" s="239"/>
      <c r="AF546" s="239"/>
    </row>
    <row r="547" spans="31:32" x14ac:dyDescent="0.2">
      <c r="AE547" s="239"/>
      <c r="AF547" s="239"/>
    </row>
    <row r="548" spans="31:32" x14ac:dyDescent="0.2">
      <c r="AE548" s="239"/>
      <c r="AF548" s="239"/>
    </row>
    <row r="549" spans="31:32" x14ac:dyDescent="0.2">
      <c r="AE549" s="239"/>
      <c r="AF549" s="239"/>
    </row>
    <row r="550" spans="31:32" x14ac:dyDescent="0.2">
      <c r="AE550" s="239"/>
      <c r="AF550" s="239"/>
    </row>
    <row r="551" spans="31:32" x14ac:dyDescent="0.2">
      <c r="AE551" s="239"/>
      <c r="AF551" s="239"/>
    </row>
    <row r="552" spans="31:32" x14ac:dyDescent="0.2">
      <c r="AE552" s="239"/>
      <c r="AF552" s="239"/>
    </row>
    <row r="553" spans="31:32" x14ac:dyDescent="0.2">
      <c r="AE553" s="239"/>
      <c r="AF553" s="239"/>
    </row>
    <row r="554" spans="31:32" x14ac:dyDescent="0.2">
      <c r="AE554" s="239"/>
      <c r="AF554" s="239"/>
    </row>
    <row r="555" spans="31:32" x14ac:dyDescent="0.2">
      <c r="AE555" s="239"/>
      <c r="AF555" s="239"/>
    </row>
    <row r="556" spans="31:32" x14ac:dyDescent="0.2">
      <c r="AE556" s="239"/>
      <c r="AF556" s="239"/>
    </row>
    <row r="557" spans="31:32" x14ac:dyDescent="0.2">
      <c r="AE557" s="239"/>
      <c r="AF557" s="239"/>
    </row>
    <row r="558" spans="31:32" x14ac:dyDescent="0.2">
      <c r="AE558" s="239"/>
      <c r="AF558" s="239"/>
    </row>
    <row r="559" spans="31:32" x14ac:dyDescent="0.2">
      <c r="AE559" s="239"/>
      <c r="AF559" s="239"/>
    </row>
    <row r="560" spans="31:32" x14ac:dyDescent="0.2">
      <c r="AE560" s="239"/>
      <c r="AF560" s="239"/>
    </row>
    <row r="561" spans="31:32" x14ac:dyDescent="0.2">
      <c r="AE561" s="239"/>
      <c r="AF561" s="239"/>
    </row>
    <row r="562" spans="31:32" x14ac:dyDescent="0.2">
      <c r="AE562" s="239"/>
      <c r="AF562" s="239"/>
    </row>
    <row r="563" spans="31:32" x14ac:dyDescent="0.2">
      <c r="AE563" s="239"/>
      <c r="AF563" s="239"/>
    </row>
    <row r="564" spans="31:32" x14ac:dyDescent="0.2">
      <c r="AE564" s="239"/>
      <c r="AF564" s="239"/>
    </row>
    <row r="565" spans="31:32" x14ac:dyDescent="0.2">
      <c r="AE565" s="239"/>
      <c r="AF565" s="239"/>
    </row>
    <row r="566" spans="31:32" x14ac:dyDescent="0.2">
      <c r="AE566" s="239"/>
      <c r="AF566" s="239"/>
    </row>
    <row r="567" spans="31:32" x14ac:dyDescent="0.2">
      <c r="AE567" s="239"/>
      <c r="AF567" s="239"/>
    </row>
    <row r="568" spans="31:32" x14ac:dyDescent="0.2">
      <c r="AE568" s="239"/>
      <c r="AF568" s="239"/>
    </row>
    <row r="569" spans="31:32" x14ac:dyDescent="0.2">
      <c r="AE569" s="239"/>
      <c r="AF569" s="239"/>
    </row>
    <row r="570" spans="31:32" x14ac:dyDescent="0.2">
      <c r="AE570" s="239"/>
      <c r="AF570" s="239"/>
    </row>
    <row r="571" spans="31:32" x14ac:dyDescent="0.2">
      <c r="AE571" s="239"/>
      <c r="AF571" s="239"/>
    </row>
    <row r="572" spans="31:32" x14ac:dyDescent="0.2">
      <c r="AE572" s="239"/>
      <c r="AF572" s="239"/>
    </row>
    <row r="573" spans="31:32" x14ac:dyDescent="0.2">
      <c r="AE573" s="239"/>
      <c r="AF573" s="239"/>
    </row>
    <row r="574" spans="31:32" x14ac:dyDescent="0.2">
      <c r="AE574" s="239"/>
      <c r="AF574" s="239"/>
    </row>
    <row r="575" spans="31:32" x14ac:dyDescent="0.2">
      <c r="AE575" s="239"/>
      <c r="AF575" s="239"/>
    </row>
    <row r="576" spans="31:32" x14ac:dyDescent="0.2">
      <c r="AE576" s="239"/>
      <c r="AF576" s="239"/>
    </row>
    <row r="577" spans="31:32" x14ac:dyDescent="0.2">
      <c r="AE577" s="239"/>
      <c r="AF577" s="239"/>
    </row>
    <row r="578" spans="31:32" x14ac:dyDescent="0.2">
      <c r="AE578" s="239"/>
      <c r="AF578" s="239"/>
    </row>
    <row r="579" spans="31:32" x14ac:dyDescent="0.2">
      <c r="AE579" s="239"/>
      <c r="AF579" s="239"/>
    </row>
    <row r="580" spans="31:32" x14ac:dyDescent="0.2">
      <c r="AE580" s="239"/>
      <c r="AF580" s="239"/>
    </row>
    <row r="581" spans="31:32" x14ac:dyDescent="0.2">
      <c r="AE581" s="239"/>
      <c r="AF581" s="239"/>
    </row>
    <row r="582" spans="31:32" x14ac:dyDescent="0.2">
      <c r="AE582" s="239"/>
      <c r="AF582" s="239"/>
    </row>
    <row r="583" spans="31:32" x14ac:dyDescent="0.2">
      <c r="AE583" s="239"/>
      <c r="AF583" s="239"/>
    </row>
    <row r="584" spans="31:32" x14ac:dyDescent="0.2">
      <c r="AE584" s="239"/>
      <c r="AF584" s="239"/>
    </row>
    <row r="585" spans="31:32" x14ac:dyDescent="0.2">
      <c r="AE585" s="239"/>
      <c r="AF585" s="239"/>
    </row>
    <row r="586" spans="31:32" x14ac:dyDescent="0.2">
      <c r="AE586" s="239"/>
      <c r="AF586" s="239"/>
    </row>
    <row r="587" spans="31:32" x14ac:dyDescent="0.2">
      <c r="AE587" s="239"/>
      <c r="AF587" s="239"/>
    </row>
    <row r="588" spans="31:32" x14ac:dyDescent="0.2">
      <c r="AE588" s="239"/>
      <c r="AF588" s="239"/>
    </row>
    <row r="589" spans="31:32" x14ac:dyDescent="0.2">
      <c r="AE589" s="239"/>
      <c r="AF589" s="239"/>
    </row>
    <row r="590" spans="31:32" x14ac:dyDescent="0.2">
      <c r="AE590" s="239"/>
      <c r="AF590" s="239"/>
    </row>
    <row r="591" spans="31:32" x14ac:dyDescent="0.2">
      <c r="AE591" s="239"/>
      <c r="AF591" s="239"/>
    </row>
    <row r="592" spans="31:32" x14ac:dyDescent="0.2">
      <c r="AE592" s="239"/>
      <c r="AF592" s="239"/>
    </row>
    <row r="593" spans="31:32" x14ac:dyDescent="0.2">
      <c r="AE593" s="239"/>
      <c r="AF593" s="239"/>
    </row>
    <row r="594" spans="31:32" x14ac:dyDescent="0.2">
      <c r="AE594" s="239"/>
      <c r="AF594" s="239"/>
    </row>
    <row r="595" spans="31:32" x14ac:dyDescent="0.2">
      <c r="AE595" s="239"/>
      <c r="AF595" s="239"/>
    </row>
    <row r="596" spans="31:32" x14ac:dyDescent="0.2">
      <c r="AE596" s="239"/>
      <c r="AF596" s="239"/>
    </row>
    <row r="597" spans="31:32" x14ac:dyDescent="0.2">
      <c r="AE597" s="239"/>
      <c r="AF597" s="239"/>
    </row>
    <row r="598" spans="31:32" x14ac:dyDescent="0.2">
      <c r="AE598" s="239"/>
      <c r="AF598" s="239"/>
    </row>
    <row r="599" spans="31:32" x14ac:dyDescent="0.2">
      <c r="AE599" s="239"/>
      <c r="AF599" s="239"/>
    </row>
    <row r="600" spans="31:32" x14ac:dyDescent="0.2">
      <c r="AE600" s="239"/>
      <c r="AF600" s="239"/>
    </row>
    <row r="601" spans="31:32" x14ac:dyDescent="0.2">
      <c r="AE601" s="239"/>
      <c r="AF601" s="239"/>
    </row>
    <row r="602" spans="31:32" x14ac:dyDescent="0.2">
      <c r="AE602" s="239"/>
      <c r="AF602" s="239"/>
    </row>
    <row r="603" spans="31:32" x14ac:dyDescent="0.2">
      <c r="AE603" s="239"/>
      <c r="AF603" s="239"/>
    </row>
    <row r="604" spans="31:32" x14ac:dyDescent="0.2">
      <c r="AE604" s="239"/>
      <c r="AF604" s="239"/>
    </row>
    <row r="605" spans="31:32" x14ac:dyDescent="0.2">
      <c r="AE605" s="239"/>
      <c r="AF605" s="239"/>
    </row>
    <row r="606" spans="31:32" x14ac:dyDescent="0.2">
      <c r="AE606" s="239"/>
      <c r="AF606" s="239"/>
    </row>
    <row r="607" spans="31:32" x14ac:dyDescent="0.2">
      <c r="AE607" s="239"/>
      <c r="AF607" s="239"/>
    </row>
    <row r="608" spans="31:32" x14ac:dyDescent="0.2">
      <c r="AE608" s="239"/>
      <c r="AF608" s="239"/>
    </row>
    <row r="609" spans="31:32" x14ac:dyDescent="0.2">
      <c r="AE609" s="239"/>
      <c r="AF609" s="239"/>
    </row>
    <row r="610" spans="31:32" x14ac:dyDescent="0.2">
      <c r="AE610" s="239"/>
      <c r="AF610" s="239"/>
    </row>
    <row r="611" spans="31:32" x14ac:dyDescent="0.2">
      <c r="AE611" s="239"/>
      <c r="AF611" s="239"/>
    </row>
    <row r="612" spans="31:32" x14ac:dyDescent="0.2">
      <c r="AE612" s="239"/>
      <c r="AF612" s="239"/>
    </row>
    <row r="613" spans="31:32" x14ac:dyDescent="0.2">
      <c r="AE613" s="239"/>
      <c r="AF613" s="239"/>
    </row>
    <row r="614" spans="31:32" x14ac:dyDescent="0.2">
      <c r="AE614" s="239"/>
      <c r="AF614" s="239"/>
    </row>
    <row r="615" spans="31:32" x14ac:dyDescent="0.2">
      <c r="AE615" s="239"/>
      <c r="AF615" s="239"/>
    </row>
    <row r="616" spans="31:32" x14ac:dyDescent="0.2">
      <c r="AE616" s="239"/>
      <c r="AF616" s="239"/>
    </row>
    <row r="617" spans="31:32" x14ac:dyDescent="0.2">
      <c r="AE617" s="239"/>
      <c r="AF617" s="239"/>
    </row>
    <row r="618" spans="31:32" x14ac:dyDescent="0.2">
      <c r="AE618" s="239"/>
      <c r="AF618" s="239"/>
    </row>
    <row r="619" spans="31:32" x14ac:dyDescent="0.2">
      <c r="AE619" s="239"/>
      <c r="AF619" s="239"/>
    </row>
    <row r="620" spans="31:32" x14ac:dyDescent="0.2">
      <c r="AE620" s="239"/>
      <c r="AF620" s="239"/>
    </row>
    <row r="621" spans="31:32" x14ac:dyDescent="0.2">
      <c r="AE621" s="239"/>
      <c r="AF621" s="239"/>
    </row>
    <row r="622" spans="31:32" x14ac:dyDescent="0.2">
      <c r="AE622" s="239"/>
      <c r="AF622" s="239"/>
    </row>
    <row r="623" spans="31:32" x14ac:dyDescent="0.2">
      <c r="AE623" s="239"/>
      <c r="AF623" s="239"/>
    </row>
    <row r="624" spans="31:32" x14ac:dyDescent="0.2">
      <c r="AE624" s="239"/>
      <c r="AF624" s="239"/>
    </row>
    <row r="625" spans="31:32" x14ac:dyDescent="0.2">
      <c r="AE625" s="239"/>
      <c r="AF625" s="239"/>
    </row>
    <row r="626" spans="31:32" x14ac:dyDescent="0.2">
      <c r="AE626" s="239"/>
      <c r="AF626" s="239"/>
    </row>
    <row r="627" spans="31:32" x14ac:dyDescent="0.2">
      <c r="AE627" s="239"/>
      <c r="AF627" s="239"/>
    </row>
    <row r="628" spans="31:32" x14ac:dyDescent="0.2">
      <c r="AE628" s="239"/>
      <c r="AF628" s="239"/>
    </row>
    <row r="629" spans="31:32" x14ac:dyDescent="0.2">
      <c r="AE629" s="239"/>
      <c r="AF629" s="239"/>
    </row>
    <row r="630" spans="31:32" x14ac:dyDescent="0.2">
      <c r="AE630" s="239"/>
      <c r="AF630" s="239"/>
    </row>
    <row r="631" spans="31:32" x14ac:dyDescent="0.2">
      <c r="AE631" s="239"/>
      <c r="AF631" s="239"/>
    </row>
    <row r="632" spans="31:32" x14ac:dyDescent="0.2">
      <c r="AE632" s="239"/>
      <c r="AF632" s="239"/>
    </row>
    <row r="633" spans="31:32" x14ac:dyDescent="0.2">
      <c r="AE633" s="239"/>
      <c r="AF633" s="239"/>
    </row>
    <row r="634" spans="31:32" x14ac:dyDescent="0.2">
      <c r="AE634" s="239"/>
      <c r="AF634" s="239"/>
    </row>
    <row r="635" spans="31:32" x14ac:dyDescent="0.2">
      <c r="AE635" s="239"/>
      <c r="AF635" s="239"/>
    </row>
    <row r="636" spans="31:32" x14ac:dyDescent="0.2">
      <c r="AE636" s="239"/>
      <c r="AF636" s="239"/>
    </row>
    <row r="637" spans="31:32" x14ac:dyDescent="0.2">
      <c r="AE637" s="239"/>
      <c r="AF637" s="239"/>
    </row>
    <row r="638" spans="31:32" x14ac:dyDescent="0.2">
      <c r="AE638" s="239"/>
      <c r="AF638" s="239"/>
    </row>
    <row r="639" spans="31:32" x14ac:dyDescent="0.2">
      <c r="AE639" s="239"/>
      <c r="AF639" s="239"/>
    </row>
    <row r="640" spans="31:32" x14ac:dyDescent="0.2">
      <c r="AE640" s="239"/>
      <c r="AF640" s="239"/>
    </row>
    <row r="641" spans="31:32" x14ac:dyDescent="0.2">
      <c r="AE641" s="239"/>
      <c r="AF641" s="239"/>
    </row>
    <row r="642" spans="31:32" x14ac:dyDescent="0.2">
      <c r="AE642" s="239"/>
      <c r="AF642" s="239"/>
    </row>
    <row r="643" spans="31:32" x14ac:dyDescent="0.2">
      <c r="AE643" s="239"/>
      <c r="AF643" s="239"/>
    </row>
    <row r="644" spans="31:32" x14ac:dyDescent="0.2">
      <c r="AE644" s="239"/>
      <c r="AF644" s="239"/>
    </row>
    <row r="645" spans="31:32" x14ac:dyDescent="0.2">
      <c r="AE645" s="239"/>
      <c r="AF645" s="239"/>
    </row>
    <row r="646" spans="31:32" x14ac:dyDescent="0.2">
      <c r="AE646" s="239"/>
      <c r="AF646" s="239"/>
    </row>
    <row r="647" spans="31:32" x14ac:dyDescent="0.2">
      <c r="AE647" s="239"/>
      <c r="AF647" s="239"/>
    </row>
    <row r="648" spans="31:32" x14ac:dyDescent="0.2">
      <c r="AE648" s="239"/>
      <c r="AF648" s="239"/>
    </row>
    <row r="649" spans="31:32" x14ac:dyDescent="0.2">
      <c r="AE649" s="239"/>
      <c r="AF649" s="239"/>
    </row>
    <row r="650" spans="31:32" x14ac:dyDescent="0.2">
      <c r="AE650" s="239"/>
      <c r="AF650" s="239"/>
    </row>
    <row r="651" spans="31:32" x14ac:dyDescent="0.2">
      <c r="AE651" s="239"/>
      <c r="AF651" s="239"/>
    </row>
    <row r="652" spans="31:32" x14ac:dyDescent="0.2">
      <c r="AE652" s="239"/>
      <c r="AF652" s="239"/>
    </row>
    <row r="653" spans="31:32" x14ac:dyDescent="0.2">
      <c r="AE653" s="239"/>
      <c r="AF653" s="239"/>
    </row>
    <row r="654" spans="31:32" x14ac:dyDescent="0.2">
      <c r="AE654" s="239"/>
      <c r="AF654" s="239"/>
    </row>
    <row r="655" spans="31:32" x14ac:dyDescent="0.2">
      <c r="AE655" s="239"/>
      <c r="AF655" s="239"/>
    </row>
    <row r="656" spans="31:32" x14ac:dyDescent="0.2">
      <c r="AE656" s="239"/>
      <c r="AF656" s="239"/>
    </row>
    <row r="657" spans="31:32" x14ac:dyDescent="0.2">
      <c r="AE657" s="239"/>
      <c r="AF657" s="239"/>
    </row>
    <row r="658" spans="31:32" x14ac:dyDescent="0.2">
      <c r="AE658" s="239"/>
      <c r="AF658" s="239"/>
    </row>
    <row r="659" spans="31:32" x14ac:dyDescent="0.2">
      <c r="AE659" s="239"/>
      <c r="AF659" s="239"/>
    </row>
    <row r="660" spans="31:32" x14ac:dyDescent="0.2">
      <c r="AE660" s="239"/>
      <c r="AF660" s="239"/>
    </row>
    <row r="661" spans="31:32" x14ac:dyDescent="0.2">
      <c r="AE661" s="239"/>
      <c r="AF661" s="239"/>
    </row>
    <row r="662" spans="31:32" x14ac:dyDescent="0.2">
      <c r="AE662" s="239"/>
      <c r="AF662" s="239"/>
    </row>
    <row r="663" spans="31:32" x14ac:dyDescent="0.2">
      <c r="AE663" s="239"/>
      <c r="AF663" s="239"/>
    </row>
    <row r="664" spans="31:32" x14ac:dyDescent="0.2">
      <c r="AE664" s="239"/>
      <c r="AF664" s="239"/>
    </row>
    <row r="665" spans="31:32" x14ac:dyDescent="0.2">
      <c r="AE665" s="239"/>
      <c r="AF665" s="239"/>
    </row>
    <row r="666" spans="31:32" x14ac:dyDescent="0.2">
      <c r="AE666" s="239"/>
      <c r="AF666" s="239"/>
    </row>
    <row r="667" spans="31:32" x14ac:dyDescent="0.2">
      <c r="AE667" s="239"/>
      <c r="AF667" s="239"/>
    </row>
    <row r="668" spans="31:32" x14ac:dyDescent="0.2">
      <c r="AE668" s="239"/>
      <c r="AF668" s="239"/>
    </row>
    <row r="669" spans="31:32" x14ac:dyDescent="0.2">
      <c r="AE669" s="239"/>
      <c r="AF669" s="239"/>
    </row>
    <row r="670" spans="31:32" x14ac:dyDescent="0.2">
      <c r="AE670" s="239"/>
      <c r="AF670" s="239"/>
    </row>
    <row r="671" spans="31:32" x14ac:dyDescent="0.2">
      <c r="AE671" s="239"/>
      <c r="AF671" s="239"/>
    </row>
    <row r="672" spans="31:32" x14ac:dyDescent="0.2">
      <c r="AE672" s="239"/>
      <c r="AF672" s="239"/>
    </row>
    <row r="673" spans="31:32" x14ac:dyDescent="0.2">
      <c r="AE673" s="239"/>
      <c r="AF673" s="239"/>
    </row>
    <row r="674" spans="31:32" x14ac:dyDescent="0.2">
      <c r="AE674" s="239"/>
      <c r="AF674" s="239"/>
    </row>
    <row r="675" spans="31:32" x14ac:dyDescent="0.2">
      <c r="AE675" s="239"/>
      <c r="AF675" s="239"/>
    </row>
    <row r="676" spans="31:32" x14ac:dyDescent="0.2">
      <c r="AE676" s="239"/>
      <c r="AF676" s="239"/>
    </row>
    <row r="677" spans="31:32" x14ac:dyDescent="0.2">
      <c r="AE677" s="239"/>
      <c r="AF677" s="239"/>
    </row>
    <row r="678" spans="31:32" x14ac:dyDescent="0.2">
      <c r="AE678" s="239"/>
      <c r="AF678" s="239"/>
    </row>
    <row r="679" spans="31:32" x14ac:dyDescent="0.2">
      <c r="AE679" s="239"/>
      <c r="AF679" s="239"/>
    </row>
    <row r="680" spans="31:32" x14ac:dyDescent="0.2">
      <c r="AE680" s="239"/>
      <c r="AF680" s="239"/>
    </row>
    <row r="681" spans="31:32" x14ac:dyDescent="0.2">
      <c r="AE681" s="239"/>
      <c r="AF681" s="239"/>
    </row>
    <row r="682" spans="31:32" x14ac:dyDescent="0.2">
      <c r="AE682" s="239"/>
      <c r="AF682" s="239"/>
    </row>
    <row r="683" spans="31:32" x14ac:dyDescent="0.2">
      <c r="AE683" s="239"/>
      <c r="AF683" s="239"/>
    </row>
    <row r="684" spans="31:32" x14ac:dyDescent="0.2">
      <c r="AE684" s="239"/>
      <c r="AF684" s="239"/>
    </row>
    <row r="685" spans="31:32" x14ac:dyDescent="0.2">
      <c r="AE685" s="239"/>
      <c r="AF685" s="239"/>
    </row>
    <row r="686" spans="31:32" x14ac:dyDescent="0.2">
      <c r="AE686" s="239"/>
      <c r="AF686" s="239"/>
    </row>
    <row r="687" spans="31:32" x14ac:dyDescent="0.2">
      <c r="AE687" s="239"/>
      <c r="AF687" s="239"/>
    </row>
    <row r="688" spans="31:32" x14ac:dyDescent="0.2">
      <c r="AE688" s="239"/>
      <c r="AF688" s="239"/>
    </row>
    <row r="689" spans="31:32" x14ac:dyDescent="0.2">
      <c r="AE689" s="239"/>
      <c r="AF689" s="239"/>
    </row>
    <row r="690" spans="31:32" x14ac:dyDescent="0.2">
      <c r="AE690" s="239"/>
      <c r="AF690" s="239"/>
    </row>
    <row r="691" spans="31:32" x14ac:dyDescent="0.2">
      <c r="AE691" s="239"/>
      <c r="AF691" s="239"/>
    </row>
    <row r="692" spans="31:32" x14ac:dyDescent="0.2">
      <c r="AE692" s="239"/>
      <c r="AF692" s="239"/>
    </row>
    <row r="693" spans="31:32" x14ac:dyDescent="0.2">
      <c r="AE693" s="239"/>
      <c r="AF693" s="239"/>
    </row>
    <row r="694" spans="31:32" x14ac:dyDescent="0.2">
      <c r="AE694" s="239"/>
      <c r="AF694" s="239"/>
    </row>
    <row r="695" spans="31:32" x14ac:dyDescent="0.2">
      <c r="AE695" s="239"/>
      <c r="AF695" s="239"/>
    </row>
    <row r="696" spans="31:32" x14ac:dyDescent="0.2">
      <c r="AE696" s="239"/>
      <c r="AF696" s="239"/>
    </row>
    <row r="697" spans="31:32" x14ac:dyDescent="0.2">
      <c r="AE697" s="239"/>
      <c r="AF697" s="239"/>
    </row>
    <row r="698" spans="31:32" x14ac:dyDescent="0.2">
      <c r="AE698" s="239"/>
      <c r="AF698" s="239"/>
    </row>
    <row r="699" spans="31:32" x14ac:dyDescent="0.2">
      <c r="AE699" s="239"/>
      <c r="AF699" s="239"/>
    </row>
    <row r="700" spans="31:32" x14ac:dyDescent="0.2">
      <c r="AE700" s="239"/>
      <c r="AF700" s="239"/>
    </row>
    <row r="701" spans="31:32" x14ac:dyDescent="0.2">
      <c r="AE701" s="239"/>
      <c r="AF701" s="239"/>
    </row>
    <row r="702" spans="31:32" x14ac:dyDescent="0.2">
      <c r="AE702" s="239"/>
      <c r="AF702" s="239"/>
    </row>
    <row r="703" spans="31:32" x14ac:dyDescent="0.2">
      <c r="AE703" s="239"/>
      <c r="AF703" s="239"/>
    </row>
    <row r="704" spans="31:32" x14ac:dyDescent="0.2">
      <c r="AE704" s="239"/>
      <c r="AF704" s="239"/>
    </row>
    <row r="705" spans="31:32" x14ac:dyDescent="0.2">
      <c r="AE705" s="239"/>
      <c r="AF705" s="239"/>
    </row>
    <row r="706" spans="31:32" x14ac:dyDescent="0.2">
      <c r="AE706" s="239"/>
      <c r="AF706" s="239"/>
    </row>
    <row r="707" spans="31:32" x14ac:dyDescent="0.2">
      <c r="AE707" s="239"/>
      <c r="AF707" s="239"/>
    </row>
    <row r="708" spans="31:32" x14ac:dyDescent="0.2">
      <c r="AE708" s="239"/>
      <c r="AF708" s="239"/>
    </row>
    <row r="709" spans="31:32" x14ac:dyDescent="0.2">
      <c r="AE709" s="239"/>
      <c r="AF709" s="239"/>
    </row>
    <row r="710" spans="31:32" x14ac:dyDescent="0.2">
      <c r="AE710" s="239"/>
      <c r="AF710" s="239"/>
    </row>
    <row r="711" spans="31:32" x14ac:dyDescent="0.2">
      <c r="AE711" s="239"/>
      <c r="AF711" s="239"/>
    </row>
    <row r="712" spans="31:32" x14ac:dyDescent="0.2">
      <c r="AE712" s="239"/>
      <c r="AF712" s="239"/>
    </row>
    <row r="713" spans="31:32" x14ac:dyDescent="0.2">
      <c r="AE713" s="239"/>
      <c r="AF713" s="239"/>
    </row>
    <row r="714" spans="31:32" x14ac:dyDescent="0.2">
      <c r="AE714" s="239"/>
      <c r="AF714" s="239"/>
    </row>
    <row r="715" spans="31:32" x14ac:dyDescent="0.2">
      <c r="AE715" s="239"/>
      <c r="AF715" s="239"/>
    </row>
    <row r="716" spans="31:32" x14ac:dyDescent="0.2">
      <c r="AE716" s="239"/>
      <c r="AF716" s="239"/>
    </row>
    <row r="717" spans="31:32" x14ac:dyDescent="0.2">
      <c r="AE717" s="239"/>
      <c r="AF717" s="239"/>
    </row>
    <row r="718" spans="31:32" x14ac:dyDescent="0.2">
      <c r="AE718" s="239"/>
      <c r="AF718" s="239"/>
    </row>
    <row r="719" spans="31:32" x14ac:dyDescent="0.2">
      <c r="AE719" s="239"/>
      <c r="AF719" s="239"/>
    </row>
    <row r="720" spans="31:32" x14ac:dyDescent="0.2">
      <c r="AE720" s="239"/>
      <c r="AF720" s="239"/>
    </row>
    <row r="721" spans="31:32" x14ac:dyDescent="0.2">
      <c r="AE721" s="239"/>
      <c r="AF721" s="239"/>
    </row>
    <row r="722" spans="31:32" x14ac:dyDescent="0.2">
      <c r="AE722" s="239"/>
      <c r="AF722" s="239"/>
    </row>
    <row r="723" spans="31:32" x14ac:dyDescent="0.2">
      <c r="AE723" s="239"/>
      <c r="AF723" s="239"/>
    </row>
    <row r="724" spans="31:32" x14ac:dyDescent="0.2">
      <c r="AE724" s="239"/>
      <c r="AF724" s="239"/>
    </row>
    <row r="725" spans="31:32" x14ac:dyDescent="0.2">
      <c r="AE725" s="239"/>
      <c r="AF725" s="239"/>
    </row>
    <row r="726" spans="31:32" x14ac:dyDescent="0.2">
      <c r="AE726" s="239"/>
      <c r="AF726" s="239"/>
    </row>
    <row r="727" spans="31:32" x14ac:dyDescent="0.2">
      <c r="AE727" s="239"/>
      <c r="AF727" s="239"/>
    </row>
    <row r="728" spans="31:32" x14ac:dyDescent="0.2">
      <c r="AE728" s="239"/>
      <c r="AF728" s="239"/>
    </row>
    <row r="729" spans="31:32" x14ac:dyDescent="0.2">
      <c r="AE729" s="239"/>
      <c r="AF729" s="239"/>
    </row>
    <row r="730" spans="31:32" x14ac:dyDescent="0.2">
      <c r="AE730" s="239"/>
      <c r="AF730" s="239"/>
    </row>
    <row r="731" spans="31:32" x14ac:dyDescent="0.2">
      <c r="AE731" s="239"/>
      <c r="AF731" s="239"/>
    </row>
    <row r="732" spans="31:32" x14ac:dyDescent="0.2">
      <c r="AE732" s="239"/>
      <c r="AF732" s="239"/>
    </row>
    <row r="733" spans="31:32" x14ac:dyDescent="0.2">
      <c r="AE733" s="239"/>
      <c r="AF733" s="239"/>
    </row>
    <row r="734" spans="31:32" x14ac:dyDescent="0.2">
      <c r="AE734" s="239"/>
      <c r="AF734" s="239"/>
    </row>
    <row r="735" spans="31:32" x14ac:dyDescent="0.2">
      <c r="AE735" s="239"/>
      <c r="AF735" s="239"/>
    </row>
    <row r="736" spans="31:32" x14ac:dyDescent="0.2">
      <c r="AE736" s="239"/>
      <c r="AF736" s="239"/>
    </row>
    <row r="737" spans="31:32" x14ac:dyDescent="0.2">
      <c r="AE737" s="239"/>
      <c r="AF737" s="239"/>
    </row>
    <row r="738" spans="31:32" x14ac:dyDescent="0.2">
      <c r="AE738" s="239"/>
      <c r="AF738" s="239"/>
    </row>
    <row r="739" spans="31:32" x14ac:dyDescent="0.2">
      <c r="AE739" s="239"/>
      <c r="AF739" s="239"/>
    </row>
    <row r="740" spans="31:32" x14ac:dyDescent="0.2">
      <c r="AE740" s="239"/>
      <c r="AF740" s="239"/>
    </row>
    <row r="741" spans="31:32" x14ac:dyDescent="0.2">
      <c r="AE741" s="239"/>
      <c r="AF741" s="239"/>
    </row>
    <row r="742" spans="31:32" x14ac:dyDescent="0.2">
      <c r="AE742" s="239"/>
      <c r="AF742" s="239"/>
    </row>
    <row r="743" spans="31:32" x14ac:dyDescent="0.2">
      <c r="AE743" s="239"/>
      <c r="AF743" s="239"/>
    </row>
    <row r="744" spans="31:32" x14ac:dyDescent="0.2">
      <c r="AE744" s="239"/>
      <c r="AF744" s="239"/>
    </row>
    <row r="745" spans="31:32" x14ac:dyDescent="0.2">
      <c r="AE745" s="239"/>
      <c r="AF745" s="239"/>
    </row>
    <row r="746" spans="31:32" x14ac:dyDescent="0.2">
      <c r="AE746" s="239"/>
      <c r="AF746" s="239"/>
    </row>
    <row r="747" spans="31:32" x14ac:dyDescent="0.2">
      <c r="AE747" s="239"/>
      <c r="AF747" s="239"/>
    </row>
    <row r="748" spans="31:32" x14ac:dyDescent="0.2">
      <c r="AE748" s="239"/>
      <c r="AF748" s="239"/>
    </row>
    <row r="749" spans="31:32" x14ac:dyDescent="0.2">
      <c r="AE749" s="239"/>
      <c r="AF749" s="239"/>
    </row>
    <row r="750" spans="31:32" x14ac:dyDescent="0.2">
      <c r="AE750" s="239"/>
      <c r="AF750" s="239"/>
    </row>
    <row r="751" spans="31:32" x14ac:dyDescent="0.2">
      <c r="AE751" s="239"/>
      <c r="AF751" s="239"/>
    </row>
    <row r="752" spans="31:32" x14ac:dyDescent="0.2">
      <c r="AE752" s="239"/>
      <c r="AF752" s="239"/>
    </row>
    <row r="753" spans="31:32" x14ac:dyDescent="0.2">
      <c r="AE753" s="239"/>
      <c r="AF753" s="239"/>
    </row>
    <row r="754" spans="31:32" x14ac:dyDescent="0.2">
      <c r="AE754" s="239"/>
      <c r="AF754" s="239"/>
    </row>
    <row r="755" spans="31:32" x14ac:dyDescent="0.2">
      <c r="AE755" s="239"/>
      <c r="AF755" s="239"/>
    </row>
    <row r="756" spans="31:32" x14ac:dyDescent="0.2">
      <c r="AE756" s="239"/>
      <c r="AF756" s="239"/>
    </row>
    <row r="757" spans="31:32" x14ac:dyDescent="0.2">
      <c r="AE757" s="239"/>
      <c r="AF757" s="239"/>
    </row>
    <row r="758" spans="31:32" x14ac:dyDescent="0.2">
      <c r="AE758" s="239"/>
      <c r="AF758" s="239"/>
    </row>
    <row r="759" spans="31:32" x14ac:dyDescent="0.2">
      <c r="AE759" s="239"/>
      <c r="AF759" s="239"/>
    </row>
    <row r="760" spans="31:32" x14ac:dyDescent="0.2">
      <c r="AE760" s="239"/>
      <c r="AF760" s="239"/>
    </row>
    <row r="761" spans="31:32" x14ac:dyDescent="0.2">
      <c r="AE761" s="239"/>
      <c r="AF761" s="239"/>
    </row>
    <row r="762" spans="31:32" x14ac:dyDescent="0.2">
      <c r="AE762" s="239"/>
      <c r="AF762" s="239"/>
    </row>
    <row r="763" spans="31:32" x14ac:dyDescent="0.2">
      <c r="AE763" s="239"/>
      <c r="AF763" s="239"/>
    </row>
    <row r="764" spans="31:32" x14ac:dyDescent="0.2">
      <c r="AE764" s="239"/>
      <c r="AF764" s="239"/>
    </row>
    <row r="765" spans="31:32" x14ac:dyDescent="0.2">
      <c r="AE765" s="239"/>
      <c r="AF765" s="239"/>
    </row>
    <row r="766" spans="31:32" x14ac:dyDescent="0.2">
      <c r="AE766" s="239"/>
      <c r="AF766" s="239"/>
    </row>
    <row r="767" spans="31:32" x14ac:dyDescent="0.2">
      <c r="AE767" s="239"/>
      <c r="AF767" s="239"/>
    </row>
    <row r="768" spans="31:32" x14ac:dyDescent="0.2">
      <c r="AE768" s="239"/>
      <c r="AF768" s="239"/>
    </row>
    <row r="769" spans="31:32" x14ac:dyDescent="0.2">
      <c r="AE769" s="239"/>
      <c r="AF769" s="239"/>
    </row>
    <row r="770" spans="31:32" x14ac:dyDescent="0.2">
      <c r="AE770" s="239"/>
      <c r="AF770" s="239"/>
    </row>
    <row r="771" spans="31:32" x14ac:dyDescent="0.2">
      <c r="AE771" s="239"/>
      <c r="AF771" s="239"/>
    </row>
    <row r="772" spans="31:32" x14ac:dyDescent="0.2">
      <c r="AE772" s="239"/>
      <c r="AF772" s="239"/>
    </row>
    <row r="773" spans="31:32" x14ac:dyDescent="0.2">
      <c r="AE773" s="239"/>
      <c r="AF773" s="239"/>
    </row>
    <row r="774" spans="31:32" x14ac:dyDescent="0.2">
      <c r="AE774" s="239"/>
      <c r="AF774" s="239"/>
    </row>
    <row r="775" spans="31:32" x14ac:dyDescent="0.2">
      <c r="AE775" s="239"/>
      <c r="AF775" s="239"/>
    </row>
    <row r="776" spans="31:32" x14ac:dyDescent="0.2">
      <c r="AE776" s="239"/>
      <c r="AF776" s="239"/>
    </row>
    <row r="777" spans="31:32" x14ac:dyDescent="0.2">
      <c r="AE777" s="239"/>
      <c r="AF777" s="239"/>
    </row>
    <row r="778" spans="31:32" x14ac:dyDescent="0.2">
      <c r="AE778" s="239"/>
      <c r="AF778" s="239"/>
    </row>
    <row r="779" spans="31:32" x14ac:dyDescent="0.2">
      <c r="AE779" s="239"/>
      <c r="AF779" s="239"/>
    </row>
    <row r="780" spans="31:32" x14ac:dyDescent="0.2">
      <c r="AE780" s="239"/>
      <c r="AF780" s="239"/>
    </row>
    <row r="781" spans="31:32" x14ac:dyDescent="0.2">
      <c r="AE781" s="239"/>
      <c r="AF781" s="239"/>
    </row>
    <row r="782" spans="31:32" x14ac:dyDescent="0.2">
      <c r="AE782" s="239"/>
      <c r="AF782" s="239"/>
    </row>
    <row r="783" spans="31:32" x14ac:dyDescent="0.2">
      <c r="AE783" s="239"/>
      <c r="AF783" s="239"/>
    </row>
    <row r="784" spans="31:32" x14ac:dyDescent="0.2">
      <c r="AE784" s="239"/>
      <c r="AF784" s="239"/>
    </row>
    <row r="785" spans="31:32" x14ac:dyDescent="0.2">
      <c r="AE785" s="239"/>
      <c r="AF785" s="239"/>
    </row>
    <row r="786" spans="31:32" x14ac:dyDescent="0.2">
      <c r="AE786" s="239"/>
      <c r="AF786" s="239"/>
    </row>
    <row r="787" spans="31:32" x14ac:dyDescent="0.2">
      <c r="AE787" s="239"/>
      <c r="AF787" s="239"/>
    </row>
    <row r="788" spans="31:32" x14ac:dyDescent="0.2">
      <c r="AE788" s="239"/>
      <c r="AF788" s="239"/>
    </row>
    <row r="789" spans="31:32" x14ac:dyDescent="0.2">
      <c r="AE789" s="239"/>
      <c r="AF789" s="239"/>
    </row>
    <row r="790" spans="31:32" x14ac:dyDescent="0.2">
      <c r="AE790" s="239"/>
      <c r="AF790" s="239"/>
    </row>
    <row r="791" spans="31:32" x14ac:dyDescent="0.2">
      <c r="AE791" s="239"/>
      <c r="AF791" s="239"/>
    </row>
    <row r="792" spans="31:32" x14ac:dyDescent="0.2">
      <c r="AE792" s="239"/>
      <c r="AF792" s="239"/>
    </row>
    <row r="793" spans="31:32" x14ac:dyDescent="0.2">
      <c r="AE793" s="239"/>
      <c r="AF793" s="239"/>
    </row>
    <row r="794" spans="31:32" x14ac:dyDescent="0.2">
      <c r="AE794" s="239"/>
      <c r="AF794" s="239"/>
    </row>
    <row r="795" spans="31:32" x14ac:dyDescent="0.2">
      <c r="AE795" s="239"/>
      <c r="AF795" s="239"/>
    </row>
    <row r="796" spans="31:32" x14ac:dyDescent="0.2">
      <c r="AE796" s="239"/>
      <c r="AF796" s="239"/>
    </row>
    <row r="797" spans="31:32" x14ac:dyDescent="0.2">
      <c r="AE797" s="239"/>
      <c r="AF797" s="239"/>
    </row>
    <row r="798" spans="31:32" x14ac:dyDescent="0.2">
      <c r="AE798" s="239"/>
      <c r="AF798" s="239"/>
    </row>
    <row r="799" spans="31:32" x14ac:dyDescent="0.2">
      <c r="AE799" s="239"/>
      <c r="AF799" s="239"/>
    </row>
    <row r="800" spans="31:32" x14ac:dyDescent="0.2">
      <c r="AE800" s="239"/>
      <c r="AF800" s="239"/>
    </row>
    <row r="801" spans="31:32" x14ac:dyDescent="0.2">
      <c r="AE801" s="239"/>
      <c r="AF801" s="239"/>
    </row>
    <row r="802" spans="31:32" x14ac:dyDescent="0.2">
      <c r="AE802" s="239"/>
      <c r="AF802" s="239"/>
    </row>
    <row r="803" spans="31:32" x14ac:dyDescent="0.2">
      <c r="AE803" s="239"/>
      <c r="AF803" s="239"/>
    </row>
    <row r="804" spans="31:32" x14ac:dyDescent="0.2">
      <c r="AE804" s="239"/>
      <c r="AF804" s="239"/>
    </row>
    <row r="805" spans="31:32" x14ac:dyDescent="0.2">
      <c r="AE805" s="239"/>
      <c r="AF805" s="239"/>
    </row>
    <row r="806" spans="31:32" x14ac:dyDescent="0.2">
      <c r="AE806" s="239"/>
      <c r="AF806" s="239"/>
    </row>
    <row r="807" spans="31:32" x14ac:dyDescent="0.2">
      <c r="AE807" s="239"/>
      <c r="AF807" s="239"/>
    </row>
    <row r="808" spans="31:32" x14ac:dyDescent="0.2">
      <c r="AE808" s="239"/>
      <c r="AF808" s="239"/>
    </row>
    <row r="809" spans="31:32" x14ac:dyDescent="0.2">
      <c r="AE809" s="239"/>
      <c r="AF809" s="239"/>
    </row>
    <row r="810" spans="31:32" x14ac:dyDescent="0.2">
      <c r="AE810" s="239"/>
      <c r="AF810" s="239"/>
    </row>
    <row r="811" spans="31:32" x14ac:dyDescent="0.2">
      <c r="AE811" s="239"/>
      <c r="AF811" s="239"/>
    </row>
    <row r="812" spans="31:32" x14ac:dyDescent="0.2">
      <c r="AE812" s="239"/>
      <c r="AF812" s="239"/>
    </row>
    <row r="813" spans="31:32" x14ac:dyDescent="0.2">
      <c r="AE813" s="239"/>
      <c r="AF813" s="239"/>
    </row>
    <row r="814" spans="31:32" x14ac:dyDescent="0.2">
      <c r="AE814" s="239"/>
      <c r="AF814" s="239"/>
    </row>
    <row r="815" spans="31:32" x14ac:dyDescent="0.2">
      <c r="AE815" s="239"/>
      <c r="AF815" s="239"/>
    </row>
    <row r="816" spans="31:32" x14ac:dyDescent="0.2">
      <c r="AE816" s="239"/>
      <c r="AF816" s="239"/>
    </row>
    <row r="817" spans="31:32" x14ac:dyDescent="0.2">
      <c r="AE817" s="239"/>
      <c r="AF817" s="239"/>
    </row>
    <row r="818" spans="31:32" x14ac:dyDescent="0.2">
      <c r="AE818" s="239"/>
      <c r="AF818" s="239"/>
    </row>
    <row r="819" spans="31:32" x14ac:dyDescent="0.2">
      <c r="AE819" s="239"/>
      <c r="AF819" s="239"/>
    </row>
    <row r="820" spans="31:32" x14ac:dyDescent="0.2">
      <c r="AE820" s="239"/>
      <c r="AF820" s="239"/>
    </row>
    <row r="821" spans="31:32" x14ac:dyDescent="0.2">
      <c r="AE821" s="239"/>
      <c r="AF821" s="239"/>
    </row>
    <row r="822" spans="31:32" x14ac:dyDescent="0.2">
      <c r="AE822" s="239"/>
      <c r="AF822" s="239"/>
    </row>
    <row r="823" spans="31:32" x14ac:dyDescent="0.2">
      <c r="AE823" s="239"/>
      <c r="AF823" s="239"/>
    </row>
    <row r="824" spans="31:32" x14ac:dyDescent="0.2">
      <c r="AE824" s="239"/>
      <c r="AF824" s="239"/>
    </row>
    <row r="825" spans="31:32" x14ac:dyDescent="0.2">
      <c r="AE825" s="239"/>
      <c r="AF825" s="239"/>
    </row>
    <row r="826" spans="31:32" x14ac:dyDescent="0.2">
      <c r="AE826" s="239"/>
      <c r="AF826" s="239"/>
    </row>
    <row r="827" spans="31:32" x14ac:dyDescent="0.2">
      <c r="AE827" s="239"/>
      <c r="AF827" s="239"/>
    </row>
    <row r="828" spans="31:32" x14ac:dyDescent="0.2">
      <c r="AE828" s="239"/>
      <c r="AF828" s="239"/>
    </row>
    <row r="829" spans="31:32" x14ac:dyDescent="0.2">
      <c r="AE829" s="239"/>
      <c r="AF829" s="239"/>
    </row>
    <row r="830" spans="31:32" x14ac:dyDescent="0.2">
      <c r="AE830" s="239"/>
      <c r="AF830" s="239"/>
    </row>
    <row r="831" spans="31:32" x14ac:dyDescent="0.2">
      <c r="AE831" s="239"/>
      <c r="AF831" s="239"/>
    </row>
    <row r="832" spans="31:32" x14ac:dyDescent="0.2">
      <c r="AE832" s="239"/>
      <c r="AF832" s="239"/>
    </row>
    <row r="833" spans="31:32" x14ac:dyDescent="0.2">
      <c r="AE833" s="239"/>
      <c r="AF833" s="239"/>
    </row>
    <row r="834" spans="31:32" x14ac:dyDescent="0.2">
      <c r="AE834" s="239"/>
      <c r="AF834" s="239"/>
    </row>
    <row r="835" spans="31:32" x14ac:dyDescent="0.2">
      <c r="AE835" s="239"/>
      <c r="AF835" s="239"/>
    </row>
    <row r="836" spans="31:32" x14ac:dyDescent="0.2">
      <c r="AE836" s="239"/>
      <c r="AF836" s="239"/>
    </row>
    <row r="837" spans="31:32" x14ac:dyDescent="0.2">
      <c r="AE837" s="239"/>
      <c r="AF837" s="239"/>
    </row>
    <row r="838" spans="31:32" x14ac:dyDescent="0.2">
      <c r="AE838" s="239"/>
      <c r="AF838" s="239"/>
    </row>
    <row r="839" spans="31:32" x14ac:dyDescent="0.2">
      <c r="AE839" s="239"/>
      <c r="AF839" s="239"/>
    </row>
    <row r="840" spans="31:32" x14ac:dyDescent="0.2">
      <c r="AE840" s="239"/>
      <c r="AF840" s="239"/>
    </row>
    <row r="841" spans="31:32" x14ac:dyDescent="0.2">
      <c r="AE841" s="239"/>
      <c r="AF841" s="239"/>
    </row>
    <row r="842" spans="31:32" x14ac:dyDescent="0.2">
      <c r="AE842" s="239"/>
      <c r="AF842" s="239"/>
    </row>
    <row r="843" spans="31:32" x14ac:dyDescent="0.2">
      <c r="AE843" s="239"/>
      <c r="AF843" s="239"/>
    </row>
    <row r="844" spans="31:32" x14ac:dyDescent="0.2">
      <c r="AE844" s="239"/>
      <c r="AF844" s="239"/>
    </row>
    <row r="845" spans="31:32" x14ac:dyDescent="0.2">
      <c r="AE845" s="239"/>
      <c r="AF845" s="239"/>
    </row>
    <row r="846" spans="31:32" x14ac:dyDescent="0.2">
      <c r="AE846" s="239"/>
      <c r="AF846" s="239"/>
    </row>
    <row r="847" spans="31:32" x14ac:dyDescent="0.2">
      <c r="AE847" s="239"/>
      <c r="AF847" s="239"/>
    </row>
    <row r="848" spans="31:32" x14ac:dyDescent="0.2">
      <c r="AE848" s="239"/>
      <c r="AF848" s="239"/>
    </row>
    <row r="849" spans="31:32" x14ac:dyDescent="0.2">
      <c r="AE849" s="239"/>
      <c r="AF849" s="239"/>
    </row>
    <row r="850" spans="31:32" x14ac:dyDescent="0.2">
      <c r="AE850" s="239"/>
      <c r="AF850" s="239"/>
    </row>
    <row r="851" spans="31:32" x14ac:dyDescent="0.2">
      <c r="AE851" s="239"/>
      <c r="AF851" s="239"/>
    </row>
    <row r="852" spans="31:32" x14ac:dyDescent="0.2">
      <c r="AE852" s="239"/>
      <c r="AF852" s="239"/>
    </row>
    <row r="853" spans="31:32" x14ac:dyDescent="0.2">
      <c r="AE853" s="239"/>
      <c r="AF853" s="239"/>
    </row>
    <row r="854" spans="31:32" x14ac:dyDescent="0.2">
      <c r="AE854" s="239"/>
      <c r="AF854" s="239"/>
    </row>
    <row r="855" spans="31:32" x14ac:dyDescent="0.2">
      <c r="AE855" s="239"/>
      <c r="AF855" s="239"/>
    </row>
    <row r="856" spans="31:32" x14ac:dyDescent="0.2">
      <c r="AE856" s="239"/>
      <c r="AF856" s="239"/>
    </row>
    <row r="857" spans="31:32" x14ac:dyDescent="0.2">
      <c r="AE857" s="239"/>
      <c r="AF857" s="239"/>
    </row>
    <row r="858" spans="31:32" x14ac:dyDescent="0.2">
      <c r="AE858" s="239"/>
      <c r="AF858" s="239"/>
    </row>
    <row r="859" spans="31:32" x14ac:dyDescent="0.2">
      <c r="AE859" s="239"/>
      <c r="AF859" s="239"/>
    </row>
    <row r="860" spans="31:32" x14ac:dyDescent="0.2">
      <c r="AE860" s="239"/>
      <c r="AF860" s="239"/>
    </row>
    <row r="861" spans="31:32" x14ac:dyDescent="0.2">
      <c r="AE861" s="239"/>
      <c r="AF861" s="239"/>
    </row>
    <row r="862" spans="31:32" x14ac:dyDescent="0.2">
      <c r="AE862" s="239"/>
      <c r="AF862" s="239"/>
    </row>
    <row r="863" spans="31:32" x14ac:dyDescent="0.2">
      <c r="AE863" s="239"/>
      <c r="AF863" s="239"/>
    </row>
    <row r="864" spans="31:32" x14ac:dyDescent="0.2">
      <c r="AE864" s="239"/>
      <c r="AF864" s="239"/>
    </row>
    <row r="865" spans="31:32" x14ac:dyDescent="0.2">
      <c r="AE865" s="239"/>
      <c r="AF865" s="239"/>
    </row>
    <row r="866" spans="31:32" x14ac:dyDescent="0.2">
      <c r="AE866" s="239"/>
      <c r="AF866" s="239"/>
    </row>
    <row r="867" spans="31:32" x14ac:dyDescent="0.2">
      <c r="AE867" s="239"/>
      <c r="AF867" s="239"/>
    </row>
    <row r="868" spans="31:32" x14ac:dyDescent="0.2">
      <c r="AE868" s="239"/>
      <c r="AF868" s="239"/>
    </row>
    <row r="869" spans="31:32" x14ac:dyDescent="0.2">
      <c r="AE869" s="239"/>
      <c r="AF869" s="239"/>
    </row>
    <row r="870" spans="31:32" x14ac:dyDescent="0.2">
      <c r="AE870" s="239"/>
      <c r="AF870" s="239"/>
    </row>
    <row r="871" spans="31:32" x14ac:dyDescent="0.2">
      <c r="AE871" s="239"/>
      <c r="AF871" s="239"/>
    </row>
    <row r="872" spans="31:32" x14ac:dyDescent="0.2">
      <c r="AE872" s="239"/>
      <c r="AF872" s="239"/>
    </row>
    <row r="873" spans="31:32" x14ac:dyDescent="0.2">
      <c r="AE873" s="239"/>
      <c r="AF873" s="239"/>
    </row>
    <row r="874" spans="31:32" x14ac:dyDescent="0.2">
      <c r="AE874" s="239"/>
      <c r="AF874" s="239"/>
    </row>
    <row r="875" spans="31:32" x14ac:dyDescent="0.2">
      <c r="AE875" s="239"/>
      <c r="AF875" s="239"/>
    </row>
    <row r="876" spans="31:32" x14ac:dyDescent="0.2">
      <c r="AE876" s="239"/>
      <c r="AF876" s="239"/>
    </row>
    <row r="877" spans="31:32" x14ac:dyDescent="0.2">
      <c r="AE877" s="239"/>
      <c r="AF877" s="239"/>
    </row>
    <row r="878" spans="31:32" x14ac:dyDescent="0.2">
      <c r="AE878" s="239"/>
      <c r="AF878" s="239"/>
    </row>
    <row r="879" spans="31:32" x14ac:dyDescent="0.2">
      <c r="AE879" s="239"/>
      <c r="AF879" s="239"/>
    </row>
    <row r="880" spans="31:32" x14ac:dyDescent="0.2">
      <c r="AE880" s="239"/>
      <c r="AF880" s="239"/>
    </row>
    <row r="881" spans="31:32" x14ac:dyDescent="0.2">
      <c r="AE881" s="239"/>
      <c r="AF881" s="239"/>
    </row>
    <row r="882" spans="31:32" x14ac:dyDescent="0.2">
      <c r="AE882" s="239"/>
      <c r="AF882" s="239"/>
    </row>
    <row r="883" spans="31:32" x14ac:dyDescent="0.2">
      <c r="AE883" s="239"/>
      <c r="AF883" s="239"/>
    </row>
    <row r="884" spans="31:32" x14ac:dyDescent="0.2">
      <c r="AE884" s="239"/>
      <c r="AF884" s="239"/>
    </row>
    <row r="885" spans="31:32" x14ac:dyDescent="0.2">
      <c r="AE885" s="239"/>
      <c r="AF885" s="239"/>
    </row>
    <row r="886" spans="31:32" x14ac:dyDescent="0.2">
      <c r="AE886" s="239"/>
      <c r="AF886" s="239"/>
    </row>
    <row r="887" spans="31:32" x14ac:dyDescent="0.2">
      <c r="AE887" s="239"/>
      <c r="AF887" s="239"/>
    </row>
    <row r="888" spans="31:32" x14ac:dyDescent="0.2">
      <c r="AE888" s="239"/>
      <c r="AF888" s="239"/>
    </row>
    <row r="889" spans="31:32" x14ac:dyDescent="0.2">
      <c r="AE889" s="239"/>
      <c r="AF889" s="239"/>
    </row>
    <row r="890" spans="31:32" x14ac:dyDescent="0.2">
      <c r="AE890" s="239"/>
      <c r="AF890" s="239"/>
    </row>
    <row r="891" spans="31:32" x14ac:dyDescent="0.2">
      <c r="AE891" s="239"/>
      <c r="AF891" s="239"/>
    </row>
    <row r="892" spans="31:32" x14ac:dyDescent="0.2">
      <c r="AE892" s="239"/>
      <c r="AF892" s="239"/>
    </row>
    <row r="893" spans="31:32" x14ac:dyDescent="0.2">
      <c r="AE893" s="239"/>
      <c r="AF893" s="239"/>
    </row>
    <row r="894" spans="31:32" x14ac:dyDescent="0.2">
      <c r="AE894" s="239"/>
      <c r="AF894" s="239"/>
    </row>
    <row r="895" spans="31:32" x14ac:dyDescent="0.2">
      <c r="AE895" s="239"/>
      <c r="AF895" s="239"/>
    </row>
    <row r="896" spans="31:32" x14ac:dyDescent="0.2">
      <c r="AE896" s="239"/>
      <c r="AF896" s="239"/>
    </row>
    <row r="897" spans="31:32" x14ac:dyDescent="0.2">
      <c r="AE897" s="239"/>
      <c r="AF897" s="239"/>
    </row>
    <row r="898" spans="31:32" x14ac:dyDescent="0.2">
      <c r="AE898" s="239"/>
      <c r="AF898" s="239"/>
    </row>
    <row r="899" spans="31:32" x14ac:dyDescent="0.2">
      <c r="AE899" s="239"/>
      <c r="AF899" s="239"/>
    </row>
    <row r="900" spans="31:32" x14ac:dyDescent="0.2">
      <c r="AE900" s="239"/>
      <c r="AF900" s="239"/>
    </row>
    <row r="901" spans="31:32" x14ac:dyDescent="0.2">
      <c r="AE901" s="239"/>
      <c r="AF901" s="239"/>
    </row>
    <row r="902" spans="31:32" x14ac:dyDescent="0.2">
      <c r="AE902" s="239"/>
      <c r="AF902" s="239"/>
    </row>
    <row r="903" spans="31:32" x14ac:dyDescent="0.2">
      <c r="AE903" s="239"/>
      <c r="AF903" s="239"/>
    </row>
    <row r="904" spans="31:32" x14ac:dyDescent="0.2">
      <c r="AE904" s="239"/>
      <c r="AF904" s="239"/>
    </row>
    <row r="905" spans="31:32" x14ac:dyDescent="0.2">
      <c r="AE905" s="239"/>
      <c r="AF905" s="239"/>
    </row>
    <row r="906" spans="31:32" x14ac:dyDescent="0.2">
      <c r="AE906" s="239"/>
      <c r="AF906" s="239"/>
    </row>
    <row r="907" spans="31:32" x14ac:dyDescent="0.2">
      <c r="AE907" s="239"/>
      <c r="AF907" s="239"/>
    </row>
    <row r="908" spans="31:32" x14ac:dyDescent="0.2">
      <c r="AE908" s="239"/>
      <c r="AF908" s="239"/>
    </row>
    <row r="909" spans="31:32" x14ac:dyDescent="0.2">
      <c r="AE909" s="239"/>
      <c r="AF909" s="239"/>
    </row>
    <row r="910" spans="31:32" x14ac:dyDescent="0.2">
      <c r="AE910" s="239"/>
      <c r="AF910" s="239"/>
    </row>
    <row r="911" spans="31:32" x14ac:dyDescent="0.2">
      <c r="AE911" s="239"/>
      <c r="AF911" s="239"/>
    </row>
    <row r="912" spans="31:32" x14ac:dyDescent="0.2">
      <c r="AE912" s="239"/>
      <c r="AF912" s="239"/>
    </row>
    <row r="913" spans="31:32" x14ac:dyDescent="0.2">
      <c r="AE913" s="239"/>
      <c r="AF913" s="239"/>
    </row>
    <row r="914" spans="31:32" x14ac:dyDescent="0.2">
      <c r="AE914" s="239"/>
      <c r="AF914" s="239"/>
    </row>
    <row r="915" spans="31:32" x14ac:dyDescent="0.2">
      <c r="AE915" s="239"/>
      <c r="AF915" s="239"/>
    </row>
    <row r="916" spans="31:32" x14ac:dyDescent="0.2">
      <c r="AE916" s="239"/>
      <c r="AF916" s="239"/>
    </row>
    <row r="917" spans="31:32" x14ac:dyDescent="0.2">
      <c r="AE917" s="239"/>
      <c r="AF917" s="239"/>
    </row>
    <row r="918" spans="31:32" x14ac:dyDescent="0.2">
      <c r="AE918" s="239"/>
      <c r="AF918" s="239"/>
    </row>
    <row r="919" spans="31:32" x14ac:dyDescent="0.2">
      <c r="AE919" s="239"/>
      <c r="AF919" s="239"/>
    </row>
    <row r="920" spans="31:32" x14ac:dyDescent="0.2">
      <c r="AE920" s="239"/>
      <c r="AF920" s="239"/>
    </row>
    <row r="921" spans="31:32" x14ac:dyDescent="0.2">
      <c r="AE921" s="239"/>
      <c r="AF921" s="239"/>
    </row>
    <row r="922" spans="31:32" x14ac:dyDescent="0.2">
      <c r="AE922" s="239"/>
      <c r="AF922" s="239"/>
    </row>
    <row r="923" spans="31:32" x14ac:dyDescent="0.2">
      <c r="AE923" s="239"/>
      <c r="AF923" s="239"/>
    </row>
    <row r="924" spans="31:32" x14ac:dyDescent="0.2">
      <c r="AE924" s="239"/>
      <c r="AF924" s="239"/>
    </row>
    <row r="925" spans="31:32" x14ac:dyDescent="0.2">
      <c r="AE925" s="239"/>
      <c r="AF925" s="239"/>
    </row>
    <row r="926" spans="31:32" x14ac:dyDescent="0.2">
      <c r="AE926" s="239"/>
      <c r="AF926" s="239"/>
    </row>
    <row r="927" spans="31:32" x14ac:dyDescent="0.2">
      <c r="AE927" s="239"/>
      <c r="AF927" s="239"/>
    </row>
    <row r="928" spans="31:32" x14ac:dyDescent="0.2">
      <c r="AE928" s="239"/>
      <c r="AF928" s="239"/>
    </row>
    <row r="929" spans="31:32" x14ac:dyDescent="0.2">
      <c r="AE929" s="239"/>
      <c r="AF929" s="239"/>
    </row>
    <row r="930" spans="31:32" x14ac:dyDescent="0.2">
      <c r="AE930" s="239"/>
      <c r="AF930" s="239"/>
    </row>
    <row r="931" spans="31:32" x14ac:dyDescent="0.2">
      <c r="AE931" s="239"/>
      <c r="AF931" s="239"/>
    </row>
    <row r="932" spans="31:32" x14ac:dyDescent="0.2">
      <c r="AE932" s="239"/>
      <c r="AF932" s="239"/>
    </row>
    <row r="933" spans="31:32" x14ac:dyDescent="0.2">
      <c r="AE933" s="239"/>
      <c r="AF933" s="239"/>
    </row>
    <row r="934" spans="31:32" x14ac:dyDescent="0.2">
      <c r="AE934" s="239"/>
      <c r="AF934" s="239"/>
    </row>
    <row r="935" spans="31:32" x14ac:dyDescent="0.2">
      <c r="AE935" s="239"/>
      <c r="AF935" s="239"/>
    </row>
    <row r="936" spans="31:32" x14ac:dyDescent="0.2">
      <c r="AE936" s="239"/>
      <c r="AF936" s="239"/>
    </row>
    <row r="937" spans="31:32" x14ac:dyDescent="0.2">
      <c r="AE937" s="239"/>
      <c r="AF937" s="239"/>
    </row>
    <row r="938" spans="31:32" x14ac:dyDescent="0.2">
      <c r="AE938" s="239"/>
      <c r="AF938" s="239"/>
    </row>
    <row r="939" spans="31:32" x14ac:dyDescent="0.2">
      <c r="AE939" s="239"/>
      <c r="AF939" s="239"/>
    </row>
    <row r="940" spans="31:32" x14ac:dyDescent="0.2">
      <c r="AE940" s="239"/>
      <c r="AF940" s="239"/>
    </row>
    <row r="941" spans="31:32" x14ac:dyDescent="0.2">
      <c r="AE941" s="239"/>
      <c r="AF941" s="239"/>
    </row>
    <row r="942" spans="31:32" x14ac:dyDescent="0.2">
      <c r="AE942" s="239"/>
      <c r="AF942" s="239"/>
    </row>
    <row r="943" spans="31:32" x14ac:dyDescent="0.2">
      <c r="AE943" s="239"/>
      <c r="AF943" s="239"/>
    </row>
    <row r="944" spans="31:32" x14ac:dyDescent="0.2">
      <c r="AE944" s="239"/>
      <c r="AF944" s="239"/>
    </row>
    <row r="945" spans="31:32" x14ac:dyDescent="0.2">
      <c r="AE945" s="239"/>
      <c r="AF945" s="239"/>
    </row>
    <row r="946" spans="31:32" x14ac:dyDescent="0.2">
      <c r="AE946" s="239"/>
      <c r="AF946" s="239"/>
    </row>
    <row r="947" spans="31:32" x14ac:dyDescent="0.2">
      <c r="AE947" s="239"/>
      <c r="AF947" s="239"/>
    </row>
    <row r="948" spans="31:32" x14ac:dyDescent="0.2">
      <c r="AE948" s="239"/>
      <c r="AF948" s="239"/>
    </row>
    <row r="949" spans="31:32" x14ac:dyDescent="0.2">
      <c r="AE949" s="239"/>
      <c r="AF949" s="239"/>
    </row>
    <row r="950" spans="31:32" x14ac:dyDescent="0.2">
      <c r="AE950" s="239"/>
      <c r="AF950" s="239"/>
    </row>
    <row r="951" spans="31:32" x14ac:dyDescent="0.2">
      <c r="AE951" s="239"/>
      <c r="AF951" s="239"/>
    </row>
    <row r="952" spans="31:32" x14ac:dyDescent="0.2">
      <c r="AE952" s="239"/>
      <c r="AF952" s="239"/>
    </row>
    <row r="953" spans="31:32" x14ac:dyDescent="0.2">
      <c r="AE953" s="239"/>
      <c r="AF953" s="239"/>
    </row>
    <row r="954" spans="31:32" x14ac:dyDescent="0.2">
      <c r="AE954" s="239"/>
      <c r="AF954" s="239"/>
    </row>
    <row r="955" spans="31:32" x14ac:dyDescent="0.2">
      <c r="AE955" s="239"/>
      <c r="AF955" s="239"/>
    </row>
    <row r="956" spans="31:32" x14ac:dyDescent="0.2">
      <c r="AE956" s="239"/>
      <c r="AF956" s="239"/>
    </row>
    <row r="957" spans="31:32" x14ac:dyDescent="0.2">
      <c r="AE957" s="239"/>
      <c r="AF957" s="239"/>
    </row>
    <row r="958" spans="31:32" x14ac:dyDescent="0.2">
      <c r="AE958" s="239"/>
      <c r="AF958" s="239"/>
    </row>
    <row r="959" spans="31:32" x14ac:dyDescent="0.2">
      <c r="AE959" s="239"/>
      <c r="AF959" s="239"/>
    </row>
    <row r="960" spans="31:32" x14ac:dyDescent="0.2">
      <c r="AE960" s="239"/>
      <c r="AF960" s="239"/>
    </row>
    <row r="961" spans="31:32" x14ac:dyDescent="0.2">
      <c r="AE961" s="239"/>
      <c r="AF961" s="239"/>
    </row>
    <row r="962" spans="31:32" x14ac:dyDescent="0.2">
      <c r="AE962" s="239"/>
      <c r="AF962" s="239"/>
    </row>
    <row r="963" spans="31:32" x14ac:dyDescent="0.2">
      <c r="AE963" s="239"/>
      <c r="AF963" s="239"/>
    </row>
    <row r="964" spans="31:32" x14ac:dyDescent="0.2">
      <c r="AE964" s="239"/>
      <c r="AF964" s="239"/>
    </row>
    <row r="965" spans="31:32" x14ac:dyDescent="0.2">
      <c r="AE965" s="239"/>
      <c r="AF965" s="239"/>
    </row>
    <row r="966" spans="31:32" x14ac:dyDescent="0.2">
      <c r="AE966" s="239"/>
      <c r="AF966" s="239"/>
    </row>
    <row r="967" spans="31:32" x14ac:dyDescent="0.2">
      <c r="AE967" s="239"/>
      <c r="AF967" s="239"/>
    </row>
    <row r="968" spans="31:32" x14ac:dyDescent="0.2">
      <c r="AE968" s="239"/>
      <c r="AF968" s="239"/>
    </row>
    <row r="969" spans="31:32" x14ac:dyDescent="0.2">
      <c r="AE969" s="239"/>
      <c r="AF969" s="239"/>
    </row>
    <row r="970" spans="31:32" x14ac:dyDescent="0.2">
      <c r="AE970" s="239"/>
      <c r="AF970" s="239"/>
    </row>
    <row r="971" spans="31:32" x14ac:dyDescent="0.2">
      <c r="AE971" s="239"/>
      <c r="AF971" s="239"/>
    </row>
    <row r="972" spans="31:32" x14ac:dyDescent="0.2">
      <c r="AE972" s="239"/>
      <c r="AF972" s="239"/>
    </row>
    <row r="973" spans="31:32" x14ac:dyDescent="0.2">
      <c r="AE973" s="239"/>
      <c r="AF973" s="239"/>
    </row>
    <row r="974" spans="31:32" x14ac:dyDescent="0.2">
      <c r="AE974" s="239"/>
      <c r="AF974" s="239"/>
    </row>
    <row r="975" spans="31:32" x14ac:dyDescent="0.2">
      <c r="AE975" s="239"/>
      <c r="AF975" s="239"/>
    </row>
    <row r="976" spans="31:32" x14ac:dyDescent="0.2">
      <c r="AE976" s="239"/>
      <c r="AF976" s="239"/>
    </row>
    <row r="977" spans="31:32" x14ac:dyDescent="0.2">
      <c r="AE977" s="239"/>
      <c r="AF977" s="239"/>
    </row>
    <row r="978" spans="31:32" x14ac:dyDescent="0.2">
      <c r="AE978" s="239"/>
      <c r="AF978" s="239"/>
    </row>
    <row r="979" spans="31:32" x14ac:dyDescent="0.2">
      <c r="AE979" s="239"/>
      <c r="AF979" s="239"/>
    </row>
    <row r="980" spans="31:32" x14ac:dyDescent="0.2">
      <c r="AE980" s="239"/>
      <c r="AF980" s="239"/>
    </row>
    <row r="981" spans="31:32" x14ac:dyDescent="0.2">
      <c r="AE981" s="239"/>
      <c r="AF981" s="239"/>
    </row>
    <row r="982" spans="31:32" x14ac:dyDescent="0.2">
      <c r="AE982" s="239"/>
      <c r="AF982" s="239"/>
    </row>
    <row r="983" spans="31:32" x14ac:dyDescent="0.2">
      <c r="AE983" s="239"/>
      <c r="AF983" s="239"/>
    </row>
    <row r="984" spans="31:32" x14ac:dyDescent="0.2">
      <c r="AE984" s="239"/>
      <c r="AF984" s="239"/>
    </row>
    <row r="985" spans="31:32" x14ac:dyDescent="0.2">
      <c r="AE985" s="239"/>
      <c r="AF985" s="239"/>
    </row>
    <row r="986" spans="31:32" x14ac:dyDescent="0.2">
      <c r="AE986" s="239"/>
      <c r="AF986" s="239"/>
    </row>
    <row r="987" spans="31:32" x14ac:dyDescent="0.2">
      <c r="AE987" s="239"/>
      <c r="AF987" s="239"/>
    </row>
    <row r="988" spans="31:32" x14ac:dyDescent="0.2">
      <c r="AE988" s="239"/>
      <c r="AF988" s="239"/>
    </row>
    <row r="989" spans="31:32" x14ac:dyDescent="0.2">
      <c r="AE989" s="239"/>
      <c r="AF989" s="239"/>
    </row>
    <row r="990" spans="31:32" x14ac:dyDescent="0.2">
      <c r="AE990" s="239"/>
      <c r="AF990" s="239"/>
    </row>
    <row r="991" spans="31:32" x14ac:dyDescent="0.2">
      <c r="AE991" s="239"/>
      <c r="AF991" s="239"/>
    </row>
    <row r="992" spans="31:32" x14ac:dyDescent="0.2">
      <c r="AE992" s="239"/>
      <c r="AF992" s="239"/>
    </row>
    <row r="993" spans="31:32" x14ac:dyDescent="0.2">
      <c r="AE993" s="239"/>
      <c r="AF993" s="239"/>
    </row>
    <row r="994" spans="31:32" x14ac:dyDescent="0.2">
      <c r="AE994" s="239"/>
      <c r="AF994" s="239"/>
    </row>
    <row r="995" spans="31:32" x14ac:dyDescent="0.2">
      <c r="AE995" s="239"/>
      <c r="AF995" s="239"/>
    </row>
    <row r="996" spans="31:32" x14ac:dyDescent="0.2">
      <c r="AE996" s="239"/>
      <c r="AF996" s="239"/>
    </row>
    <row r="997" spans="31:32" x14ac:dyDescent="0.2">
      <c r="AE997" s="239"/>
      <c r="AF997" s="239"/>
    </row>
    <row r="998" spans="31:32" x14ac:dyDescent="0.2">
      <c r="AE998" s="239"/>
      <c r="AF998" s="239"/>
    </row>
    <row r="999" spans="31:32" x14ac:dyDescent="0.2">
      <c r="AE999" s="239"/>
      <c r="AF999" s="239"/>
    </row>
    <row r="1000" spans="31:32" x14ac:dyDescent="0.2">
      <c r="AE1000" s="239"/>
      <c r="AF1000" s="239"/>
    </row>
    <row r="1001" spans="31:32" x14ac:dyDescent="0.2">
      <c r="AE1001" s="239"/>
      <c r="AF1001" s="239"/>
    </row>
    <row r="1002" spans="31:32" x14ac:dyDescent="0.2">
      <c r="AE1002" s="239"/>
      <c r="AF1002" s="239"/>
    </row>
    <row r="1003" spans="31:32" x14ac:dyDescent="0.2">
      <c r="AE1003" s="239"/>
      <c r="AF1003" s="239"/>
    </row>
    <row r="1004" spans="31:32" x14ac:dyDescent="0.2">
      <c r="AE1004" s="239"/>
      <c r="AF1004" s="239"/>
    </row>
    <row r="1005" spans="31:32" x14ac:dyDescent="0.2">
      <c r="AE1005" s="239"/>
      <c r="AF1005" s="239"/>
    </row>
    <row r="1006" spans="31:32" x14ac:dyDescent="0.2">
      <c r="AE1006" s="239"/>
      <c r="AF1006" s="239"/>
    </row>
    <row r="1007" spans="31:32" x14ac:dyDescent="0.2">
      <c r="AE1007" s="239"/>
      <c r="AF1007" s="239"/>
    </row>
    <row r="1008" spans="31:32" x14ac:dyDescent="0.2">
      <c r="AE1008" s="239"/>
      <c r="AF1008" s="239"/>
    </row>
    <row r="1009" spans="31:32" x14ac:dyDescent="0.2">
      <c r="AE1009" s="239"/>
      <c r="AF1009" s="239"/>
    </row>
    <row r="1010" spans="31:32" x14ac:dyDescent="0.2">
      <c r="AE1010" s="239"/>
      <c r="AF1010" s="239"/>
    </row>
    <row r="1011" spans="31:32" x14ac:dyDescent="0.2">
      <c r="AE1011" s="239"/>
      <c r="AF1011" s="239"/>
    </row>
    <row r="1012" spans="31:32" x14ac:dyDescent="0.2">
      <c r="AE1012" s="239"/>
      <c r="AF1012" s="239"/>
    </row>
    <row r="1013" spans="31:32" x14ac:dyDescent="0.2">
      <c r="AE1013" s="239"/>
      <c r="AF1013" s="239"/>
    </row>
    <row r="1014" spans="31:32" x14ac:dyDescent="0.2">
      <c r="AE1014" s="239"/>
      <c r="AF1014" s="239"/>
    </row>
    <row r="1015" spans="31:32" x14ac:dyDescent="0.2">
      <c r="AE1015" s="239"/>
      <c r="AF1015" s="239"/>
    </row>
    <row r="1016" spans="31:32" x14ac:dyDescent="0.2">
      <c r="AE1016" s="239"/>
      <c r="AF1016" s="239"/>
    </row>
    <row r="1017" spans="31:32" x14ac:dyDescent="0.2">
      <c r="AE1017" s="239"/>
      <c r="AF1017" s="239"/>
    </row>
    <row r="1018" spans="31:32" x14ac:dyDescent="0.2">
      <c r="AE1018" s="239"/>
      <c r="AF1018" s="239"/>
    </row>
    <row r="1019" spans="31:32" x14ac:dyDescent="0.2">
      <c r="AE1019" s="239"/>
      <c r="AF1019" s="239"/>
    </row>
    <row r="1020" spans="31:32" x14ac:dyDescent="0.2">
      <c r="AE1020" s="239"/>
      <c r="AF1020" s="239"/>
    </row>
    <row r="1021" spans="31:32" x14ac:dyDescent="0.2">
      <c r="AE1021" s="239"/>
      <c r="AF1021" s="239"/>
    </row>
    <row r="1022" spans="31:32" x14ac:dyDescent="0.2">
      <c r="AE1022" s="239"/>
      <c r="AF1022" s="239"/>
    </row>
    <row r="1023" spans="31:32" x14ac:dyDescent="0.2">
      <c r="AE1023" s="239"/>
      <c r="AF1023" s="239"/>
    </row>
    <row r="1024" spans="31:32" x14ac:dyDescent="0.2">
      <c r="AE1024" s="239"/>
      <c r="AF1024" s="239"/>
    </row>
    <row r="1025" spans="31:32" x14ac:dyDescent="0.2">
      <c r="AE1025" s="239"/>
      <c r="AF1025" s="239"/>
    </row>
    <row r="1026" spans="31:32" x14ac:dyDescent="0.2">
      <c r="AE1026" s="239"/>
      <c r="AF1026" s="239"/>
    </row>
    <row r="1027" spans="31:32" x14ac:dyDescent="0.2">
      <c r="AE1027" s="239"/>
      <c r="AF1027" s="239"/>
    </row>
    <row r="1028" spans="31:32" x14ac:dyDescent="0.2">
      <c r="AE1028" s="239"/>
      <c r="AF1028" s="239"/>
    </row>
    <row r="1029" spans="31:32" x14ac:dyDescent="0.2">
      <c r="AE1029" s="239"/>
      <c r="AF1029" s="239"/>
    </row>
    <row r="1030" spans="31:32" x14ac:dyDescent="0.2">
      <c r="AE1030" s="239"/>
      <c r="AF1030" s="239"/>
    </row>
    <row r="1031" spans="31:32" x14ac:dyDescent="0.2">
      <c r="AE1031" s="239"/>
      <c r="AF1031" s="239"/>
    </row>
    <row r="1032" spans="31:32" x14ac:dyDescent="0.2">
      <c r="AE1032" s="239"/>
      <c r="AF1032" s="239"/>
    </row>
    <row r="1033" spans="31:32" x14ac:dyDescent="0.2">
      <c r="AE1033" s="239"/>
      <c r="AF1033" s="239"/>
    </row>
    <row r="1034" spans="31:32" x14ac:dyDescent="0.2">
      <c r="AE1034" s="239"/>
      <c r="AF1034" s="239"/>
    </row>
    <row r="1035" spans="31:32" x14ac:dyDescent="0.2">
      <c r="AE1035" s="239"/>
      <c r="AF1035" s="239"/>
    </row>
    <row r="1036" spans="31:32" x14ac:dyDescent="0.2">
      <c r="AE1036" s="239"/>
      <c r="AF1036" s="239"/>
    </row>
    <row r="1037" spans="31:32" x14ac:dyDescent="0.2">
      <c r="AE1037" s="239"/>
      <c r="AF1037" s="239"/>
    </row>
    <row r="1038" spans="31:32" x14ac:dyDescent="0.2">
      <c r="AE1038" s="239"/>
      <c r="AF1038" s="239"/>
    </row>
    <row r="1039" spans="31:32" x14ac:dyDescent="0.2">
      <c r="AE1039" s="239"/>
      <c r="AF1039" s="239"/>
    </row>
    <row r="1040" spans="31:32" x14ac:dyDescent="0.2">
      <c r="AE1040" s="239"/>
      <c r="AF1040" s="239"/>
    </row>
    <row r="1041" spans="31:32" x14ac:dyDescent="0.2">
      <c r="AE1041" s="239"/>
      <c r="AF1041" s="239"/>
    </row>
    <row r="1042" spans="31:32" x14ac:dyDescent="0.2">
      <c r="AE1042" s="239"/>
      <c r="AF1042" s="239"/>
    </row>
    <row r="1043" spans="31:32" x14ac:dyDescent="0.2">
      <c r="AE1043" s="239"/>
      <c r="AF1043" s="239"/>
    </row>
    <row r="1044" spans="31:32" x14ac:dyDescent="0.2">
      <c r="AE1044" s="239"/>
      <c r="AF1044" s="239"/>
    </row>
    <row r="1045" spans="31:32" x14ac:dyDescent="0.2">
      <c r="AE1045" s="239"/>
      <c r="AF1045" s="239"/>
    </row>
    <row r="1046" spans="31:32" x14ac:dyDescent="0.2">
      <c r="AE1046" s="239"/>
      <c r="AF1046" s="239"/>
    </row>
    <row r="1047" spans="31:32" x14ac:dyDescent="0.2">
      <c r="AE1047" s="239"/>
      <c r="AF1047" s="239"/>
    </row>
    <row r="1048" spans="31:32" x14ac:dyDescent="0.2">
      <c r="AE1048" s="239"/>
      <c r="AF1048" s="239"/>
    </row>
    <row r="1049" spans="31:32" x14ac:dyDescent="0.2">
      <c r="AE1049" s="239"/>
      <c r="AF1049" s="239"/>
    </row>
    <row r="1050" spans="31:32" x14ac:dyDescent="0.2">
      <c r="AE1050" s="239"/>
      <c r="AF1050" s="239"/>
    </row>
    <row r="1051" spans="31:32" x14ac:dyDescent="0.2">
      <c r="AE1051" s="239"/>
      <c r="AF1051" s="239"/>
    </row>
    <row r="1052" spans="31:32" x14ac:dyDescent="0.2">
      <c r="AE1052" s="239"/>
      <c r="AF1052" s="239"/>
    </row>
    <row r="1053" spans="31:32" x14ac:dyDescent="0.2">
      <c r="AE1053" s="239"/>
      <c r="AF1053" s="239"/>
    </row>
    <row r="1054" spans="31:32" x14ac:dyDescent="0.2">
      <c r="AE1054" s="239"/>
      <c r="AF1054" s="239"/>
    </row>
    <row r="1055" spans="31:32" x14ac:dyDescent="0.2">
      <c r="AE1055" s="239"/>
      <c r="AF1055" s="239"/>
    </row>
    <row r="1056" spans="31:32" x14ac:dyDescent="0.2">
      <c r="AE1056" s="239"/>
      <c r="AF1056" s="239"/>
    </row>
    <row r="1057" spans="31:32" x14ac:dyDescent="0.2">
      <c r="AE1057" s="239"/>
      <c r="AF1057" s="239"/>
    </row>
    <row r="1058" spans="31:32" x14ac:dyDescent="0.2">
      <c r="AE1058" s="239"/>
      <c r="AF1058" s="239"/>
    </row>
    <row r="1059" spans="31:32" x14ac:dyDescent="0.2">
      <c r="AE1059" s="239"/>
      <c r="AF1059" s="239"/>
    </row>
    <row r="1060" spans="31:32" x14ac:dyDescent="0.2">
      <c r="AE1060" s="239"/>
      <c r="AF1060" s="239"/>
    </row>
    <row r="1061" spans="31:32" x14ac:dyDescent="0.2">
      <c r="AE1061" s="239"/>
      <c r="AF1061" s="239"/>
    </row>
    <row r="1062" spans="31:32" x14ac:dyDescent="0.2">
      <c r="AE1062" s="239"/>
      <c r="AF1062" s="239"/>
    </row>
    <row r="1063" spans="31:32" x14ac:dyDescent="0.2">
      <c r="AE1063" s="239"/>
      <c r="AF1063" s="239"/>
    </row>
    <row r="1064" spans="31:32" x14ac:dyDescent="0.2">
      <c r="AE1064" s="239"/>
      <c r="AF1064" s="239"/>
    </row>
    <row r="1065" spans="31:32" x14ac:dyDescent="0.2">
      <c r="AE1065" s="239"/>
      <c r="AF1065" s="239"/>
    </row>
    <row r="1066" spans="31:32" x14ac:dyDescent="0.2">
      <c r="AE1066" s="239"/>
      <c r="AF1066" s="239"/>
    </row>
    <row r="1067" spans="31:32" x14ac:dyDescent="0.2">
      <c r="AE1067" s="239"/>
      <c r="AF1067" s="239"/>
    </row>
    <row r="1068" spans="31:32" x14ac:dyDescent="0.2">
      <c r="AE1068" s="239"/>
      <c r="AF1068" s="239"/>
    </row>
    <row r="1069" spans="31:32" x14ac:dyDescent="0.2">
      <c r="AE1069" s="239"/>
      <c r="AF1069" s="239"/>
    </row>
    <row r="1070" spans="31:32" x14ac:dyDescent="0.2">
      <c r="AE1070" s="239"/>
      <c r="AF1070" s="239"/>
    </row>
    <row r="1071" spans="31:32" x14ac:dyDescent="0.2">
      <c r="AE1071" s="239"/>
      <c r="AF1071" s="239"/>
    </row>
    <row r="1072" spans="31:32" x14ac:dyDescent="0.2">
      <c r="AE1072" s="239"/>
      <c r="AF1072" s="239"/>
    </row>
    <row r="1073" spans="31:32" x14ac:dyDescent="0.2">
      <c r="AE1073" s="239"/>
      <c r="AF1073" s="239"/>
    </row>
    <row r="1074" spans="31:32" x14ac:dyDescent="0.2">
      <c r="AE1074" s="239"/>
      <c r="AF1074" s="239"/>
    </row>
    <row r="1075" spans="31:32" x14ac:dyDescent="0.2">
      <c r="AE1075" s="239"/>
      <c r="AF1075" s="239"/>
    </row>
    <row r="1076" spans="31:32" x14ac:dyDescent="0.2">
      <c r="AE1076" s="239"/>
      <c r="AF1076" s="239"/>
    </row>
    <row r="1077" spans="31:32" x14ac:dyDescent="0.2">
      <c r="AE1077" s="239"/>
      <c r="AF1077" s="239"/>
    </row>
    <row r="1078" spans="31:32" x14ac:dyDescent="0.2">
      <c r="AE1078" s="239"/>
      <c r="AF1078" s="239"/>
    </row>
    <row r="1079" spans="31:32" x14ac:dyDescent="0.2">
      <c r="AE1079" s="239"/>
      <c r="AF1079" s="239"/>
    </row>
    <row r="1080" spans="31:32" x14ac:dyDescent="0.2">
      <c r="AE1080" s="239"/>
      <c r="AF1080" s="239"/>
    </row>
    <row r="1081" spans="31:32" x14ac:dyDescent="0.2">
      <c r="AE1081" s="239"/>
      <c r="AF1081" s="239"/>
    </row>
    <row r="1082" spans="31:32" x14ac:dyDescent="0.2">
      <c r="AE1082" s="239"/>
      <c r="AF1082" s="239"/>
    </row>
    <row r="1083" spans="31:32" x14ac:dyDescent="0.2">
      <c r="AE1083" s="239"/>
      <c r="AF1083" s="239"/>
    </row>
    <row r="1084" spans="31:32" x14ac:dyDescent="0.2">
      <c r="AE1084" s="239"/>
      <c r="AF1084" s="239"/>
    </row>
    <row r="1085" spans="31:32" x14ac:dyDescent="0.2">
      <c r="AE1085" s="239"/>
      <c r="AF1085" s="239"/>
    </row>
    <row r="1086" spans="31:32" x14ac:dyDescent="0.2">
      <c r="AE1086" s="239"/>
      <c r="AF1086" s="239"/>
    </row>
    <row r="1087" spans="31:32" x14ac:dyDescent="0.2">
      <c r="AE1087" s="239"/>
      <c r="AF1087" s="239"/>
    </row>
    <row r="1088" spans="31:32" x14ac:dyDescent="0.2">
      <c r="AE1088" s="239"/>
      <c r="AF1088" s="239"/>
    </row>
    <row r="1089" spans="31:32" x14ac:dyDescent="0.2">
      <c r="AE1089" s="239"/>
      <c r="AF1089" s="239"/>
    </row>
    <row r="1090" spans="31:32" x14ac:dyDescent="0.2">
      <c r="AE1090" s="239"/>
      <c r="AF1090" s="239"/>
    </row>
    <row r="1091" spans="31:32" x14ac:dyDescent="0.2">
      <c r="AE1091" s="239"/>
      <c r="AF1091" s="239"/>
    </row>
    <row r="1092" spans="31:32" x14ac:dyDescent="0.2">
      <c r="AE1092" s="239"/>
      <c r="AF1092" s="239"/>
    </row>
    <row r="1093" spans="31:32" x14ac:dyDescent="0.2">
      <c r="AE1093" s="239"/>
      <c r="AF1093" s="239"/>
    </row>
    <row r="1094" spans="31:32" x14ac:dyDescent="0.2">
      <c r="AE1094" s="239"/>
      <c r="AF1094" s="239"/>
    </row>
    <row r="1095" spans="31:32" x14ac:dyDescent="0.2">
      <c r="AE1095" s="239"/>
      <c r="AF1095" s="239"/>
    </row>
    <row r="1096" spans="31:32" x14ac:dyDescent="0.2">
      <c r="AE1096" s="239"/>
      <c r="AF1096" s="239"/>
    </row>
    <row r="1097" spans="31:32" x14ac:dyDescent="0.2">
      <c r="AE1097" s="239"/>
      <c r="AF1097" s="239"/>
    </row>
    <row r="1098" spans="31:32" x14ac:dyDescent="0.2">
      <c r="AE1098" s="239"/>
      <c r="AF1098" s="239"/>
    </row>
    <row r="1099" spans="31:32" x14ac:dyDescent="0.2">
      <c r="AE1099" s="239"/>
      <c r="AF1099" s="239"/>
    </row>
    <row r="1100" spans="31:32" x14ac:dyDescent="0.2">
      <c r="AE1100" s="239"/>
      <c r="AF1100" s="239"/>
    </row>
    <row r="1101" spans="31:32" x14ac:dyDescent="0.2">
      <c r="AE1101" s="239"/>
      <c r="AF1101" s="239"/>
    </row>
    <row r="1102" spans="31:32" x14ac:dyDescent="0.2">
      <c r="AE1102" s="239"/>
      <c r="AF1102" s="239"/>
    </row>
    <row r="1103" spans="31:32" x14ac:dyDescent="0.2">
      <c r="AE1103" s="239"/>
      <c r="AF1103" s="239"/>
    </row>
    <row r="1104" spans="31:32" x14ac:dyDescent="0.2">
      <c r="AE1104" s="239"/>
      <c r="AF1104" s="239"/>
    </row>
    <row r="1105" spans="31:32" x14ac:dyDescent="0.2">
      <c r="AE1105" s="239"/>
      <c r="AF1105" s="239"/>
    </row>
    <row r="1106" spans="31:32" x14ac:dyDescent="0.2">
      <c r="AE1106" s="239"/>
      <c r="AF1106" s="239"/>
    </row>
    <row r="1107" spans="31:32" x14ac:dyDescent="0.2">
      <c r="AE1107" s="239"/>
      <c r="AF1107" s="239"/>
    </row>
    <row r="1108" spans="31:32" x14ac:dyDescent="0.2">
      <c r="AE1108" s="239"/>
      <c r="AF1108" s="239"/>
    </row>
    <row r="1109" spans="31:32" x14ac:dyDescent="0.2">
      <c r="AE1109" s="239"/>
      <c r="AF1109" s="239"/>
    </row>
    <row r="1110" spans="31:32" x14ac:dyDescent="0.2">
      <c r="AE1110" s="239"/>
      <c r="AF1110" s="239"/>
    </row>
    <row r="1111" spans="31:32" x14ac:dyDescent="0.2">
      <c r="AE1111" s="239"/>
      <c r="AF1111" s="239"/>
    </row>
    <row r="1112" spans="31:32" x14ac:dyDescent="0.2">
      <c r="AE1112" s="239"/>
      <c r="AF1112" s="239"/>
    </row>
    <row r="1113" spans="31:32" x14ac:dyDescent="0.2">
      <c r="AE1113" s="239"/>
      <c r="AF1113" s="239"/>
    </row>
    <row r="1114" spans="31:32" x14ac:dyDescent="0.2">
      <c r="AE1114" s="239"/>
      <c r="AF1114" s="239"/>
    </row>
    <row r="1115" spans="31:32" x14ac:dyDescent="0.2">
      <c r="AE1115" s="239"/>
      <c r="AF1115" s="239"/>
    </row>
    <row r="1116" spans="31:32" x14ac:dyDescent="0.2">
      <c r="AE1116" s="239"/>
      <c r="AF1116" s="239"/>
    </row>
    <row r="1117" spans="31:32" x14ac:dyDescent="0.2">
      <c r="AE1117" s="239"/>
      <c r="AF1117" s="239"/>
    </row>
    <row r="1118" spans="31:32" x14ac:dyDescent="0.2">
      <c r="AE1118" s="239"/>
      <c r="AF1118" s="239"/>
    </row>
    <row r="1119" spans="31:32" x14ac:dyDescent="0.2">
      <c r="AE1119" s="239"/>
      <c r="AF1119" s="239"/>
    </row>
    <row r="1120" spans="31:32" x14ac:dyDescent="0.2">
      <c r="AE1120" s="239"/>
      <c r="AF1120" s="239"/>
    </row>
    <row r="1121" spans="31:32" x14ac:dyDescent="0.2">
      <c r="AE1121" s="239"/>
      <c r="AF1121" s="239"/>
    </row>
    <row r="1122" spans="31:32" x14ac:dyDescent="0.2">
      <c r="AE1122" s="239"/>
      <c r="AF1122" s="239"/>
    </row>
    <row r="1123" spans="31:32" x14ac:dyDescent="0.2">
      <c r="AE1123" s="239"/>
      <c r="AF1123" s="239"/>
    </row>
    <row r="1124" spans="31:32" x14ac:dyDescent="0.2">
      <c r="AE1124" s="239"/>
      <c r="AF1124" s="239"/>
    </row>
    <row r="1125" spans="31:32" x14ac:dyDescent="0.2">
      <c r="AE1125" s="239"/>
      <c r="AF1125" s="239"/>
    </row>
    <row r="1126" spans="31:32" x14ac:dyDescent="0.2">
      <c r="AE1126" s="239"/>
      <c r="AF1126" s="239"/>
    </row>
    <row r="1127" spans="31:32" x14ac:dyDescent="0.2">
      <c r="AE1127" s="239"/>
      <c r="AF1127" s="239"/>
    </row>
    <row r="1128" spans="31:32" x14ac:dyDescent="0.2">
      <c r="AE1128" s="239"/>
      <c r="AF1128" s="239"/>
    </row>
    <row r="1129" spans="31:32" x14ac:dyDescent="0.2">
      <c r="AE1129" s="239"/>
      <c r="AF1129" s="239"/>
    </row>
    <row r="1130" spans="31:32" x14ac:dyDescent="0.2">
      <c r="AE1130" s="239"/>
      <c r="AF1130" s="239"/>
    </row>
    <row r="1131" spans="31:32" x14ac:dyDescent="0.2">
      <c r="AE1131" s="239"/>
      <c r="AF1131" s="239"/>
    </row>
    <row r="1132" spans="31:32" x14ac:dyDescent="0.2">
      <c r="AE1132" s="239"/>
      <c r="AF1132" s="239"/>
    </row>
    <row r="1133" spans="31:32" x14ac:dyDescent="0.2">
      <c r="AE1133" s="239"/>
      <c r="AF1133" s="239"/>
    </row>
    <row r="1134" spans="31:32" x14ac:dyDescent="0.2">
      <c r="AE1134" s="239"/>
      <c r="AF1134" s="239"/>
    </row>
    <row r="1135" spans="31:32" x14ac:dyDescent="0.2">
      <c r="AE1135" s="239"/>
      <c r="AF1135" s="239"/>
    </row>
    <row r="1136" spans="31:32" x14ac:dyDescent="0.2">
      <c r="AE1136" s="239"/>
      <c r="AF1136" s="239"/>
    </row>
    <row r="1137" spans="31:32" x14ac:dyDescent="0.2">
      <c r="AE1137" s="239"/>
      <c r="AF1137" s="239"/>
    </row>
    <row r="1138" spans="31:32" x14ac:dyDescent="0.2">
      <c r="AE1138" s="239"/>
      <c r="AF1138" s="239"/>
    </row>
    <row r="1139" spans="31:32" x14ac:dyDescent="0.2">
      <c r="AE1139" s="239"/>
      <c r="AF1139" s="239"/>
    </row>
    <row r="1140" spans="31:32" x14ac:dyDescent="0.2">
      <c r="AE1140" s="239"/>
      <c r="AF1140" s="239"/>
    </row>
    <row r="1141" spans="31:32" x14ac:dyDescent="0.2">
      <c r="AE1141" s="239"/>
      <c r="AF1141" s="239"/>
    </row>
    <row r="1142" spans="31:32" x14ac:dyDescent="0.2">
      <c r="AE1142" s="239"/>
      <c r="AF1142" s="239"/>
    </row>
    <row r="1143" spans="31:32" x14ac:dyDescent="0.2">
      <c r="AE1143" s="239"/>
      <c r="AF1143" s="239"/>
    </row>
    <row r="1144" spans="31:32" x14ac:dyDescent="0.2">
      <c r="AE1144" s="239"/>
      <c r="AF1144" s="239"/>
    </row>
    <row r="1145" spans="31:32" x14ac:dyDescent="0.2">
      <c r="AE1145" s="239"/>
      <c r="AF1145" s="239"/>
    </row>
    <row r="1146" spans="31:32" x14ac:dyDescent="0.2">
      <c r="AE1146" s="239"/>
      <c r="AF1146" s="239"/>
    </row>
    <row r="1147" spans="31:32" x14ac:dyDescent="0.2">
      <c r="AE1147" s="239"/>
      <c r="AF1147" s="239"/>
    </row>
    <row r="1148" spans="31:32" x14ac:dyDescent="0.2">
      <c r="AE1148" s="239"/>
      <c r="AF1148" s="239"/>
    </row>
    <row r="1149" spans="31:32" x14ac:dyDescent="0.2">
      <c r="AE1149" s="239"/>
      <c r="AF1149" s="239"/>
    </row>
    <row r="1150" spans="31:32" x14ac:dyDescent="0.2">
      <c r="AE1150" s="239"/>
      <c r="AF1150" s="239"/>
    </row>
    <row r="1151" spans="31:32" x14ac:dyDescent="0.2">
      <c r="AE1151" s="239"/>
      <c r="AF1151" s="239"/>
    </row>
    <row r="1152" spans="31:32" x14ac:dyDescent="0.2">
      <c r="AE1152" s="239"/>
      <c r="AF1152" s="239"/>
    </row>
    <row r="1153" spans="31:32" x14ac:dyDescent="0.2">
      <c r="AE1153" s="239"/>
      <c r="AF1153" s="239"/>
    </row>
    <row r="1154" spans="31:32" x14ac:dyDescent="0.2">
      <c r="AE1154" s="239"/>
      <c r="AF1154" s="239"/>
    </row>
    <row r="1155" spans="31:32" x14ac:dyDescent="0.2">
      <c r="AE1155" s="239"/>
      <c r="AF1155" s="239"/>
    </row>
    <row r="1156" spans="31:32" x14ac:dyDescent="0.2">
      <c r="AE1156" s="239"/>
      <c r="AF1156" s="239"/>
    </row>
    <row r="1157" spans="31:32" x14ac:dyDescent="0.2">
      <c r="AE1157" s="239"/>
      <c r="AF1157" s="239"/>
    </row>
    <row r="1158" spans="31:32" x14ac:dyDescent="0.2">
      <c r="AE1158" s="239"/>
      <c r="AF1158" s="239"/>
    </row>
    <row r="1159" spans="31:32" x14ac:dyDescent="0.2">
      <c r="AE1159" s="239"/>
      <c r="AF1159" s="239"/>
    </row>
    <row r="1160" spans="31:32" x14ac:dyDescent="0.2">
      <c r="AE1160" s="239"/>
      <c r="AF1160" s="239"/>
    </row>
    <row r="1161" spans="31:32" x14ac:dyDescent="0.2">
      <c r="AE1161" s="239"/>
      <c r="AF1161" s="239"/>
    </row>
    <row r="1162" spans="31:32" x14ac:dyDescent="0.2">
      <c r="AE1162" s="239"/>
      <c r="AF1162" s="239"/>
    </row>
    <row r="1163" spans="31:32" x14ac:dyDescent="0.2">
      <c r="AE1163" s="239"/>
      <c r="AF1163" s="239"/>
    </row>
    <row r="1164" spans="31:32" x14ac:dyDescent="0.2">
      <c r="AE1164" s="239"/>
      <c r="AF1164" s="239"/>
    </row>
    <row r="1165" spans="31:32" x14ac:dyDescent="0.2">
      <c r="AE1165" s="239"/>
      <c r="AF1165" s="239"/>
    </row>
    <row r="1166" spans="31:32" x14ac:dyDescent="0.2">
      <c r="AE1166" s="239"/>
      <c r="AF1166" s="239"/>
    </row>
    <row r="1167" spans="31:32" x14ac:dyDescent="0.2">
      <c r="AE1167" s="239"/>
      <c r="AF1167" s="239"/>
    </row>
    <row r="1168" spans="31:32" x14ac:dyDescent="0.2">
      <c r="AE1168" s="239"/>
      <c r="AF1168" s="239"/>
    </row>
    <row r="1169" spans="31:32" x14ac:dyDescent="0.2">
      <c r="AE1169" s="239"/>
      <c r="AF1169" s="239"/>
    </row>
    <row r="1170" spans="31:32" x14ac:dyDescent="0.2">
      <c r="AE1170" s="239"/>
      <c r="AF1170" s="239"/>
    </row>
    <row r="1171" spans="31:32" x14ac:dyDescent="0.2">
      <c r="AE1171" s="239"/>
      <c r="AF1171" s="239"/>
    </row>
    <row r="1172" spans="31:32" x14ac:dyDescent="0.2">
      <c r="AE1172" s="239"/>
      <c r="AF1172" s="239"/>
    </row>
    <row r="1173" spans="31:32" x14ac:dyDescent="0.2">
      <c r="AE1173" s="239"/>
      <c r="AF1173" s="239"/>
    </row>
    <row r="1174" spans="31:32" x14ac:dyDescent="0.2">
      <c r="AE1174" s="239"/>
      <c r="AF1174" s="239"/>
    </row>
    <row r="1175" spans="31:32" x14ac:dyDescent="0.2">
      <c r="AE1175" s="239"/>
      <c r="AF1175" s="239"/>
    </row>
    <row r="1176" spans="31:32" x14ac:dyDescent="0.2">
      <c r="AE1176" s="239"/>
      <c r="AF1176" s="239"/>
    </row>
    <row r="1177" spans="31:32" x14ac:dyDescent="0.2">
      <c r="AE1177" s="239"/>
      <c r="AF1177" s="239"/>
    </row>
    <row r="1178" spans="31:32" x14ac:dyDescent="0.2">
      <c r="AE1178" s="239"/>
      <c r="AF1178" s="239"/>
    </row>
    <row r="1179" spans="31:32" x14ac:dyDescent="0.2">
      <c r="AE1179" s="239"/>
      <c r="AF1179" s="239"/>
    </row>
    <row r="1180" spans="31:32" x14ac:dyDescent="0.2">
      <c r="AE1180" s="239"/>
      <c r="AF1180" s="239"/>
    </row>
    <row r="1181" spans="31:32" x14ac:dyDescent="0.2">
      <c r="AE1181" s="239"/>
      <c r="AF1181" s="239"/>
    </row>
    <row r="1182" spans="31:32" x14ac:dyDescent="0.2">
      <c r="AE1182" s="239"/>
      <c r="AF1182" s="239"/>
    </row>
    <row r="1183" spans="31:32" x14ac:dyDescent="0.2">
      <c r="AE1183" s="239"/>
      <c r="AF1183" s="239"/>
    </row>
    <row r="1184" spans="31:32" x14ac:dyDescent="0.2">
      <c r="AE1184" s="239"/>
      <c r="AF1184" s="239"/>
    </row>
    <row r="1185" spans="31:32" x14ac:dyDescent="0.2">
      <c r="AE1185" s="239"/>
      <c r="AF1185" s="239"/>
    </row>
    <row r="1186" spans="31:32" x14ac:dyDescent="0.2">
      <c r="AE1186" s="239"/>
      <c r="AF1186" s="239"/>
    </row>
    <row r="1187" spans="31:32" x14ac:dyDescent="0.2">
      <c r="AE1187" s="239"/>
      <c r="AF1187" s="239"/>
    </row>
    <row r="1188" spans="31:32" x14ac:dyDescent="0.2">
      <c r="AE1188" s="239"/>
      <c r="AF1188" s="239"/>
    </row>
    <row r="1189" spans="31:32" x14ac:dyDescent="0.2">
      <c r="AE1189" s="239"/>
      <c r="AF1189" s="239"/>
    </row>
    <row r="1190" spans="31:32" x14ac:dyDescent="0.2">
      <c r="AE1190" s="239"/>
      <c r="AF1190" s="239"/>
    </row>
    <row r="1191" spans="31:32" x14ac:dyDescent="0.2">
      <c r="AE1191" s="239"/>
      <c r="AF1191" s="239"/>
    </row>
    <row r="1192" spans="31:32" x14ac:dyDescent="0.2">
      <c r="AE1192" s="239"/>
      <c r="AF1192" s="239"/>
    </row>
    <row r="1193" spans="31:32" x14ac:dyDescent="0.2">
      <c r="AE1193" s="239"/>
      <c r="AF1193" s="239"/>
    </row>
    <row r="1194" spans="31:32" x14ac:dyDescent="0.2">
      <c r="AE1194" s="239"/>
      <c r="AF1194" s="239"/>
    </row>
    <row r="1195" spans="31:32" x14ac:dyDescent="0.2">
      <c r="AE1195" s="239"/>
      <c r="AF1195" s="239"/>
    </row>
    <row r="1196" spans="31:32" x14ac:dyDescent="0.2">
      <c r="AE1196" s="239"/>
      <c r="AF1196" s="239"/>
    </row>
    <row r="1197" spans="31:32" x14ac:dyDescent="0.2">
      <c r="AE1197" s="239"/>
      <c r="AF1197" s="239"/>
    </row>
    <row r="1198" spans="31:32" x14ac:dyDescent="0.2">
      <c r="AE1198" s="239"/>
      <c r="AF1198" s="239"/>
    </row>
    <row r="1199" spans="31:32" x14ac:dyDescent="0.2">
      <c r="AE1199" s="239"/>
      <c r="AF1199" s="239"/>
    </row>
    <row r="1200" spans="31:32" x14ac:dyDescent="0.2">
      <c r="AE1200" s="239"/>
      <c r="AF1200" s="239"/>
    </row>
    <row r="1201" spans="31:32" x14ac:dyDescent="0.2">
      <c r="AE1201" s="239"/>
      <c r="AF1201" s="239"/>
    </row>
    <row r="1202" spans="31:32" x14ac:dyDescent="0.2">
      <c r="AE1202" s="239"/>
      <c r="AF1202" s="239"/>
    </row>
    <row r="1203" spans="31:32" x14ac:dyDescent="0.2">
      <c r="AE1203" s="239"/>
      <c r="AF1203" s="239"/>
    </row>
    <row r="1204" spans="31:32" x14ac:dyDescent="0.2">
      <c r="AE1204" s="239"/>
      <c r="AF1204" s="239"/>
    </row>
    <row r="1205" spans="31:32" x14ac:dyDescent="0.2">
      <c r="AE1205" s="239"/>
      <c r="AF1205" s="239"/>
    </row>
    <row r="1206" spans="31:32" x14ac:dyDescent="0.2">
      <c r="AE1206" s="239"/>
      <c r="AF1206" s="239"/>
    </row>
    <row r="1207" spans="31:32" x14ac:dyDescent="0.2">
      <c r="AE1207" s="239"/>
      <c r="AF1207" s="239"/>
    </row>
    <row r="1208" spans="31:32" x14ac:dyDescent="0.2">
      <c r="AE1208" s="239"/>
      <c r="AF1208" s="239"/>
    </row>
    <row r="1209" spans="31:32" x14ac:dyDescent="0.2">
      <c r="AE1209" s="239"/>
      <c r="AF1209" s="239"/>
    </row>
    <row r="1210" spans="31:32" x14ac:dyDescent="0.2">
      <c r="AE1210" s="239"/>
      <c r="AF1210" s="239"/>
    </row>
    <row r="1211" spans="31:32" x14ac:dyDescent="0.2">
      <c r="AE1211" s="239"/>
      <c r="AF1211" s="239"/>
    </row>
    <row r="1212" spans="31:32" x14ac:dyDescent="0.2">
      <c r="AE1212" s="239"/>
      <c r="AF1212" s="239"/>
    </row>
    <row r="1213" spans="31:32" x14ac:dyDescent="0.2">
      <c r="AE1213" s="239"/>
      <c r="AF1213" s="239"/>
    </row>
    <row r="1214" spans="31:32" x14ac:dyDescent="0.2">
      <c r="AE1214" s="239"/>
      <c r="AF1214" s="239"/>
    </row>
    <row r="1215" spans="31:32" x14ac:dyDescent="0.2">
      <c r="AE1215" s="239"/>
      <c r="AF1215" s="239"/>
    </row>
    <row r="1216" spans="31:32" x14ac:dyDescent="0.2">
      <c r="AE1216" s="239"/>
      <c r="AF1216" s="239"/>
    </row>
    <row r="1217" spans="31:32" x14ac:dyDescent="0.2">
      <c r="AE1217" s="239"/>
      <c r="AF1217" s="239"/>
    </row>
    <row r="1218" spans="31:32" x14ac:dyDescent="0.2">
      <c r="AE1218" s="239"/>
      <c r="AF1218" s="239"/>
    </row>
    <row r="1219" spans="31:32" x14ac:dyDescent="0.2">
      <c r="AE1219" s="239"/>
      <c r="AF1219" s="239"/>
    </row>
    <row r="1220" spans="31:32" x14ac:dyDescent="0.2">
      <c r="AE1220" s="239"/>
      <c r="AF1220" s="239"/>
    </row>
    <row r="1221" spans="31:32" x14ac:dyDescent="0.2">
      <c r="AE1221" s="239"/>
      <c r="AF1221" s="239"/>
    </row>
    <row r="1222" spans="31:32" x14ac:dyDescent="0.2">
      <c r="AE1222" s="239"/>
      <c r="AF1222" s="239"/>
    </row>
    <row r="1223" spans="31:32" x14ac:dyDescent="0.2">
      <c r="AE1223" s="239"/>
      <c r="AF1223" s="239"/>
    </row>
    <row r="1224" spans="31:32" x14ac:dyDescent="0.2">
      <c r="AE1224" s="239"/>
      <c r="AF1224" s="239"/>
    </row>
    <row r="1225" spans="31:32" x14ac:dyDescent="0.2">
      <c r="AE1225" s="239"/>
      <c r="AF1225" s="239"/>
    </row>
    <row r="1226" spans="31:32" x14ac:dyDescent="0.2">
      <c r="AE1226" s="239"/>
      <c r="AF1226" s="239"/>
    </row>
    <row r="1227" spans="31:32" x14ac:dyDescent="0.2">
      <c r="AE1227" s="239"/>
      <c r="AF1227" s="239"/>
    </row>
    <row r="1228" spans="31:32" x14ac:dyDescent="0.2">
      <c r="AE1228" s="239"/>
      <c r="AF1228" s="239"/>
    </row>
    <row r="1229" spans="31:32" x14ac:dyDescent="0.2">
      <c r="AE1229" s="239"/>
      <c r="AF1229" s="239"/>
    </row>
    <row r="1230" spans="31:32" x14ac:dyDescent="0.2">
      <c r="AE1230" s="239"/>
      <c r="AF1230" s="239"/>
    </row>
    <row r="1231" spans="31:32" x14ac:dyDescent="0.2">
      <c r="AE1231" s="239"/>
      <c r="AF1231" s="239"/>
    </row>
    <row r="1232" spans="31:32" x14ac:dyDescent="0.2">
      <c r="AE1232" s="239"/>
      <c r="AF1232" s="239"/>
    </row>
    <row r="1233" spans="31:32" x14ac:dyDescent="0.2">
      <c r="AE1233" s="239"/>
      <c r="AF1233" s="239"/>
    </row>
    <row r="1234" spans="31:32" x14ac:dyDescent="0.2">
      <c r="AE1234" s="239"/>
      <c r="AF1234" s="239"/>
    </row>
    <row r="1235" spans="31:32" x14ac:dyDescent="0.2">
      <c r="AE1235" s="239"/>
      <c r="AF1235" s="239"/>
    </row>
    <row r="1236" spans="31:32" x14ac:dyDescent="0.2">
      <c r="AE1236" s="239"/>
      <c r="AF1236" s="239"/>
    </row>
    <row r="1237" spans="31:32" x14ac:dyDescent="0.2">
      <c r="AE1237" s="239"/>
      <c r="AF1237" s="239"/>
    </row>
    <row r="1238" spans="31:32" x14ac:dyDescent="0.2">
      <c r="AE1238" s="239"/>
      <c r="AF1238" s="239"/>
    </row>
    <row r="1239" spans="31:32" x14ac:dyDescent="0.2">
      <c r="AE1239" s="239"/>
      <c r="AF1239" s="239"/>
    </row>
    <row r="1240" spans="31:32" x14ac:dyDescent="0.2">
      <c r="AE1240" s="239"/>
      <c r="AF1240" s="239"/>
    </row>
    <row r="1241" spans="31:32" x14ac:dyDescent="0.2">
      <c r="AE1241" s="239"/>
      <c r="AF1241" s="239"/>
    </row>
    <row r="1242" spans="31:32" x14ac:dyDescent="0.2">
      <c r="AE1242" s="239"/>
      <c r="AF1242" s="239"/>
    </row>
    <row r="1243" spans="31:32" x14ac:dyDescent="0.2">
      <c r="AE1243" s="239"/>
      <c r="AF1243" s="239"/>
    </row>
    <row r="1244" spans="31:32" x14ac:dyDescent="0.2">
      <c r="AE1244" s="239"/>
      <c r="AF1244" s="239"/>
    </row>
    <row r="1245" spans="31:32" x14ac:dyDescent="0.2">
      <c r="AE1245" s="239"/>
      <c r="AF1245" s="239"/>
    </row>
    <row r="1246" spans="31:32" x14ac:dyDescent="0.2">
      <c r="AE1246" s="239"/>
      <c r="AF1246" s="239"/>
    </row>
    <row r="1247" spans="31:32" x14ac:dyDescent="0.2">
      <c r="AE1247" s="239"/>
      <c r="AF1247" s="239"/>
    </row>
    <row r="1248" spans="31:32" x14ac:dyDescent="0.2">
      <c r="AE1248" s="239"/>
      <c r="AF1248" s="239"/>
    </row>
    <row r="1249" spans="31:32" x14ac:dyDescent="0.2">
      <c r="AE1249" s="239"/>
      <c r="AF1249" s="239"/>
    </row>
    <row r="1250" spans="31:32" x14ac:dyDescent="0.2">
      <c r="AE1250" s="239"/>
      <c r="AF1250" s="239"/>
    </row>
    <row r="1251" spans="31:32" x14ac:dyDescent="0.2">
      <c r="AE1251" s="239"/>
      <c r="AF1251" s="239"/>
    </row>
    <row r="1252" spans="31:32" x14ac:dyDescent="0.2">
      <c r="AE1252" s="239"/>
      <c r="AF1252" s="239"/>
    </row>
    <row r="1253" spans="31:32" x14ac:dyDescent="0.2">
      <c r="AE1253" s="239"/>
      <c r="AF1253" s="239"/>
    </row>
    <row r="1254" spans="31:32" x14ac:dyDescent="0.2">
      <c r="AE1254" s="239"/>
      <c r="AF1254" s="239"/>
    </row>
    <row r="1255" spans="31:32" x14ac:dyDescent="0.2">
      <c r="AE1255" s="239"/>
      <c r="AF1255" s="239"/>
    </row>
    <row r="1256" spans="31:32" x14ac:dyDescent="0.2">
      <c r="AE1256" s="239"/>
      <c r="AF1256" s="239"/>
    </row>
    <row r="1257" spans="31:32" x14ac:dyDescent="0.2">
      <c r="AE1257" s="239"/>
      <c r="AF1257" s="239"/>
    </row>
    <row r="1258" spans="31:32" x14ac:dyDescent="0.2">
      <c r="AE1258" s="239"/>
      <c r="AF1258" s="239"/>
    </row>
    <row r="1259" spans="31:32" x14ac:dyDescent="0.2">
      <c r="AE1259" s="239"/>
      <c r="AF1259" s="239"/>
    </row>
    <row r="1260" spans="31:32" x14ac:dyDescent="0.2">
      <c r="AE1260" s="239"/>
      <c r="AF1260" s="239"/>
    </row>
    <row r="1261" spans="31:32" x14ac:dyDescent="0.2">
      <c r="AE1261" s="239"/>
      <c r="AF1261" s="239"/>
    </row>
    <row r="1262" spans="31:32" x14ac:dyDescent="0.2">
      <c r="AE1262" s="239"/>
      <c r="AF1262" s="239"/>
    </row>
    <row r="1263" spans="31:32" x14ac:dyDescent="0.2">
      <c r="AE1263" s="239"/>
      <c r="AF1263" s="239"/>
    </row>
    <row r="1264" spans="31:32" x14ac:dyDescent="0.2">
      <c r="AE1264" s="239"/>
      <c r="AF1264" s="239"/>
    </row>
    <row r="1265" spans="31:32" x14ac:dyDescent="0.2">
      <c r="AE1265" s="239"/>
      <c r="AF1265" s="239"/>
    </row>
    <row r="1266" spans="31:32" x14ac:dyDescent="0.2">
      <c r="AE1266" s="239"/>
      <c r="AF1266" s="239"/>
    </row>
    <row r="1267" spans="31:32" x14ac:dyDescent="0.2">
      <c r="AE1267" s="239"/>
      <c r="AF1267" s="239"/>
    </row>
    <row r="1268" spans="31:32" x14ac:dyDescent="0.2">
      <c r="AE1268" s="239"/>
      <c r="AF1268" s="239"/>
    </row>
    <row r="1269" spans="31:32" x14ac:dyDescent="0.2">
      <c r="AE1269" s="239"/>
      <c r="AF1269" s="239"/>
    </row>
    <row r="1270" spans="31:32" x14ac:dyDescent="0.2">
      <c r="AE1270" s="239"/>
      <c r="AF1270" s="239"/>
    </row>
    <row r="1271" spans="31:32" x14ac:dyDescent="0.2">
      <c r="AE1271" s="239"/>
      <c r="AF1271" s="239"/>
    </row>
    <row r="1272" spans="31:32" x14ac:dyDescent="0.2">
      <c r="AE1272" s="239"/>
      <c r="AF1272" s="239"/>
    </row>
    <row r="1273" spans="31:32" x14ac:dyDescent="0.2">
      <c r="AE1273" s="239"/>
      <c r="AF1273" s="239"/>
    </row>
    <row r="1274" spans="31:32" x14ac:dyDescent="0.2">
      <c r="AE1274" s="239"/>
      <c r="AF1274" s="239"/>
    </row>
    <row r="1275" spans="31:32" x14ac:dyDescent="0.2">
      <c r="AE1275" s="239"/>
      <c r="AF1275" s="239"/>
    </row>
    <row r="1276" spans="31:32" x14ac:dyDescent="0.2">
      <c r="AE1276" s="239"/>
      <c r="AF1276" s="239"/>
    </row>
    <row r="1277" spans="31:32" x14ac:dyDescent="0.2">
      <c r="AE1277" s="239"/>
      <c r="AF1277" s="239"/>
    </row>
    <row r="1278" spans="31:32" x14ac:dyDescent="0.2">
      <c r="AE1278" s="239"/>
      <c r="AF1278" s="239"/>
    </row>
    <row r="1279" spans="31:32" x14ac:dyDescent="0.2">
      <c r="AE1279" s="239"/>
      <c r="AF1279" s="239"/>
    </row>
    <row r="1280" spans="31:32" x14ac:dyDescent="0.2">
      <c r="AE1280" s="239"/>
      <c r="AF1280" s="239"/>
    </row>
    <row r="1281" spans="31:32" x14ac:dyDescent="0.2">
      <c r="AE1281" s="239"/>
      <c r="AF1281" s="239"/>
    </row>
    <row r="1282" spans="31:32" x14ac:dyDescent="0.2">
      <c r="AE1282" s="239"/>
      <c r="AF1282" s="239"/>
    </row>
    <row r="1283" spans="31:32" x14ac:dyDescent="0.2">
      <c r="AE1283" s="239"/>
      <c r="AF1283" s="239"/>
    </row>
    <row r="1284" spans="31:32" x14ac:dyDescent="0.2">
      <c r="AE1284" s="239"/>
      <c r="AF1284" s="239"/>
    </row>
    <row r="1285" spans="31:32" x14ac:dyDescent="0.2">
      <c r="AE1285" s="239"/>
      <c r="AF1285" s="239"/>
    </row>
    <row r="1286" spans="31:32" x14ac:dyDescent="0.2">
      <c r="AE1286" s="239"/>
      <c r="AF1286" s="239"/>
    </row>
    <row r="1287" spans="31:32" x14ac:dyDescent="0.2">
      <c r="AE1287" s="239"/>
      <c r="AF1287" s="239"/>
    </row>
    <row r="1288" spans="31:32" x14ac:dyDescent="0.2">
      <c r="AE1288" s="239"/>
      <c r="AF1288" s="239"/>
    </row>
    <row r="1289" spans="31:32" x14ac:dyDescent="0.2">
      <c r="AE1289" s="239"/>
      <c r="AF1289" s="239"/>
    </row>
    <row r="1290" spans="31:32" x14ac:dyDescent="0.2">
      <c r="AE1290" s="239"/>
      <c r="AF1290" s="239"/>
    </row>
    <row r="1291" spans="31:32" x14ac:dyDescent="0.2">
      <c r="AE1291" s="239"/>
      <c r="AF1291" s="239"/>
    </row>
    <row r="1292" spans="31:32" x14ac:dyDescent="0.2">
      <c r="AE1292" s="239"/>
      <c r="AF1292" s="239"/>
    </row>
    <row r="1293" spans="31:32" x14ac:dyDescent="0.2">
      <c r="AE1293" s="239"/>
      <c r="AF1293" s="239"/>
    </row>
    <row r="1294" spans="31:32" x14ac:dyDescent="0.2">
      <c r="AE1294" s="239"/>
      <c r="AF1294" s="239"/>
    </row>
    <row r="1295" spans="31:32" x14ac:dyDescent="0.2">
      <c r="AE1295" s="239"/>
      <c r="AF1295" s="239"/>
    </row>
    <row r="1296" spans="31:32" x14ac:dyDescent="0.2">
      <c r="AE1296" s="239"/>
      <c r="AF1296" s="239"/>
    </row>
    <row r="1297" spans="31:32" x14ac:dyDescent="0.2">
      <c r="AE1297" s="239"/>
      <c r="AF1297" s="239"/>
    </row>
    <row r="1298" spans="31:32" x14ac:dyDescent="0.2">
      <c r="AE1298" s="239"/>
      <c r="AF1298" s="239"/>
    </row>
    <row r="1299" spans="31:32" x14ac:dyDescent="0.2">
      <c r="AE1299" s="239"/>
      <c r="AF1299" s="239"/>
    </row>
    <row r="1300" spans="31:32" x14ac:dyDescent="0.2">
      <c r="AE1300" s="239"/>
      <c r="AF1300" s="239"/>
    </row>
    <row r="1301" spans="31:32" x14ac:dyDescent="0.2">
      <c r="AE1301" s="239"/>
      <c r="AF1301" s="239"/>
    </row>
    <row r="1302" spans="31:32" x14ac:dyDescent="0.2">
      <c r="AE1302" s="239"/>
      <c r="AF1302" s="239"/>
    </row>
    <row r="1303" spans="31:32" x14ac:dyDescent="0.2">
      <c r="AE1303" s="239"/>
      <c r="AF1303" s="239"/>
    </row>
    <row r="1304" spans="31:32" x14ac:dyDescent="0.2">
      <c r="AE1304" s="239"/>
      <c r="AF1304" s="239"/>
    </row>
    <row r="1305" spans="31:32" x14ac:dyDescent="0.2">
      <c r="AE1305" s="239"/>
      <c r="AF1305" s="239"/>
    </row>
    <row r="1306" spans="31:32" x14ac:dyDescent="0.2">
      <c r="AE1306" s="239"/>
      <c r="AF1306" s="239"/>
    </row>
    <row r="1307" spans="31:32" x14ac:dyDescent="0.2">
      <c r="AE1307" s="239"/>
      <c r="AF1307" s="239"/>
    </row>
    <row r="1308" spans="31:32" x14ac:dyDescent="0.2">
      <c r="AE1308" s="239"/>
      <c r="AF1308" s="239"/>
    </row>
    <row r="1309" spans="31:32" x14ac:dyDescent="0.2">
      <c r="AE1309" s="239"/>
      <c r="AF1309" s="239"/>
    </row>
    <row r="1310" spans="31:32" x14ac:dyDescent="0.2">
      <c r="AE1310" s="239"/>
      <c r="AF1310" s="239"/>
    </row>
    <row r="1311" spans="31:32" x14ac:dyDescent="0.2">
      <c r="AE1311" s="239"/>
      <c r="AF1311" s="239"/>
    </row>
    <row r="1312" spans="31:32" x14ac:dyDescent="0.2">
      <c r="AE1312" s="239"/>
      <c r="AF1312" s="239"/>
    </row>
    <row r="1313" spans="31:32" x14ac:dyDescent="0.2">
      <c r="AE1313" s="239"/>
      <c r="AF1313" s="239"/>
    </row>
    <row r="1314" spans="31:32" x14ac:dyDescent="0.2">
      <c r="AE1314" s="239"/>
      <c r="AF1314" s="239"/>
    </row>
    <row r="1315" spans="31:32" x14ac:dyDescent="0.2">
      <c r="AE1315" s="239"/>
      <c r="AF1315" s="239"/>
    </row>
    <row r="1316" spans="31:32" x14ac:dyDescent="0.2">
      <c r="AE1316" s="239"/>
      <c r="AF1316" s="239"/>
    </row>
    <row r="1317" spans="31:32" x14ac:dyDescent="0.2">
      <c r="AE1317" s="239"/>
      <c r="AF1317" s="239"/>
    </row>
    <row r="1318" spans="31:32" x14ac:dyDescent="0.2">
      <c r="AE1318" s="239"/>
      <c r="AF1318" s="239"/>
    </row>
    <row r="1319" spans="31:32" x14ac:dyDescent="0.2">
      <c r="AE1319" s="239"/>
      <c r="AF1319" s="239"/>
    </row>
    <row r="1320" spans="31:32" x14ac:dyDescent="0.2">
      <c r="AE1320" s="239"/>
      <c r="AF1320" s="239"/>
    </row>
    <row r="1321" spans="31:32" x14ac:dyDescent="0.2">
      <c r="AE1321" s="239"/>
      <c r="AF1321" s="239"/>
    </row>
    <row r="1322" spans="31:32" x14ac:dyDescent="0.2">
      <c r="AE1322" s="239"/>
      <c r="AF1322" s="239"/>
    </row>
    <row r="1323" spans="31:32" x14ac:dyDescent="0.2">
      <c r="AE1323" s="239"/>
      <c r="AF1323" s="239"/>
    </row>
    <row r="1324" spans="31:32" x14ac:dyDescent="0.2">
      <c r="AE1324" s="239"/>
      <c r="AF1324" s="239"/>
    </row>
    <row r="1325" spans="31:32" x14ac:dyDescent="0.2">
      <c r="AE1325" s="239"/>
      <c r="AF1325" s="239"/>
    </row>
    <row r="1326" spans="31:32" x14ac:dyDescent="0.2">
      <c r="AE1326" s="239"/>
      <c r="AF1326" s="239"/>
    </row>
    <row r="1327" spans="31:32" x14ac:dyDescent="0.2">
      <c r="AE1327" s="239"/>
      <c r="AF1327" s="239"/>
    </row>
    <row r="1328" spans="31:32" x14ac:dyDescent="0.2">
      <c r="AE1328" s="239"/>
      <c r="AF1328" s="239"/>
    </row>
    <row r="1329" spans="31:32" x14ac:dyDescent="0.2">
      <c r="AE1329" s="239"/>
      <c r="AF1329" s="239"/>
    </row>
    <row r="1330" spans="31:32" x14ac:dyDescent="0.2">
      <c r="AE1330" s="239"/>
      <c r="AF1330" s="239"/>
    </row>
    <row r="1331" spans="31:32" x14ac:dyDescent="0.2">
      <c r="AE1331" s="239"/>
      <c r="AF1331" s="239"/>
    </row>
    <row r="1332" spans="31:32" x14ac:dyDescent="0.2">
      <c r="AE1332" s="239"/>
      <c r="AF1332" s="239"/>
    </row>
    <row r="1333" spans="31:32" x14ac:dyDescent="0.2">
      <c r="AE1333" s="239"/>
      <c r="AF1333" s="239"/>
    </row>
    <row r="1334" spans="31:32" x14ac:dyDescent="0.2">
      <c r="AE1334" s="239"/>
      <c r="AF1334" s="239"/>
    </row>
    <row r="1335" spans="31:32" x14ac:dyDescent="0.2">
      <c r="AE1335" s="239"/>
      <c r="AF1335" s="239"/>
    </row>
    <row r="1336" spans="31:32" x14ac:dyDescent="0.2">
      <c r="AE1336" s="239"/>
      <c r="AF1336" s="239"/>
    </row>
    <row r="1337" spans="31:32" x14ac:dyDescent="0.2">
      <c r="AE1337" s="239"/>
      <c r="AF1337" s="239"/>
    </row>
    <row r="1338" spans="31:32" x14ac:dyDescent="0.2">
      <c r="AE1338" s="239"/>
      <c r="AF1338" s="239"/>
    </row>
    <row r="1339" spans="31:32" x14ac:dyDescent="0.2">
      <c r="AE1339" s="239"/>
      <c r="AF1339" s="239"/>
    </row>
    <row r="1340" spans="31:32" x14ac:dyDescent="0.2">
      <c r="AE1340" s="239"/>
      <c r="AF1340" s="239"/>
    </row>
    <row r="1341" spans="31:32" x14ac:dyDescent="0.2">
      <c r="AE1341" s="239"/>
      <c r="AF1341" s="239"/>
    </row>
    <row r="1342" spans="31:32" x14ac:dyDescent="0.2">
      <c r="AE1342" s="239"/>
      <c r="AF1342" s="239"/>
    </row>
    <row r="1343" spans="31:32" x14ac:dyDescent="0.2">
      <c r="AE1343" s="239"/>
      <c r="AF1343" s="239"/>
    </row>
    <row r="1344" spans="31:32" x14ac:dyDescent="0.2">
      <c r="AE1344" s="239"/>
      <c r="AF1344" s="239"/>
    </row>
    <row r="1345" spans="31:32" x14ac:dyDescent="0.2">
      <c r="AE1345" s="239"/>
      <c r="AF1345" s="239"/>
    </row>
    <row r="1346" spans="31:32" x14ac:dyDescent="0.2">
      <c r="AE1346" s="239"/>
      <c r="AF1346" s="239"/>
    </row>
    <row r="1347" spans="31:32" x14ac:dyDescent="0.2">
      <c r="AE1347" s="239"/>
      <c r="AF1347" s="239"/>
    </row>
    <row r="1348" spans="31:32" x14ac:dyDescent="0.2">
      <c r="AE1348" s="239"/>
      <c r="AF1348" s="239"/>
    </row>
    <row r="1349" spans="31:32" x14ac:dyDescent="0.2">
      <c r="AE1349" s="239"/>
      <c r="AF1349" s="239"/>
    </row>
    <row r="1350" spans="31:32" x14ac:dyDescent="0.2">
      <c r="AE1350" s="239"/>
      <c r="AF1350" s="239"/>
    </row>
    <row r="1351" spans="31:32" x14ac:dyDescent="0.2">
      <c r="AE1351" s="239"/>
      <c r="AF1351" s="239"/>
    </row>
    <row r="1352" spans="31:32" x14ac:dyDescent="0.2">
      <c r="AE1352" s="239"/>
      <c r="AF1352" s="239"/>
    </row>
    <row r="1353" spans="31:32" x14ac:dyDescent="0.2">
      <c r="AE1353" s="239"/>
      <c r="AF1353" s="239"/>
    </row>
    <row r="1354" spans="31:32" x14ac:dyDescent="0.2">
      <c r="AE1354" s="239"/>
      <c r="AF1354" s="239"/>
    </row>
    <row r="1355" spans="31:32" x14ac:dyDescent="0.2">
      <c r="AE1355" s="239"/>
      <c r="AF1355" s="239"/>
    </row>
    <row r="1356" spans="31:32" x14ac:dyDescent="0.2">
      <c r="AE1356" s="239"/>
      <c r="AF1356" s="239"/>
    </row>
    <row r="1357" spans="31:32" x14ac:dyDescent="0.2">
      <c r="AE1357" s="239"/>
      <c r="AF1357" s="239"/>
    </row>
    <row r="1358" spans="31:32" x14ac:dyDescent="0.2">
      <c r="AE1358" s="239"/>
      <c r="AF1358" s="239"/>
    </row>
    <row r="1359" spans="31:32" x14ac:dyDescent="0.2">
      <c r="AE1359" s="239"/>
      <c r="AF1359" s="239"/>
    </row>
    <row r="1360" spans="31:32" x14ac:dyDescent="0.2">
      <c r="AE1360" s="239"/>
      <c r="AF1360" s="239"/>
    </row>
    <row r="1361" spans="31:32" x14ac:dyDescent="0.2">
      <c r="AE1361" s="239"/>
      <c r="AF1361" s="239"/>
    </row>
    <row r="1362" spans="31:32" x14ac:dyDescent="0.2">
      <c r="AE1362" s="239"/>
      <c r="AF1362" s="239"/>
    </row>
    <row r="1363" spans="31:32" x14ac:dyDescent="0.2">
      <c r="AE1363" s="239"/>
      <c r="AF1363" s="239"/>
    </row>
    <row r="1364" spans="31:32" x14ac:dyDescent="0.2">
      <c r="AE1364" s="239"/>
      <c r="AF1364" s="239"/>
    </row>
    <row r="1365" spans="31:32" x14ac:dyDescent="0.2">
      <c r="AE1365" s="239"/>
      <c r="AF1365" s="239"/>
    </row>
    <row r="1366" spans="31:32" x14ac:dyDescent="0.2">
      <c r="AE1366" s="239"/>
      <c r="AF1366" s="239"/>
    </row>
    <row r="1367" spans="31:32" x14ac:dyDescent="0.2">
      <c r="AE1367" s="239"/>
      <c r="AF1367" s="239"/>
    </row>
    <row r="1368" spans="31:32" x14ac:dyDescent="0.2">
      <c r="AE1368" s="239"/>
      <c r="AF1368" s="239"/>
    </row>
    <row r="1369" spans="31:32" x14ac:dyDescent="0.2">
      <c r="AE1369" s="239"/>
      <c r="AF1369" s="239"/>
    </row>
    <row r="1370" spans="31:32" x14ac:dyDescent="0.2">
      <c r="AE1370" s="239"/>
      <c r="AF1370" s="239"/>
    </row>
    <row r="1371" spans="31:32" x14ac:dyDescent="0.2">
      <c r="AE1371" s="239"/>
      <c r="AF1371" s="239"/>
    </row>
    <row r="1372" spans="31:32" x14ac:dyDescent="0.2">
      <c r="AE1372" s="239"/>
      <c r="AF1372" s="239"/>
    </row>
    <row r="1373" spans="31:32" x14ac:dyDescent="0.2">
      <c r="AE1373" s="239"/>
      <c r="AF1373" s="239"/>
    </row>
    <row r="1374" spans="31:32" x14ac:dyDescent="0.2">
      <c r="AE1374" s="239"/>
      <c r="AF1374" s="239"/>
    </row>
    <row r="1375" spans="31:32" x14ac:dyDescent="0.2">
      <c r="AE1375" s="239"/>
      <c r="AF1375" s="239"/>
    </row>
    <row r="1376" spans="31:32" x14ac:dyDescent="0.2">
      <c r="AE1376" s="239"/>
      <c r="AF1376" s="239"/>
    </row>
    <row r="1377" spans="31:32" x14ac:dyDescent="0.2">
      <c r="AE1377" s="239"/>
      <c r="AF1377" s="239"/>
    </row>
    <row r="1378" spans="31:32" x14ac:dyDescent="0.2">
      <c r="AE1378" s="239"/>
      <c r="AF1378" s="239"/>
    </row>
    <row r="1379" spans="31:32" x14ac:dyDescent="0.2">
      <c r="AE1379" s="239"/>
      <c r="AF1379" s="239"/>
    </row>
    <row r="1380" spans="31:32" x14ac:dyDescent="0.2">
      <c r="AE1380" s="239"/>
      <c r="AF1380" s="239"/>
    </row>
    <row r="1381" spans="31:32" x14ac:dyDescent="0.2">
      <c r="AE1381" s="239"/>
      <c r="AF1381" s="239"/>
    </row>
    <row r="1382" spans="31:32" x14ac:dyDescent="0.2">
      <c r="AE1382" s="239"/>
      <c r="AF1382" s="239"/>
    </row>
    <row r="1383" spans="31:32" x14ac:dyDescent="0.2">
      <c r="AE1383" s="239"/>
      <c r="AF1383" s="239"/>
    </row>
    <row r="1384" spans="31:32" x14ac:dyDescent="0.2">
      <c r="AE1384" s="239"/>
      <c r="AF1384" s="239"/>
    </row>
    <row r="1385" spans="31:32" x14ac:dyDescent="0.2">
      <c r="AE1385" s="239"/>
      <c r="AF1385" s="239"/>
    </row>
    <row r="1386" spans="31:32" x14ac:dyDescent="0.2">
      <c r="AE1386" s="239"/>
      <c r="AF1386" s="239"/>
    </row>
    <row r="1387" spans="31:32" x14ac:dyDescent="0.2">
      <c r="AE1387" s="239"/>
      <c r="AF1387" s="239"/>
    </row>
    <row r="1388" spans="31:32" x14ac:dyDescent="0.2">
      <c r="AE1388" s="239"/>
      <c r="AF1388" s="239"/>
    </row>
    <row r="1389" spans="31:32" x14ac:dyDescent="0.2">
      <c r="AE1389" s="239"/>
      <c r="AF1389" s="239"/>
    </row>
    <row r="1390" spans="31:32" x14ac:dyDescent="0.2">
      <c r="AE1390" s="239"/>
      <c r="AF1390" s="239"/>
    </row>
    <row r="1391" spans="31:32" x14ac:dyDescent="0.2">
      <c r="AE1391" s="239"/>
      <c r="AF1391" s="239"/>
    </row>
    <row r="1392" spans="31:32" x14ac:dyDescent="0.2">
      <c r="AE1392" s="239"/>
      <c r="AF1392" s="239"/>
    </row>
    <row r="1393" spans="31:32" x14ac:dyDescent="0.2">
      <c r="AE1393" s="239"/>
      <c r="AF1393" s="239"/>
    </row>
    <row r="1394" spans="31:32" x14ac:dyDescent="0.2">
      <c r="AE1394" s="239"/>
      <c r="AF1394" s="239"/>
    </row>
    <row r="1395" spans="31:32" x14ac:dyDescent="0.2">
      <c r="AE1395" s="239"/>
      <c r="AF1395" s="239"/>
    </row>
    <row r="1396" spans="31:32" x14ac:dyDescent="0.2">
      <c r="AE1396" s="239"/>
      <c r="AF1396" s="239"/>
    </row>
    <row r="1397" spans="31:32" x14ac:dyDescent="0.2">
      <c r="AE1397" s="239"/>
      <c r="AF1397" s="239"/>
    </row>
    <row r="1398" spans="31:32" x14ac:dyDescent="0.2">
      <c r="AE1398" s="239"/>
      <c r="AF1398" s="239"/>
    </row>
    <row r="1399" spans="31:32" x14ac:dyDescent="0.2">
      <c r="AE1399" s="239"/>
      <c r="AF1399" s="239"/>
    </row>
    <row r="1400" spans="31:32" x14ac:dyDescent="0.2">
      <c r="AE1400" s="239"/>
      <c r="AF1400" s="239"/>
    </row>
    <row r="1401" spans="31:32" x14ac:dyDescent="0.2">
      <c r="AE1401" s="239"/>
      <c r="AF1401" s="239"/>
    </row>
    <row r="1402" spans="31:32" x14ac:dyDescent="0.2">
      <c r="AE1402" s="239"/>
      <c r="AF1402" s="239"/>
    </row>
    <row r="1403" spans="31:32" x14ac:dyDescent="0.2">
      <c r="AE1403" s="239"/>
      <c r="AF1403" s="239"/>
    </row>
    <row r="1404" spans="31:32" x14ac:dyDescent="0.2">
      <c r="AE1404" s="239"/>
      <c r="AF1404" s="239"/>
    </row>
    <row r="1405" spans="31:32" x14ac:dyDescent="0.2">
      <c r="AE1405" s="239"/>
      <c r="AF1405" s="239"/>
    </row>
    <row r="1406" spans="31:32" x14ac:dyDescent="0.2">
      <c r="AE1406" s="239"/>
      <c r="AF1406" s="239"/>
    </row>
    <row r="1407" spans="31:32" x14ac:dyDescent="0.2">
      <c r="AE1407" s="239"/>
      <c r="AF1407" s="239"/>
    </row>
    <row r="1408" spans="31:32" x14ac:dyDescent="0.2">
      <c r="AE1408" s="239"/>
      <c r="AF1408" s="239"/>
    </row>
    <row r="1409" spans="31:32" x14ac:dyDescent="0.2">
      <c r="AE1409" s="239"/>
      <c r="AF1409" s="239"/>
    </row>
    <row r="1410" spans="31:32" x14ac:dyDescent="0.2">
      <c r="AE1410" s="239"/>
      <c r="AF1410" s="239"/>
    </row>
    <row r="1411" spans="31:32" x14ac:dyDescent="0.2">
      <c r="AE1411" s="239"/>
      <c r="AF1411" s="239"/>
    </row>
  </sheetData>
  <mergeCells count="3">
    <mergeCell ref="A1:F1"/>
    <mergeCell ref="H1:P1"/>
    <mergeCell ref="R1:Z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40</vt:i4>
      </vt:variant>
    </vt:vector>
  </HeadingPairs>
  <TitlesOfParts>
    <vt:vector size="48" baseType="lpstr">
      <vt:lpstr>General Settings</vt:lpstr>
      <vt:lpstr>RateHelpers</vt:lpstr>
      <vt:lpstr>Selected</vt:lpstr>
      <vt:lpstr>Deposits</vt:lpstr>
      <vt:lpstr>Futures</vt:lpstr>
      <vt:lpstr>Swaps</vt:lpstr>
      <vt:lpstr>SwapsFromBasis</vt:lpstr>
      <vt:lpstr>LCH Analysis</vt:lpstr>
      <vt:lpstr>Accuracy</vt:lpstr>
      <vt:lpstr>BondBasisDayCounter</vt:lpstr>
      <vt:lpstr>Calendar</vt:lpstr>
      <vt:lpstr>Currency</vt:lpstr>
      <vt:lpstr>DayCounter</vt:lpstr>
      <vt:lpstr>DepoInclusionCriteria</vt:lpstr>
      <vt:lpstr>Discounting1</vt:lpstr>
      <vt:lpstr>Discounting2</vt:lpstr>
      <vt:lpstr>FamilyName</vt:lpstr>
      <vt:lpstr>FileOverwrite</vt:lpstr>
      <vt:lpstr>FrontFuturesRollingDays</vt:lpstr>
      <vt:lpstr>IborType</vt:lpstr>
      <vt:lpstr>IndexTenor</vt:lpstr>
      <vt:lpstr>InterpolatorID</vt:lpstr>
      <vt:lpstr>LCHcubic</vt:lpstr>
      <vt:lpstr>LCHlinear</vt:lpstr>
      <vt:lpstr>LCHQuoteSuffix</vt:lpstr>
      <vt:lpstr>MinDistance</vt:lpstr>
      <vt:lpstr>MoneyMarketDayCounter</vt:lpstr>
      <vt:lpstr>Months</vt:lpstr>
      <vt:lpstr>NDays</vt:lpstr>
      <vt:lpstr>nIMMFutures</vt:lpstr>
      <vt:lpstr>nSerialFutures</vt:lpstr>
      <vt:lpstr>ObjectOverwrite</vt:lpstr>
      <vt:lpstr>Permanent</vt:lpstr>
      <vt:lpstr>QuoteSuffix</vt:lpstr>
      <vt:lpstr>RateHelperPrefix</vt:lpstr>
      <vt:lpstr>RateHelpers1</vt:lpstr>
      <vt:lpstr>RateHelpers2</vt:lpstr>
      <vt:lpstr>RateHelpersIncluded</vt:lpstr>
      <vt:lpstr>RateHelpersPriority</vt:lpstr>
      <vt:lpstr>RateHelpersSelected</vt:lpstr>
      <vt:lpstr>SerializationPath</vt:lpstr>
      <vt:lpstr>Serialize</vt:lpstr>
      <vt:lpstr>SwapFixedFreq</vt:lpstr>
      <vt:lpstr>SwapIborIndex</vt:lpstr>
      <vt:lpstr>TraitsID</vt:lpstr>
      <vt:lpstr>Trigger</vt:lpstr>
      <vt:lpstr>YieldCurve1</vt:lpstr>
      <vt:lpstr>YieldCurve2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FONDI STEFANO</cp:lastModifiedBy>
  <dcterms:created xsi:type="dcterms:W3CDTF">2014-01-14T12:17:34Z</dcterms:created>
  <dcterms:modified xsi:type="dcterms:W3CDTF">2015-09-01T12:46:37Z</dcterms:modified>
</cp:coreProperties>
</file>